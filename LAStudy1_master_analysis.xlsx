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eng_research_ConnizzoLab\Users\aggouras\Projects\Laser Ablation Development\LA Study 1\"/>
    </mc:Choice>
  </mc:AlternateContent>
  <xr:revisionPtr revIDLastSave="0" documentId="13_ncr:1_{A1A2B167-F5EC-4310-B630-F557A78AFA68}" xr6:coauthVersionLast="47" xr6:coauthVersionMax="47" xr10:uidLastSave="{00000000-0000-0000-0000-000000000000}"/>
  <bookViews>
    <workbookView xWindow="33480" yWindow="1725" windowWidth="21225" windowHeight="13680" firstSheet="13" activeTab="17" xr2:uid="{2C6B929C-A8E1-4618-B1F2-45519B668814}"/>
  </bookViews>
  <sheets>
    <sheet name="Hole Width" sheetId="1" r:id="rId1"/>
    <sheet name="Hole Length" sheetId="2" r:id="rId2"/>
    <sheet name="Hole Depth" sheetId="3" r:id="rId3"/>
    <sheet name="Stain Area" sheetId="4" r:id="rId4"/>
    <sheet name="Hole Volume" sheetId="5" r:id="rId5"/>
    <sheet name="ROI SAVG sig in" sheetId="6" r:id="rId6"/>
    <sheet name="ROI NSAVG sig in" sheetId="7" r:id="rId7"/>
    <sheet name="Cells" sheetId="9" r:id="rId8"/>
    <sheet name="Nuclear Area" sheetId="10" r:id="rId9"/>
    <sheet name="SHG" sheetId="11" r:id="rId10"/>
    <sheet name="CHP v SHG Volume" sheetId="12" r:id="rId11"/>
    <sheet name="CHP %Clearance v %Closure" sheetId="13" r:id="rId12"/>
    <sheet name="%Live Explant" sheetId="14" r:id="rId13"/>
    <sheet name="Total Cells Explant" sheetId="15" r:id="rId14"/>
    <sheet name="MMP" sheetId="16" r:id="rId15"/>
    <sheet name="Everything plot" sheetId="17" r:id="rId16"/>
    <sheet name="Cells v Clearance rate" sheetId="18" r:id="rId17"/>
    <sheet name="SHG intesity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7" i="19" l="1"/>
  <c r="V66" i="19"/>
  <c r="V65" i="19"/>
  <c r="V64" i="19"/>
  <c r="AJ61" i="19"/>
  <c r="AI61" i="19"/>
  <c r="AD61" i="19"/>
  <c r="AC61" i="19"/>
  <c r="X61" i="19"/>
  <c r="W61" i="19"/>
  <c r="AJ58" i="19"/>
  <c r="AI58" i="19"/>
  <c r="AD58" i="19"/>
  <c r="AC58" i="19"/>
  <c r="X58" i="19"/>
  <c r="W58" i="19"/>
  <c r="AJ57" i="19"/>
  <c r="AJ60" i="19" s="1"/>
  <c r="AI57" i="19"/>
  <c r="AI60" i="19" s="1"/>
  <c r="AD57" i="19"/>
  <c r="AD60" i="19" s="1"/>
  <c r="AC57" i="19"/>
  <c r="AC60" i="19" s="1"/>
  <c r="X57" i="19"/>
  <c r="X60" i="19" s="1"/>
  <c r="W57" i="19"/>
  <c r="W60" i="19" s="1"/>
  <c r="AJ56" i="19"/>
  <c r="AI56" i="19"/>
  <c r="AD56" i="19"/>
  <c r="AC56" i="19"/>
  <c r="X56" i="19"/>
  <c r="W56" i="19"/>
  <c r="AJ55" i="19"/>
  <c r="AI55" i="19"/>
  <c r="AD55" i="19"/>
  <c r="AC55" i="19"/>
  <c r="X55" i="19"/>
  <c r="W55" i="19"/>
  <c r="AJ54" i="19"/>
  <c r="AI54" i="19"/>
  <c r="AD54" i="19"/>
  <c r="AC54" i="19"/>
  <c r="X54" i="19"/>
  <c r="W54" i="19"/>
  <c r="AK44" i="19"/>
  <c r="AH44" i="19"/>
  <c r="AE44" i="19"/>
  <c r="AB44" i="19"/>
  <c r="Y44" i="19"/>
  <c r="V44" i="19"/>
  <c r="AK43" i="19"/>
  <c r="AH43" i="19"/>
  <c r="AE43" i="19"/>
  <c r="AB43" i="19"/>
  <c r="Y43" i="19"/>
  <c r="V43" i="19"/>
  <c r="AK42" i="19"/>
  <c r="AH42" i="19"/>
  <c r="AB42" i="19"/>
  <c r="V42" i="19"/>
  <c r="AK41" i="19"/>
  <c r="AH41" i="19"/>
  <c r="AE41" i="19"/>
  <c r="AB41" i="19"/>
  <c r="V41" i="19"/>
  <c r="AK40" i="19"/>
  <c r="AH40" i="19"/>
  <c r="AE40" i="19"/>
  <c r="AB40" i="19"/>
  <c r="Y40" i="19"/>
  <c r="V40" i="19"/>
  <c r="AK39" i="19"/>
  <c r="AH39" i="19"/>
  <c r="AE39" i="19"/>
  <c r="AB39" i="19"/>
  <c r="AB58" i="19" s="1"/>
  <c r="Y39" i="19"/>
  <c r="V39" i="19"/>
  <c r="AK38" i="19"/>
  <c r="AH38" i="19"/>
  <c r="AH58" i="19" s="1"/>
  <c r="AE38" i="19"/>
  <c r="AB38" i="19"/>
  <c r="Y38" i="19"/>
  <c r="Y61" i="19" s="1"/>
  <c r="V38" i="19"/>
  <c r="AK37" i="19"/>
  <c r="AK61" i="19" s="1"/>
  <c r="AH37" i="19"/>
  <c r="AH61" i="19" s="1"/>
  <c r="AB37" i="19"/>
  <c r="V37" i="19"/>
  <c r="V61" i="19" s="1"/>
  <c r="V33" i="19"/>
  <c r="V32" i="19"/>
  <c r="V31" i="19"/>
  <c r="AK30" i="19"/>
  <c r="AJ30" i="19"/>
  <c r="AI30" i="19"/>
  <c r="AH30" i="19"/>
  <c r="AE30" i="19"/>
  <c r="AD30" i="19"/>
  <c r="AC30" i="19"/>
  <c r="AB30" i="19"/>
  <c r="V30" i="19"/>
  <c r="AK29" i="19"/>
  <c r="AJ29" i="19"/>
  <c r="AI29" i="19"/>
  <c r="AH29" i="19"/>
  <c r="AE29" i="19"/>
  <c r="AD29" i="19"/>
  <c r="AC29" i="19"/>
  <c r="AB29" i="19"/>
  <c r="AK27" i="19"/>
  <c r="AJ27" i="19"/>
  <c r="AI27" i="19"/>
  <c r="AH27" i="19"/>
  <c r="AE27" i="19"/>
  <c r="AD27" i="19"/>
  <c r="AC27" i="19"/>
  <c r="AB27" i="19"/>
  <c r="Y27" i="19"/>
  <c r="X27" i="19"/>
  <c r="W27" i="19"/>
  <c r="V27" i="19"/>
  <c r="AK24" i="19"/>
  <c r="AJ24" i="19"/>
  <c r="AI24" i="19"/>
  <c r="AH24" i="19"/>
  <c r="AE24" i="19"/>
  <c r="AD24" i="19"/>
  <c r="AC24" i="19"/>
  <c r="AB24" i="19"/>
  <c r="Y24" i="19"/>
  <c r="X24" i="19"/>
  <c r="W24" i="19"/>
  <c r="V24" i="19"/>
  <c r="AK23" i="19"/>
  <c r="AK26" i="19" s="1"/>
  <c r="AJ23" i="19"/>
  <c r="AJ26" i="19" s="1"/>
  <c r="AI23" i="19"/>
  <c r="AI26" i="19" s="1"/>
  <c r="AH23" i="19"/>
  <c r="AH25" i="19" s="1"/>
  <c r="AE23" i="19"/>
  <c r="AD23" i="19"/>
  <c r="AD26" i="19" s="1"/>
  <c r="AC23" i="19"/>
  <c r="AC25" i="19" s="1"/>
  <c r="AB23" i="19"/>
  <c r="AB26" i="19" s="1"/>
  <c r="Y23" i="19"/>
  <c r="Y26" i="19" s="1"/>
  <c r="X23" i="19"/>
  <c r="X26" i="19" s="1"/>
  <c r="W23" i="19"/>
  <c r="W26" i="19" s="1"/>
  <c r="V23" i="19"/>
  <c r="V26" i="19" s="1"/>
  <c r="AK22" i="19"/>
  <c r="AJ22" i="19"/>
  <c r="AI22" i="19"/>
  <c r="AH22" i="19"/>
  <c r="AE22" i="19"/>
  <c r="AD22" i="19"/>
  <c r="AC22" i="19"/>
  <c r="AB22" i="19"/>
  <c r="Y22" i="19"/>
  <c r="X22" i="19"/>
  <c r="W22" i="19"/>
  <c r="V22" i="19"/>
  <c r="AK21" i="19"/>
  <c r="AJ21" i="19"/>
  <c r="AI21" i="19"/>
  <c r="AH21" i="19"/>
  <c r="AE21" i="19"/>
  <c r="AD21" i="19"/>
  <c r="AC21" i="19"/>
  <c r="AB21" i="19"/>
  <c r="Y21" i="19"/>
  <c r="X21" i="19"/>
  <c r="W21" i="19"/>
  <c r="V21" i="19"/>
  <c r="AK20" i="19"/>
  <c r="AJ20" i="19"/>
  <c r="AI20" i="19"/>
  <c r="AH20" i="19"/>
  <c r="AE20" i="19"/>
  <c r="AD20" i="19"/>
  <c r="AC20" i="19"/>
  <c r="AB20" i="19"/>
  <c r="Y20" i="19"/>
  <c r="X20" i="19"/>
  <c r="W20" i="19"/>
  <c r="V20" i="19"/>
  <c r="AE26" i="19" l="1"/>
  <c r="AE61" i="19"/>
  <c r="AH26" i="19"/>
  <c r="AB61" i="19"/>
  <c r="AI25" i="19"/>
  <c r="AC59" i="19"/>
  <c r="AB55" i="19"/>
  <c r="AJ25" i="19"/>
  <c r="AD59" i="19"/>
  <c r="AB56" i="19"/>
  <c r="AK25" i="19"/>
  <c r="AE54" i="19"/>
  <c r="AE55" i="19"/>
  <c r="AE56" i="19"/>
  <c r="AE57" i="19"/>
  <c r="AE58" i="19"/>
  <c r="AB54" i="19"/>
  <c r="V25" i="19"/>
  <c r="AH54" i="19"/>
  <c r="AH55" i="19"/>
  <c r="AH56" i="19"/>
  <c r="AH57" i="19"/>
  <c r="AB57" i="19"/>
  <c r="W25" i="19"/>
  <c r="AI59" i="19"/>
  <c r="X25" i="19"/>
  <c r="AJ59" i="19"/>
  <c r="Y25" i="19"/>
  <c r="AK54" i="19"/>
  <c r="AK55" i="19"/>
  <c r="AK56" i="19"/>
  <c r="AK57" i="19"/>
  <c r="AK58" i="19"/>
  <c r="AB25" i="19"/>
  <c r="V54" i="19"/>
  <c r="V55" i="19"/>
  <c r="V56" i="19"/>
  <c r="V57" i="19"/>
  <c r="V58" i="19"/>
  <c r="AC26" i="19"/>
  <c r="W59" i="19"/>
  <c r="X59" i="19"/>
  <c r="AD25" i="19"/>
  <c r="AE25" i="19"/>
  <c r="Y54" i="19"/>
  <c r="Y55" i="19"/>
  <c r="Y56" i="19"/>
  <c r="Y57" i="19"/>
  <c r="Y58" i="19"/>
  <c r="AB59" i="19" l="1"/>
  <c r="AB60" i="19"/>
  <c r="AE60" i="19"/>
  <c r="AE59" i="19"/>
  <c r="V60" i="19"/>
  <c r="V59" i="19"/>
  <c r="Y60" i="19"/>
  <c r="Y59" i="19"/>
  <c r="AH60" i="19"/>
  <c r="AH59" i="19"/>
  <c r="AK60" i="19"/>
  <c r="AK59" i="19"/>
  <c r="B67" i="19" l="1"/>
  <c r="B66" i="19"/>
  <c r="B65" i="19"/>
  <c r="B64" i="19"/>
  <c r="P61" i="19"/>
  <c r="O61" i="19"/>
  <c r="J61" i="19"/>
  <c r="I61" i="19"/>
  <c r="D61" i="19"/>
  <c r="C61" i="19"/>
  <c r="P58" i="19"/>
  <c r="O58" i="19"/>
  <c r="J58" i="19"/>
  <c r="I58" i="19"/>
  <c r="D58" i="19"/>
  <c r="C58" i="19"/>
  <c r="P57" i="19"/>
  <c r="P60" i="19" s="1"/>
  <c r="O57" i="19"/>
  <c r="O60" i="19" s="1"/>
  <c r="J57" i="19"/>
  <c r="J60" i="19" s="1"/>
  <c r="I57" i="19"/>
  <c r="I60" i="19" s="1"/>
  <c r="D57" i="19"/>
  <c r="D60" i="19" s="1"/>
  <c r="C57" i="19"/>
  <c r="C60" i="19" s="1"/>
  <c r="P56" i="19"/>
  <c r="O56" i="19"/>
  <c r="J56" i="19"/>
  <c r="I56" i="19"/>
  <c r="D56" i="19"/>
  <c r="C56" i="19"/>
  <c r="P55" i="19"/>
  <c r="O55" i="19"/>
  <c r="J55" i="19"/>
  <c r="I55" i="19"/>
  <c r="D55" i="19"/>
  <c r="C55" i="19"/>
  <c r="P54" i="19"/>
  <c r="O54" i="19"/>
  <c r="J54" i="19"/>
  <c r="I54" i="19"/>
  <c r="D54" i="19"/>
  <c r="C54" i="19"/>
  <c r="B33" i="19"/>
  <c r="B32" i="19"/>
  <c r="B31" i="19"/>
  <c r="Q30" i="19"/>
  <c r="P30" i="19"/>
  <c r="O30" i="19"/>
  <c r="N30" i="19"/>
  <c r="K30" i="19"/>
  <c r="J30" i="19"/>
  <c r="I30" i="19"/>
  <c r="H30" i="19"/>
  <c r="B30" i="19"/>
  <c r="Q29" i="19"/>
  <c r="P29" i="19"/>
  <c r="O29" i="19"/>
  <c r="N29" i="19"/>
  <c r="N40" i="19" s="1"/>
  <c r="K29" i="19"/>
  <c r="J29" i="19"/>
  <c r="I29" i="19"/>
  <c r="H29" i="19"/>
  <c r="K43" i="19" s="1"/>
  <c r="Q27" i="19"/>
  <c r="P27" i="19"/>
  <c r="O27" i="19"/>
  <c r="N27" i="19"/>
  <c r="K27" i="19"/>
  <c r="J27" i="19"/>
  <c r="I27" i="19"/>
  <c r="H27" i="19"/>
  <c r="E27" i="19"/>
  <c r="D27" i="19"/>
  <c r="C27" i="19"/>
  <c r="B27" i="19"/>
  <c r="Q24" i="19"/>
  <c r="P24" i="19"/>
  <c r="O24" i="19"/>
  <c r="N24" i="19"/>
  <c r="K24" i="19"/>
  <c r="J24" i="19"/>
  <c r="I24" i="19"/>
  <c r="H24" i="19"/>
  <c r="E24" i="19"/>
  <c r="D24" i="19"/>
  <c r="C24" i="19"/>
  <c r="B24" i="19"/>
  <c r="Q23" i="19"/>
  <c r="P23" i="19"/>
  <c r="P26" i="19" s="1"/>
  <c r="O23" i="19"/>
  <c r="O26" i="19" s="1"/>
  <c r="N23" i="19"/>
  <c r="K23" i="19"/>
  <c r="K26" i="19" s="1"/>
  <c r="J23" i="19"/>
  <c r="J26" i="19" s="1"/>
  <c r="I23" i="19"/>
  <c r="I26" i="19" s="1"/>
  <c r="H23" i="19"/>
  <c r="E23" i="19"/>
  <c r="D23" i="19"/>
  <c r="D25" i="19" s="1"/>
  <c r="C23" i="19"/>
  <c r="C25" i="19" s="1"/>
  <c r="B23" i="19"/>
  <c r="E39" i="19" s="1"/>
  <c r="Q22" i="19"/>
  <c r="P22" i="19"/>
  <c r="O22" i="19"/>
  <c r="N22" i="19"/>
  <c r="K22" i="19"/>
  <c r="J22" i="19"/>
  <c r="I22" i="19"/>
  <c r="H22" i="19"/>
  <c r="E22" i="19"/>
  <c r="D22" i="19"/>
  <c r="C22" i="19"/>
  <c r="B22" i="19"/>
  <c r="Q21" i="19"/>
  <c r="P21" i="19"/>
  <c r="O21" i="19"/>
  <c r="N21" i="19"/>
  <c r="K21" i="19"/>
  <c r="J21" i="19"/>
  <c r="I21" i="19"/>
  <c r="H21" i="19"/>
  <c r="E21" i="19"/>
  <c r="D21" i="19"/>
  <c r="C21" i="19"/>
  <c r="B21" i="19"/>
  <c r="Q20" i="19"/>
  <c r="P20" i="19"/>
  <c r="O20" i="19"/>
  <c r="N20" i="19"/>
  <c r="K20" i="19"/>
  <c r="J20" i="19"/>
  <c r="I20" i="19"/>
  <c r="H20" i="19"/>
  <c r="E20" i="19"/>
  <c r="D20" i="19"/>
  <c r="C20" i="19"/>
  <c r="B20" i="19"/>
  <c r="Q27" i="16"/>
  <c r="P27" i="16"/>
  <c r="O27" i="16"/>
  <c r="N27" i="16"/>
  <c r="K27" i="16"/>
  <c r="J27" i="16"/>
  <c r="I27" i="16"/>
  <c r="H27" i="16"/>
  <c r="E27" i="16"/>
  <c r="D27" i="16"/>
  <c r="C27" i="16"/>
  <c r="B27" i="16"/>
  <c r="Q24" i="16"/>
  <c r="P24" i="16"/>
  <c r="O24" i="16"/>
  <c r="N24" i="16"/>
  <c r="K24" i="16"/>
  <c r="J24" i="16"/>
  <c r="I24" i="16"/>
  <c r="H24" i="16"/>
  <c r="E24" i="16"/>
  <c r="D24" i="16"/>
  <c r="C24" i="16"/>
  <c r="B24" i="16"/>
  <c r="Q23" i="16"/>
  <c r="Q26" i="16" s="1"/>
  <c r="P23" i="16"/>
  <c r="P26" i="16" s="1"/>
  <c r="O23" i="16"/>
  <c r="O26" i="16" s="1"/>
  <c r="N23" i="16"/>
  <c r="K23" i="16"/>
  <c r="K26" i="16" s="1"/>
  <c r="J23" i="16"/>
  <c r="J26" i="16" s="1"/>
  <c r="I23" i="16"/>
  <c r="I26" i="16" s="1"/>
  <c r="H23" i="16"/>
  <c r="H26" i="16" s="1"/>
  <c r="E23" i="16"/>
  <c r="E26" i="16" s="1"/>
  <c r="D23" i="16"/>
  <c r="D26" i="16" s="1"/>
  <c r="C23" i="16"/>
  <c r="B23" i="16"/>
  <c r="B26" i="16" s="1"/>
  <c r="Q22" i="16"/>
  <c r="P22" i="16"/>
  <c r="O22" i="16"/>
  <c r="N22" i="16"/>
  <c r="K22" i="16"/>
  <c r="J22" i="16"/>
  <c r="I22" i="16"/>
  <c r="H22" i="16"/>
  <c r="E22" i="16"/>
  <c r="D22" i="16"/>
  <c r="C22" i="16"/>
  <c r="B22" i="16"/>
  <c r="Q21" i="16"/>
  <c r="P21" i="16"/>
  <c r="O21" i="16"/>
  <c r="N21" i="16"/>
  <c r="K21" i="16"/>
  <c r="J21" i="16"/>
  <c r="I21" i="16"/>
  <c r="H21" i="16"/>
  <c r="E21" i="16"/>
  <c r="D21" i="16"/>
  <c r="C21" i="16"/>
  <c r="B21" i="16"/>
  <c r="Q20" i="16"/>
  <c r="P20" i="16"/>
  <c r="O20" i="16"/>
  <c r="N20" i="16"/>
  <c r="K20" i="16"/>
  <c r="J20" i="16"/>
  <c r="I20" i="16"/>
  <c r="H20" i="16"/>
  <c r="E20" i="16"/>
  <c r="D20" i="16"/>
  <c r="C20" i="16"/>
  <c r="B20" i="16"/>
  <c r="E20" i="14"/>
  <c r="E21" i="14"/>
  <c r="E22" i="14"/>
  <c r="E23" i="14"/>
  <c r="E25" i="14" s="1"/>
  <c r="E24" i="14"/>
  <c r="E26" i="14"/>
  <c r="E27" i="14"/>
  <c r="E20" i="15"/>
  <c r="E21" i="15"/>
  <c r="E22" i="15"/>
  <c r="E23" i="15"/>
  <c r="E25" i="15" s="1"/>
  <c r="E24" i="15"/>
  <c r="E27" i="15"/>
  <c r="Q27" i="15"/>
  <c r="P27" i="15"/>
  <c r="O27" i="15"/>
  <c r="N27" i="15"/>
  <c r="K27" i="15"/>
  <c r="J27" i="15"/>
  <c r="I27" i="15"/>
  <c r="H27" i="15"/>
  <c r="D27" i="15"/>
  <c r="C27" i="15"/>
  <c r="B27" i="15"/>
  <c r="Q24" i="15"/>
  <c r="P24" i="15"/>
  <c r="O24" i="15"/>
  <c r="N24" i="15"/>
  <c r="K24" i="15"/>
  <c r="J24" i="15"/>
  <c r="I24" i="15"/>
  <c r="H24" i="15"/>
  <c r="D24" i="15"/>
  <c r="C24" i="15"/>
  <c r="B24" i="15"/>
  <c r="Q23" i="15"/>
  <c r="P23" i="15"/>
  <c r="O23" i="15"/>
  <c r="O26" i="15" s="1"/>
  <c r="N23" i="15"/>
  <c r="N26" i="15" s="1"/>
  <c r="K23" i="15"/>
  <c r="K26" i="15" s="1"/>
  <c r="J23" i="15"/>
  <c r="J26" i="15" s="1"/>
  <c r="I23" i="15"/>
  <c r="I26" i="15" s="1"/>
  <c r="H23" i="15"/>
  <c r="H26" i="15" s="1"/>
  <c r="D23" i="15"/>
  <c r="D26" i="15" s="1"/>
  <c r="C23" i="15"/>
  <c r="B23" i="15"/>
  <c r="B26" i="15" s="1"/>
  <c r="Q22" i="15"/>
  <c r="P22" i="15"/>
  <c r="O22" i="15"/>
  <c r="N22" i="15"/>
  <c r="K22" i="15"/>
  <c r="J22" i="15"/>
  <c r="I22" i="15"/>
  <c r="H22" i="15"/>
  <c r="D22" i="15"/>
  <c r="C22" i="15"/>
  <c r="B22" i="15"/>
  <c r="Q21" i="15"/>
  <c r="P21" i="15"/>
  <c r="O21" i="15"/>
  <c r="N21" i="15"/>
  <c r="K21" i="15"/>
  <c r="J21" i="15"/>
  <c r="I21" i="15"/>
  <c r="H21" i="15"/>
  <c r="D21" i="15"/>
  <c r="C21" i="15"/>
  <c r="B21" i="15"/>
  <c r="Q20" i="15"/>
  <c r="P20" i="15"/>
  <c r="O20" i="15"/>
  <c r="N20" i="15"/>
  <c r="K20" i="15"/>
  <c r="J20" i="15"/>
  <c r="I20" i="15"/>
  <c r="H20" i="15"/>
  <c r="D20" i="15"/>
  <c r="C20" i="15"/>
  <c r="B20" i="15"/>
  <c r="Q27" i="14"/>
  <c r="P27" i="14"/>
  <c r="O27" i="14"/>
  <c r="N27" i="14"/>
  <c r="K27" i="14"/>
  <c r="J27" i="14"/>
  <c r="I27" i="14"/>
  <c r="H27" i="14"/>
  <c r="D27" i="14"/>
  <c r="C27" i="14"/>
  <c r="B27" i="14"/>
  <c r="Q24" i="14"/>
  <c r="P24" i="14"/>
  <c r="O24" i="14"/>
  <c r="N24" i="14"/>
  <c r="K24" i="14"/>
  <c r="J24" i="14"/>
  <c r="I24" i="14"/>
  <c r="H24" i="14"/>
  <c r="D24" i="14"/>
  <c r="C24" i="14"/>
  <c r="B24" i="14"/>
  <c r="Q23" i="14"/>
  <c r="Q26" i="14" s="1"/>
  <c r="P23" i="14"/>
  <c r="P26" i="14" s="1"/>
  <c r="O23" i="14"/>
  <c r="O26" i="14" s="1"/>
  <c r="N23" i="14"/>
  <c r="N26" i="14" s="1"/>
  <c r="K23" i="14"/>
  <c r="K26" i="14" s="1"/>
  <c r="J23" i="14"/>
  <c r="J26" i="14" s="1"/>
  <c r="I23" i="14"/>
  <c r="H23" i="14"/>
  <c r="H25" i="14" s="1"/>
  <c r="D23" i="14"/>
  <c r="D26" i="14" s="1"/>
  <c r="C23" i="14"/>
  <c r="B23" i="14"/>
  <c r="Q22" i="14"/>
  <c r="P22" i="14"/>
  <c r="O22" i="14"/>
  <c r="N22" i="14"/>
  <c r="K22" i="14"/>
  <c r="J22" i="14"/>
  <c r="I22" i="14"/>
  <c r="H22" i="14"/>
  <c r="D22" i="14"/>
  <c r="C22" i="14"/>
  <c r="B22" i="14"/>
  <c r="Q21" i="14"/>
  <c r="P21" i="14"/>
  <c r="O21" i="14"/>
  <c r="N21" i="14"/>
  <c r="K21" i="14"/>
  <c r="J21" i="14"/>
  <c r="I21" i="14"/>
  <c r="H21" i="14"/>
  <c r="D21" i="14"/>
  <c r="C21" i="14"/>
  <c r="B21" i="14"/>
  <c r="Q20" i="14"/>
  <c r="P20" i="14"/>
  <c r="O20" i="14"/>
  <c r="N20" i="14"/>
  <c r="K20" i="14"/>
  <c r="J20" i="14"/>
  <c r="I20" i="14"/>
  <c r="H20" i="14"/>
  <c r="D20" i="14"/>
  <c r="C20" i="14"/>
  <c r="B20" i="14"/>
  <c r="H26" i="19" l="1"/>
  <c r="Q26" i="19"/>
  <c r="N26" i="19"/>
  <c r="Q39" i="19"/>
  <c r="Q40" i="19"/>
  <c r="Q38" i="19"/>
  <c r="Q43" i="19"/>
  <c r="H38" i="19"/>
  <c r="H39" i="19"/>
  <c r="H40" i="19"/>
  <c r="K38" i="19"/>
  <c r="K41" i="19"/>
  <c r="H43" i="19"/>
  <c r="N41" i="19"/>
  <c r="N42" i="19"/>
  <c r="Q37" i="19"/>
  <c r="N43" i="19"/>
  <c r="N44" i="19"/>
  <c r="H37" i="19"/>
  <c r="K42" i="19"/>
  <c r="K44" i="19"/>
  <c r="K39" i="19"/>
  <c r="E26" i="19"/>
  <c r="B39" i="19"/>
  <c r="E43" i="19"/>
  <c r="E55" i="19" s="1"/>
  <c r="E40" i="19"/>
  <c r="E44" i="19"/>
  <c r="B37" i="19"/>
  <c r="B41" i="19"/>
  <c r="E38" i="19"/>
  <c r="B42" i="19"/>
  <c r="O25" i="19"/>
  <c r="I59" i="19"/>
  <c r="P25" i="19"/>
  <c r="N37" i="19"/>
  <c r="N39" i="19"/>
  <c r="Q41" i="19"/>
  <c r="B44" i="19"/>
  <c r="J59" i="19"/>
  <c r="N25" i="19"/>
  <c r="Q25" i="19"/>
  <c r="B25" i="19"/>
  <c r="B26" i="19"/>
  <c r="B38" i="19"/>
  <c r="B40" i="19"/>
  <c r="H42" i="19"/>
  <c r="H44" i="19"/>
  <c r="P59" i="19"/>
  <c r="E25" i="19"/>
  <c r="K40" i="19"/>
  <c r="Q42" i="19"/>
  <c r="Q44" i="19"/>
  <c r="O59" i="19"/>
  <c r="D26" i="19"/>
  <c r="H25" i="19"/>
  <c r="N38" i="19"/>
  <c r="B43" i="19"/>
  <c r="C26" i="19"/>
  <c r="I25" i="19"/>
  <c r="C59" i="19"/>
  <c r="J25" i="19"/>
  <c r="D59" i="19"/>
  <c r="K25" i="19"/>
  <c r="H41" i="19"/>
  <c r="C26" i="16"/>
  <c r="N26" i="16"/>
  <c r="B25" i="16"/>
  <c r="C25" i="16"/>
  <c r="Q25" i="16"/>
  <c r="D25" i="16"/>
  <c r="E25" i="16"/>
  <c r="H25" i="16"/>
  <c r="P25" i="16"/>
  <c r="I25" i="16"/>
  <c r="J25" i="16"/>
  <c r="K25" i="16"/>
  <c r="N25" i="16"/>
  <c r="O25" i="16"/>
  <c r="I26" i="14"/>
  <c r="B26" i="14"/>
  <c r="E26" i="15"/>
  <c r="Q26" i="15"/>
  <c r="P26" i="15"/>
  <c r="C25" i="15"/>
  <c r="C26" i="14"/>
  <c r="C26" i="15"/>
  <c r="D25" i="15"/>
  <c r="H25" i="15"/>
  <c r="B25" i="15"/>
  <c r="I25" i="15"/>
  <c r="J25" i="15"/>
  <c r="K25" i="15"/>
  <c r="N25" i="15"/>
  <c r="O25" i="15"/>
  <c r="P25" i="15"/>
  <c r="Q25" i="15"/>
  <c r="B25" i="14"/>
  <c r="C25" i="14"/>
  <c r="D25" i="14"/>
  <c r="H26" i="14"/>
  <c r="I25" i="14"/>
  <c r="J25" i="14"/>
  <c r="K25" i="14"/>
  <c r="N25" i="14"/>
  <c r="O25" i="14"/>
  <c r="P25" i="14"/>
  <c r="Q25" i="14"/>
  <c r="Q61" i="19" l="1"/>
  <c r="H56" i="19"/>
  <c r="K58" i="19"/>
  <c r="B55" i="19"/>
  <c r="Q55" i="19"/>
  <c r="Q56" i="19"/>
  <c r="K61" i="19"/>
  <c r="H57" i="19"/>
  <c r="B61" i="19"/>
  <c r="B58" i="19"/>
  <c r="E56" i="19"/>
  <c r="B56" i="19"/>
  <c r="B57" i="19"/>
  <c r="B59" i="19" s="1"/>
  <c r="E57" i="19"/>
  <c r="E61" i="19"/>
  <c r="E58" i="19"/>
  <c r="B54" i="19"/>
  <c r="E54" i="19"/>
  <c r="Q57" i="19"/>
  <c r="Q54" i="19"/>
  <c r="K54" i="19"/>
  <c r="K57" i="19"/>
  <c r="K56" i="19"/>
  <c r="K55" i="19"/>
  <c r="H61" i="19"/>
  <c r="N61" i="19"/>
  <c r="N58" i="19"/>
  <c r="N57" i="19"/>
  <c r="N56" i="19"/>
  <c r="N55" i="19"/>
  <c r="N54" i="19"/>
  <c r="H54" i="19"/>
  <c r="H58" i="19"/>
  <c r="H59" i="19" s="1"/>
  <c r="H55" i="19"/>
  <c r="Q58" i="19"/>
  <c r="Q60" i="19" s="1"/>
  <c r="AA25" i="13"/>
  <c r="E38" i="11"/>
  <c r="B60" i="19" l="1"/>
  <c r="Q59" i="19"/>
  <c r="H60" i="19"/>
  <c r="E59" i="19"/>
  <c r="E60" i="19"/>
  <c r="N60" i="19"/>
  <c r="N59" i="19"/>
  <c r="K60" i="19"/>
  <c r="K59" i="19"/>
  <c r="V37" i="13"/>
  <c r="Z37" i="13"/>
  <c r="AA37" i="13"/>
  <c r="Z38" i="13"/>
  <c r="AA38" i="13"/>
  <c r="Z39" i="13"/>
  <c r="AA39" i="13"/>
  <c r="Z40" i="13"/>
  <c r="AA40" i="13"/>
  <c r="Z41" i="13"/>
  <c r="AA41" i="13"/>
  <c r="Z42" i="13"/>
  <c r="AA42" i="13"/>
  <c r="Z43" i="13"/>
  <c r="AA43" i="13"/>
  <c r="AA36" i="13"/>
  <c r="Z36" i="13"/>
  <c r="V38" i="13"/>
  <c r="W38" i="13"/>
  <c r="V39" i="13"/>
  <c r="W39" i="13"/>
  <c r="V40" i="13"/>
  <c r="W40" i="13"/>
  <c r="V41" i="13"/>
  <c r="W41" i="13"/>
  <c r="V42" i="13"/>
  <c r="W42" i="13"/>
  <c r="V43" i="13"/>
  <c r="W43" i="13"/>
  <c r="W37" i="13"/>
  <c r="R38" i="13"/>
  <c r="S38" i="13"/>
  <c r="R46" i="13" s="1"/>
  <c r="R39" i="13"/>
  <c r="S39" i="13"/>
  <c r="R42" i="13"/>
  <c r="S42" i="13"/>
  <c r="R47" i="13" s="1"/>
  <c r="R43" i="13"/>
  <c r="S43" i="13"/>
  <c r="S37" i="13"/>
  <c r="R37" i="13"/>
  <c r="R45" i="13"/>
  <c r="V47" i="13"/>
  <c r="Z21" i="13"/>
  <c r="AA21" i="13"/>
  <c r="Z22" i="13"/>
  <c r="AA22" i="13"/>
  <c r="Z23" i="13"/>
  <c r="AA23" i="13"/>
  <c r="Z24" i="13"/>
  <c r="AA24" i="13"/>
  <c r="Z25" i="13"/>
  <c r="Z26" i="13"/>
  <c r="AA26" i="13"/>
  <c r="Z27" i="13"/>
  <c r="AA27" i="13"/>
  <c r="AA20" i="13"/>
  <c r="Z20" i="13"/>
  <c r="Z29" i="13" s="1"/>
  <c r="V22" i="13"/>
  <c r="W22" i="13"/>
  <c r="V23" i="13"/>
  <c r="W23" i="13"/>
  <c r="V24" i="13"/>
  <c r="W24" i="13"/>
  <c r="V25" i="13"/>
  <c r="W25" i="13"/>
  <c r="V26" i="13"/>
  <c r="W26" i="13"/>
  <c r="V27" i="13"/>
  <c r="W27" i="13"/>
  <c r="W21" i="13"/>
  <c r="V21" i="13"/>
  <c r="R22" i="13"/>
  <c r="S22" i="13"/>
  <c r="R23" i="13"/>
  <c r="R29" i="13" s="1"/>
  <c r="S23" i="13"/>
  <c r="R26" i="13"/>
  <c r="S26" i="13"/>
  <c r="R27" i="13"/>
  <c r="S27" i="13"/>
  <c r="S21" i="13"/>
  <c r="R21" i="13"/>
  <c r="Z31" i="13"/>
  <c r="V31" i="13"/>
  <c r="R15" i="13"/>
  <c r="V15" i="13"/>
  <c r="Z15" i="13"/>
  <c r="Z14" i="13"/>
  <c r="Z13" i="13"/>
  <c r="V13" i="13"/>
  <c r="V5" i="13"/>
  <c r="W5" i="13"/>
  <c r="V14" i="13" s="1"/>
  <c r="V6" i="13"/>
  <c r="W6" i="13"/>
  <c r="V7" i="13"/>
  <c r="W7" i="13"/>
  <c r="V8" i="13"/>
  <c r="W8" i="13"/>
  <c r="V9" i="13"/>
  <c r="W9" i="13"/>
  <c r="V10" i="13"/>
  <c r="W10" i="13"/>
  <c r="V11" i="13"/>
  <c r="W11" i="13"/>
  <c r="Z5" i="13"/>
  <c r="AA5" i="13"/>
  <c r="Z6" i="13"/>
  <c r="AA6" i="13"/>
  <c r="Z7" i="13"/>
  <c r="AA7" i="13"/>
  <c r="Z8" i="13"/>
  <c r="AA8" i="13"/>
  <c r="Z9" i="13"/>
  <c r="AA9" i="13"/>
  <c r="Z10" i="13"/>
  <c r="AA10" i="13"/>
  <c r="Z11" i="13"/>
  <c r="AA11" i="13"/>
  <c r="AA4" i="13"/>
  <c r="Z4" i="13"/>
  <c r="S5" i="13"/>
  <c r="S6" i="13"/>
  <c r="R14" i="13" s="1"/>
  <c r="S7" i="13"/>
  <c r="S10" i="13"/>
  <c r="S11" i="13"/>
  <c r="R6" i="13"/>
  <c r="R7" i="13"/>
  <c r="R10" i="13"/>
  <c r="R11" i="13"/>
  <c r="R5" i="13"/>
  <c r="V45" i="13" l="1"/>
  <c r="Z47" i="13"/>
  <c r="Z45" i="13"/>
  <c r="Z46" i="13"/>
  <c r="V46" i="13"/>
  <c r="Z30" i="13"/>
  <c r="V30" i="13"/>
  <c r="V29" i="13"/>
  <c r="R31" i="13"/>
  <c r="R30" i="13"/>
  <c r="R13" i="13"/>
  <c r="N57" i="11" l="1"/>
  <c r="Q37" i="11"/>
  <c r="E39" i="11"/>
  <c r="E58" i="11" s="1"/>
  <c r="E40" i="11"/>
  <c r="E43" i="11"/>
  <c r="E44" i="11"/>
  <c r="B37" i="11"/>
  <c r="B67" i="11"/>
  <c r="B66" i="11"/>
  <c r="B65" i="11"/>
  <c r="B64" i="11"/>
  <c r="Q44" i="11"/>
  <c r="N44" i="11"/>
  <c r="D61" i="11"/>
  <c r="B44" i="11"/>
  <c r="Q43" i="11"/>
  <c r="N43" i="11"/>
  <c r="J54" i="11"/>
  <c r="B43" i="11"/>
  <c r="Q42" i="11"/>
  <c r="N42" i="11"/>
  <c r="C61" i="11"/>
  <c r="B42" i="11"/>
  <c r="B61" i="11" s="1"/>
  <c r="Q41" i="11"/>
  <c r="N41" i="11"/>
  <c r="B41" i="11"/>
  <c r="Q40" i="11"/>
  <c r="N40" i="11"/>
  <c r="B40" i="11"/>
  <c r="Q39" i="11"/>
  <c r="N39" i="11"/>
  <c r="B39" i="11"/>
  <c r="Q38" i="11"/>
  <c r="N38" i="11"/>
  <c r="B38" i="11"/>
  <c r="Q61" i="11"/>
  <c r="P61" i="11"/>
  <c r="O61" i="11"/>
  <c r="N37" i="11"/>
  <c r="N61" i="11" s="1"/>
  <c r="J61" i="11"/>
  <c r="I61" i="11"/>
  <c r="E56" i="11" l="1"/>
  <c r="E61" i="11"/>
  <c r="I54" i="11"/>
  <c r="I55" i="11"/>
  <c r="I56" i="11"/>
  <c r="I57" i="11"/>
  <c r="I58" i="11"/>
  <c r="J55" i="11"/>
  <c r="J56" i="11"/>
  <c r="J57" i="11"/>
  <c r="J58" i="11"/>
  <c r="E57" i="11"/>
  <c r="N54" i="11"/>
  <c r="N55" i="11"/>
  <c r="N56" i="11"/>
  <c r="N58" i="11"/>
  <c r="O54" i="11"/>
  <c r="O55" i="11"/>
  <c r="O56" i="11"/>
  <c r="O57" i="11"/>
  <c r="O58" i="11"/>
  <c r="P54" i="11"/>
  <c r="P55" i="11"/>
  <c r="P56" i="11"/>
  <c r="P57" i="11"/>
  <c r="P58" i="11"/>
  <c r="Q54" i="11"/>
  <c r="Q55" i="11"/>
  <c r="Q56" i="11"/>
  <c r="Q57" i="11"/>
  <c r="Q58" i="11"/>
  <c r="E54" i="11"/>
  <c r="B54" i="11"/>
  <c r="B55" i="11"/>
  <c r="B56" i="11"/>
  <c r="B57" i="11"/>
  <c r="B58" i="11"/>
  <c r="E55" i="11"/>
  <c r="C54" i="11"/>
  <c r="C55" i="11"/>
  <c r="C56" i="11"/>
  <c r="C57" i="11"/>
  <c r="C58" i="11"/>
  <c r="D54" i="11"/>
  <c r="D55" i="11"/>
  <c r="D56" i="11"/>
  <c r="D57" i="11"/>
  <c r="D58" i="11"/>
  <c r="D60" i="11" l="1"/>
  <c r="D59" i="11"/>
  <c r="I60" i="11"/>
  <c r="I59" i="11"/>
  <c r="E59" i="11"/>
  <c r="E60" i="11"/>
  <c r="O60" i="11"/>
  <c r="O59" i="11"/>
  <c r="B60" i="11"/>
  <c r="B59" i="11"/>
  <c r="C60" i="11"/>
  <c r="C59" i="11"/>
  <c r="Q60" i="11"/>
  <c r="Q59" i="11"/>
  <c r="P60" i="11"/>
  <c r="P59" i="11"/>
  <c r="J60" i="11"/>
  <c r="J59" i="11"/>
  <c r="N60" i="11"/>
  <c r="N59" i="11"/>
  <c r="W39" i="5" l="1"/>
  <c r="AI37" i="1"/>
  <c r="E22" i="11" l="1"/>
  <c r="B33" i="11"/>
  <c r="B32" i="11"/>
  <c r="B31" i="11"/>
  <c r="Q30" i="11"/>
  <c r="P30" i="11"/>
  <c r="O30" i="11"/>
  <c r="N30" i="11"/>
  <c r="K30" i="11"/>
  <c r="J30" i="11"/>
  <c r="I30" i="11"/>
  <c r="H30" i="11"/>
  <c r="B30" i="11"/>
  <c r="Q29" i="11"/>
  <c r="P29" i="11"/>
  <c r="O29" i="11"/>
  <c r="N29" i="11"/>
  <c r="K29" i="11"/>
  <c r="J29" i="11"/>
  <c r="I29" i="11"/>
  <c r="H29" i="11"/>
  <c r="Q27" i="11"/>
  <c r="P27" i="11"/>
  <c r="O27" i="11"/>
  <c r="N27" i="11"/>
  <c r="K27" i="11"/>
  <c r="J27" i="11"/>
  <c r="I27" i="11"/>
  <c r="H27" i="11"/>
  <c r="D27" i="11"/>
  <c r="C27" i="11"/>
  <c r="B27" i="11"/>
  <c r="Q24" i="11"/>
  <c r="P24" i="11"/>
  <c r="O24" i="11"/>
  <c r="N24" i="11"/>
  <c r="K24" i="11"/>
  <c r="J24" i="11"/>
  <c r="I24" i="11"/>
  <c r="H24" i="11"/>
  <c r="D24" i="11"/>
  <c r="C24" i="11"/>
  <c r="B24" i="11"/>
  <c r="Q23" i="11"/>
  <c r="P23" i="11"/>
  <c r="O23" i="11"/>
  <c r="O26" i="11" s="1"/>
  <c r="N23" i="11"/>
  <c r="K23" i="11"/>
  <c r="K26" i="11" s="1"/>
  <c r="J23" i="11"/>
  <c r="J26" i="11" s="1"/>
  <c r="I23" i="11"/>
  <c r="I26" i="11" s="1"/>
  <c r="H23" i="11"/>
  <c r="D23" i="11"/>
  <c r="C23" i="11"/>
  <c r="B23" i="11"/>
  <c r="B26" i="11" s="1"/>
  <c r="Q22" i="11"/>
  <c r="P22" i="11"/>
  <c r="O22" i="11"/>
  <c r="N22" i="11"/>
  <c r="K22" i="11"/>
  <c r="J22" i="11"/>
  <c r="I22" i="11"/>
  <c r="H22" i="11"/>
  <c r="D22" i="11"/>
  <c r="C22" i="11"/>
  <c r="B22" i="11"/>
  <c r="Q21" i="11"/>
  <c r="P21" i="11"/>
  <c r="O21" i="11"/>
  <c r="N21" i="11"/>
  <c r="K21" i="11"/>
  <c r="J21" i="11"/>
  <c r="I21" i="11"/>
  <c r="H21" i="11"/>
  <c r="E21" i="11"/>
  <c r="D21" i="11"/>
  <c r="C21" i="11"/>
  <c r="B21" i="11"/>
  <c r="Q20" i="11"/>
  <c r="P20" i="11"/>
  <c r="O20" i="11"/>
  <c r="N20" i="11"/>
  <c r="K20" i="11"/>
  <c r="J20" i="11"/>
  <c r="I20" i="11"/>
  <c r="H20" i="11"/>
  <c r="E20" i="11"/>
  <c r="D20" i="11"/>
  <c r="C20" i="11"/>
  <c r="B20" i="11"/>
  <c r="K40" i="11" l="1"/>
  <c r="K44" i="11"/>
  <c r="K42" i="11"/>
  <c r="H40" i="11"/>
  <c r="K41" i="11"/>
  <c r="H43" i="11"/>
  <c r="K38" i="11"/>
  <c r="H44" i="11"/>
  <c r="H42" i="11"/>
  <c r="K39" i="11"/>
  <c r="H39" i="11"/>
  <c r="K43" i="11"/>
  <c r="H41" i="11"/>
  <c r="H37" i="11"/>
  <c r="H38" i="11"/>
  <c r="C26" i="11"/>
  <c r="H26" i="11"/>
  <c r="N25" i="11"/>
  <c r="E23" i="11"/>
  <c r="E27" i="11"/>
  <c r="E24" i="11"/>
  <c r="E25" i="11" s="1"/>
  <c r="P26" i="11"/>
  <c r="Q25" i="11"/>
  <c r="D26" i="11"/>
  <c r="O25" i="11"/>
  <c r="P25" i="11"/>
  <c r="I25" i="11"/>
  <c r="B25" i="11"/>
  <c r="N26" i="11"/>
  <c r="Q26" i="11"/>
  <c r="C25" i="11"/>
  <c r="D25" i="11"/>
  <c r="H25" i="11"/>
  <c r="J25" i="11"/>
  <c r="K25" i="11"/>
  <c r="K61" i="11" l="1"/>
  <c r="K54" i="11"/>
  <c r="K55" i="11"/>
  <c r="K57" i="11"/>
  <c r="K56" i="11"/>
  <c r="K58" i="11"/>
  <c r="H61" i="11"/>
  <c r="H54" i="11"/>
  <c r="H55" i="11"/>
  <c r="H56" i="11"/>
  <c r="H58" i="11"/>
  <c r="H57" i="11"/>
  <c r="E26" i="11"/>
  <c r="AK39" i="3"/>
  <c r="Y39" i="1"/>
  <c r="X39" i="1"/>
  <c r="W39" i="1"/>
  <c r="V39" i="1"/>
  <c r="N40" i="1"/>
  <c r="H39" i="1"/>
  <c r="AK44" i="7"/>
  <c r="AJ44" i="7"/>
  <c r="AI44" i="7"/>
  <c r="AH44" i="7"/>
  <c r="AE44" i="7"/>
  <c r="AD44" i="7"/>
  <c r="AC44" i="7"/>
  <c r="AB44" i="7"/>
  <c r="Y44" i="7"/>
  <c r="X44" i="7"/>
  <c r="W44" i="7"/>
  <c r="V44" i="7"/>
  <c r="Q44" i="7"/>
  <c r="P44" i="7"/>
  <c r="O44" i="7"/>
  <c r="N44" i="7"/>
  <c r="K44" i="7"/>
  <c r="J44" i="7"/>
  <c r="I44" i="7"/>
  <c r="H44" i="7"/>
  <c r="E44" i="7"/>
  <c r="D44" i="7"/>
  <c r="C44" i="7"/>
  <c r="B44" i="7"/>
  <c r="B57" i="7" s="1"/>
  <c r="AK43" i="7"/>
  <c r="AJ43" i="7"/>
  <c r="AI43" i="7"/>
  <c r="AH43" i="7"/>
  <c r="AE43" i="7"/>
  <c r="AD43" i="7"/>
  <c r="AC43" i="7"/>
  <c r="AB43" i="7"/>
  <c r="Y43" i="7"/>
  <c r="W43" i="7"/>
  <c r="V43" i="7"/>
  <c r="Q43" i="7"/>
  <c r="P43" i="7"/>
  <c r="O43" i="7"/>
  <c r="N43" i="7"/>
  <c r="K43" i="7"/>
  <c r="J43" i="7"/>
  <c r="I43" i="7"/>
  <c r="H43" i="7"/>
  <c r="E43" i="7"/>
  <c r="C43" i="7"/>
  <c r="B43" i="7"/>
  <c r="AK42" i="7"/>
  <c r="AJ42" i="7"/>
  <c r="AJ61" i="7" s="1"/>
  <c r="AI42" i="7"/>
  <c r="AH42" i="7"/>
  <c r="AE42" i="7"/>
  <c r="AD42" i="7"/>
  <c r="AC42" i="7"/>
  <c r="AB42" i="7"/>
  <c r="X42" i="7"/>
  <c r="W42" i="7"/>
  <c r="V42" i="7"/>
  <c r="Q42" i="7"/>
  <c r="P42" i="7"/>
  <c r="O42" i="7"/>
  <c r="N42" i="7"/>
  <c r="K42" i="7"/>
  <c r="J42" i="7"/>
  <c r="I42" i="7"/>
  <c r="H42" i="7"/>
  <c r="D42" i="7"/>
  <c r="C42" i="7"/>
  <c r="B42" i="7"/>
  <c r="AK41" i="7"/>
  <c r="AJ41" i="7"/>
  <c r="AI41" i="7"/>
  <c r="AH41" i="7"/>
  <c r="AH61" i="7" s="1"/>
  <c r="AE41" i="7"/>
  <c r="AD41" i="7"/>
  <c r="AC41" i="7"/>
  <c r="AB41" i="7"/>
  <c r="W41" i="7"/>
  <c r="V41" i="7"/>
  <c r="Q41" i="7"/>
  <c r="P41" i="7"/>
  <c r="O41" i="7"/>
  <c r="N41" i="7"/>
  <c r="K41" i="7"/>
  <c r="J41" i="7"/>
  <c r="I41" i="7"/>
  <c r="H41" i="7"/>
  <c r="C41" i="7"/>
  <c r="B41" i="7"/>
  <c r="AK40" i="7"/>
  <c r="AJ40" i="7"/>
  <c r="AI40" i="7"/>
  <c r="AH40" i="7"/>
  <c r="AE40" i="7"/>
  <c r="AD40" i="7"/>
  <c r="AC40" i="7"/>
  <c r="AB40" i="7"/>
  <c r="Y40" i="7"/>
  <c r="X40" i="7"/>
  <c r="W40" i="7"/>
  <c r="V40" i="7"/>
  <c r="Q40" i="7"/>
  <c r="P40" i="7"/>
  <c r="O40" i="7"/>
  <c r="N40" i="7"/>
  <c r="K40" i="7"/>
  <c r="J40" i="7"/>
  <c r="I40" i="7"/>
  <c r="H40" i="7"/>
  <c r="E40" i="7"/>
  <c r="D40" i="7"/>
  <c r="C40" i="7"/>
  <c r="B40" i="7"/>
  <c r="AK39" i="7"/>
  <c r="AJ39" i="7"/>
  <c r="AI39" i="7"/>
  <c r="AH39" i="7"/>
  <c r="AE39" i="7"/>
  <c r="AD39" i="7"/>
  <c r="AB39" i="7"/>
  <c r="Y39" i="7"/>
  <c r="X39" i="7"/>
  <c r="W39" i="7"/>
  <c r="V39" i="7"/>
  <c r="Q39" i="7"/>
  <c r="P39" i="7"/>
  <c r="O39" i="7"/>
  <c r="N39" i="7"/>
  <c r="K39" i="7"/>
  <c r="J39" i="7"/>
  <c r="I39" i="7"/>
  <c r="H39" i="7"/>
  <c r="E39" i="7"/>
  <c r="D39" i="7"/>
  <c r="C39" i="7"/>
  <c r="B39" i="7"/>
  <c r="AK38" i="7"/>
  <c r="AJ38" i="7"/>
  <c r="AI38" i="7"/>
  <c r="AH38" i="7"/>
  <c r="AE38" i="7"/>
  <c r="AD38" i="7"/>
  <c r="AC38" i="7"/>
  <c r="AB38" i="7"/>
  <c r="AB61" i="7" s="1"/>
  <c r="X38" i="7"/>
  <c r="W38" i="7"/>
  <c r="V38" i="7"/>
  <c r="Q38" i="7"/>
  <c r="P38" i="7"/>
  <c r="O38" i="7"/>
  <c r="N38" i="7"/>
  <c r="K38" i="7"/>
  <c r="J38" i="7"/>
  <c r="I38" i="7"/>
  <c r="H38" i="7"/>
  <c r="D38" i="7"/>
  <c r="C38" i="7"/>
  <c r="B38" i="7"/>
  <c r="AJ37" i="7"/>
  <c r="AI37" i="7"/>
  <c r="AH37" i="7"/>
  <c r="AE37" i="7"/>
  <c r="AD37" i="7"/>
  <c r="AC37" i="7"/>
  <c r="AB37" i="7"/>
  <c r="Y37" i="7"/>
  <c r="X37" i="7"/>
  <c r="X55" i="7" s="1"/>
  <c r="W37" i="7"/>
  <c r="V37" i="7"/>
  <c r="Q37" i="7"/>
  <c r="P37" i="7"/>
  <c r="O37" i="7"/>
  <c r="N37" i="7"/>
  <c r="K37" i="7"/>
  <c r="J37" i="7"/>
  <c r="I37" i="7"/>
  <c r="H37" i="7"/>
  <c r="E37" i="7"/>
  <c r="D37" i="7"/>
  <c r="D56" i="7" s="1"/>
  <c r="C37" i="7"/>
  <c r="B37" i="7"/>
  <c r="AK44" i="6"/>
  <c r="AJ44" i="6"/>
  <c r="AI44" i="6"/>
  <c r="AH44" i="6"/>
  <c r="AE44" i="6"/>
  <c r="AD44" i="6"/>
  <c r="AC44" i="6"/>
  <c r="AB44" i="6"/>
  <c r="Y44" i="6"/>
  <c r="X44" i="6"/>
  <c r="W44" i="6"/>
  <c r="V44" i="6"/>
  <c r="V61" i="6" s="1"/>
  <c r="Q44" i="6"/>
  <c r="P44" i="6"/>
  <c r="O44" i="6"/>
  <c r="N44" i="6"/>
  <c r="K44" i="6"/>
  <c r="J44" i="6"/>
  <c r="I44" i="6"/>
  <c r="H44" i="6"/>
  <c r="E44" i="6"/>
  <c r="D44" i="6"/>
  <c r="C44" i="6"/>
  <c r="B44" i="6"/>
  <c r="B57" i="6" s="1"/>
  <c r="AK43" i="6"/>
  <c r="AJ43" i="6"/>
  <c r="AI43" i="6"/>
  <c r="AH43" i="6"/>
  <c r="AE43" i="6"/>
  <c r="AD43" i="6"/>
  <c r="AC43" i="6"/>
  <c r="AB43" i="6"/>
  <c r="Y43" i="6"/>
  <c r="W43" i="6"/>
  <c r="V43" i="6"/>
  <c r="Q43" i="6"/>
  <c r="P43" i="6"/>
  <c r="O43" i="6"/>
  <c r="N43" i="6"/>
  <c r="K43" i="6"/>
  <c r="J43" i="6"/>
  <c r="I43" i="6"/>
  <c r="H43" i="6"/>
  <c r="E43" i="6"/>
  <c r="C43" i="6"/>
  <c r="B43" i="6"/>
  <c r="AK42" i="6"/>
  <c r="AJ42" i="6"/>
  <c r="AJ61" i="6" s="1"/>
  <c r="AI42" i="6"/>
  <c r="AH42" i="6"/>
  <c r="AE42" i="6"/>
  <c r="AD42" i="6"/>
  <c r="AC42" i="6"/>
  <c r="AB42" i="6"/>
  <c r="X42" i="6"/>
  <c r="W42" i="6"/>
  <c r="V42" i="6"/>
  <c r="Q42" i="6"/>
  <c r="P42" i="6"/>
  <c r="O42" i="6"/>
  <c r="N42" i="6"/>
  <c r="K42" i="6"/>
  <c r="J42" i="6"/>
  <c r="I42" i="6"/>
  <c r="H42" i="6"/>
  <c r="D42" i="6"/>
  <c r="C42" i="6"/>
  <c r="B42" i="6"/>
  <c r="AJ41" i="6"/>
  <c r="AI41" i="6"/>
  <c r="AH61" i="6"/>
  <c r="AE41" i="6"/>
  <c r="AD41" i="6"/>
  <c r="AC41" i="6"/>
  <c r="AB41" i="6"/>
  <c r="W41" i="6"/>
  <c r="V41" i="6"/>
  <c r="Q41" i="6"/>
  <c r="P41" i="6"/>
  <c r="O41" i="6"/>
  <c r="N41" i="6"/>
  <c r="K41" i="6"/>
  <c r="J41" i="6"/>
  <c r="I41" i="6"/>
  <c r="H41" i="6"/>
  <c r="C41" i="6"/>
  <c r="B41" i="6"/>
  <c r="AK40" i="6"/>
  <c r="AJ40" i="6"/>
  <c r="AI40" i="6"/>
  <c r="AH40" i="6"/>
  <c r="AE40" i="6"/>
  <c r="AD40" i="6"/>
  <c r="AC40" i="6"/>
  <c r="AB40" i="6"/>
  <c r="Y40" i="6"/>
  <c r="X40" i="6"/>
  <c r="W40" i="6"/>
  <c r="V40" i="6"/>
  <c r="Q40" i="6"/>
  <c r="P40" i="6"/>
  <c r="O40" i="6"/>
  <c r="N40" i="6"/>
  <c r="K40" i="6"/>
  <c r="J40" i="6"/>
  <c r="I40" i="6"/>
  <c r="H40" i="6"/>
  <c r="E40" i="6"/>
  <c r="D40" i="6"/>
  <c r="C40" i="6"/>
  <c r="B40" i="6"/>
  <c r="AK39" i="6"/>
  <c r="AJ39" i="6"/>
  <c r="AI39" i="6"/>
  <c r="AH39" i="6"/>
  <c r="AE39" i="6"/>
  <c r="AD39" i="6"/>
  <c r="AB39" i="6"/>
  <c r="Y39" i="6"/>
  <c r="X39" i="6"/>
  <c r="W39" i="6"/>
  <c r="V39" i="6"/>
  <c r="Q39" i="6"/>
  <c r="P39" i="6"/>
  <c r="O39" i="6"/>
  <c r="N39" i="6"/>
  <c r="K39" i="6"/>
  <c r="J39" i="6"/>
  <c r="I39" i="6"/>
  <c r="H39" i="6"/>
  <c r="E39" i="6"/>
  <c r="D39" i="6"/>
  <c r="C39" i="6"/>
  <c r="B39" i="6"/>
  <c r="AK38" i="6"/>
  <c r="AJ38" i="6"/>
  <c r="AI38" i="6"/>
  <c r="AH38" i="6"/>
  <c r="AE38" i="6"/>
  <c r="AD38" i="6"/>
  <c r="AC38" i="6"/>
  <c r="AB38" i="6"/>
  <c r="AB61" i="6" s="1"/>
  <c r="X38" i="6"/>
  <c r="W38" i="6"/>
  <c r="V38" i="6"/>
  <c r="Q38" i="6"/>
  <c r="P38" i="6"/>
  <c r="O38" i="6"/>
  <c r="N38" i="6"/>
  <c r="K38" i="6"/>
  <c r="J38" i="6"/>
  <c r="I38" i="6"/>
  <c r="H38" i="6"/>
  <c r="D38" i="6"/>
  <c r="C38" i="6"/>
  <c r="B38" i="6"/>
  <c r="AK37" i="6"/>
  <c r="AJ37" i="6"/>
  <c r="AI37" i="6"/>
  <c r="AH37" i="6"/>
  <c r="AE37" i="6"/>
  <c r="AD37" i="6"/>
  <c r="AC37" i="6"/>
  <c r="AB37" i="6"/>
  <c r="Y37" i="6"/>
  <c r="X37" i="6"/>
  <c r="X57" i="6" s="1"/>
  <c r="W37" i="6"/>
  <c r="V37" i="6"/>
  <c r="Q37" i="6"/>
  <c r="P37" i="6"/>
  <c r="O37" i="6"/>
  <c r="N37" i="6"/>
  <c r="K37" i="6"/>
  <c r="J37" i="6"/>
  <c r="I37" i="6"/>
  <c r="H37" i="6"/>
  <c r="E37" i="6"/>
  <c r="D37" i="6"/>
  <c r="D56" i="6" s="1"/>
  <c r="C37" i="6"/>
  <c r="B37" i="6"/>
  <c r="AK44" i="5"/>
  <c r="AJ44" i="5"/>
  <c r="AI44" i="5"/>
  <c r="AH44" i="5"/>
  <c r="AE44" i="5"/>
  <c r="AD44" i="5"/>
  <c r="AC44" i="5"/>
  <c r="AB44" i="5"/>
  <c r="Y44" i="5"/>
  <c r="X44" i="5"/>
  <c r="W44" i="5"/>
  <c r="V44" i="5"/>
  <c r="V61" i="5" s="1"/>
  <c r="Q44" i="5"/>
  <c r="P44" i="5"/>
  <c r="O44" i="5"/>
  <c r="N44" i="5"/>
  <c r="K44" i="5"/>
  <c r="J44" i="5"/>
  <c r="I44" i="5"/>
  <c r="H44" i="5"/>
  <c r="E44" i="5"/>
  <c r="D44" i="5"/>
  <c r="C44" i="5"/>
  <c r="B44" i="5"/>
  <c r="B61" i="5" s="1"/>
  <c r="AK43" i="5"/>
  <c r="AJ43" i="5"/>
  <c r="AI43" i="5"/>
  <c r="AH43" i="5"/>
  <c r="AE43" i="5"/>
  <c r="AD43" i="5"/>
  <c r="AC43" i="5"/>
  <c r="AC61" i="5" s="1"/>
  <c r="AB43" i="5"/>
  <c r="Y43" i="5"/>
  <c r="W43" i="5"/>
  <c r="V43" i="5"/>
  <c r="Q43" i="5"/>
  <c r="P43" i="5"/>
  <c r="O43" i="5"/>
  <c r="N43" i="5"/>
  <c r="K43" i="5"/>
  <c r="J43" i="5"/>
  <c r="I43" i="5"/>
  <c r="H43" i="5"/>
  <c r="E43" i="5"/>
  <c r="C43" i="5"/>
  <c r="B43" i="5"/>
  <c r="AK42" i="5"/>
  <c r="AJ42" i="5"/>
  <c r="AI42" i="5"/>
  <c r="AH42" i="5"/>
  <c r="AE42" i="5"/>
  <c r="AD42" i="5"/>
  <c r="AC42" i="5"/>
  <c r="AB42" i="5"/>
  <c r="X42" i="5"/>
  <c r="W42" i="5"/>
  <c r="V42" i="5"/>
  <c r="Q42" i="5"/>
  <c r="P42" i="5"/>
  <c r="O42" i="5"/>
  <c r="N42" i="5"/>
  <c r="K42" i="5"/>
  <c r="J42" i="5"/>
  <c r="I42" i="5"/>
  <c r="H42" i="5"/>
  <c r="D42" i="5"/>
  <c r="C42" i="5"/>
  <c r="C57" i="5" s="1"/>
  <c r="B42" i="5"/>
  <c r="AK41" i="5"/>
  <c r="AJ41" i="5"/>
  <c r="AI41" i="5"/>
  <c r="AH41" i="5"/>
  <c r="AH61" i="5" s="1"/>
  <c r="AE41" i="5"/>
  <c r="AD41" i="5"/>
  <c r="AC41" i="5"/>
  <c r="AB41" i="5"/>
  <c r="W41" i="5"/>
  <c r="V41" i="5"/>
  <c r="Q41" i="5"/>
  <c r="P41" i="5"/>
  <c r="O41" i="5"/>
  <c r="N41" i="5"/>
  <c r="K41" i="5"/>
  <c r="J41" i="5"/>
  <c r="I41" i="5"/>
  <c r="H41" i="5"/>
  <c r="C41" i="5"/>
  <c r="B41" i="5"/>
  <c r="AK40" i="5"/>
  <c r="AJ40" i="5"/>
  <c r="AI40" i="5"/>
  <c r="AH40" i="5"/>
  <c r="AE40" i="5"/>
  <c r="AD40" i="5"/>
  <c r="AC40" i="5"/>
  <c r="AB40" i="5"/>
  <c r="Y40" i="5"/>
  <c r="X40" i="5"/>
  <c r="W40" i="5"/>
  <c r="V40" i="5"/>
  <c r="Q40" i="5"/>
  <c r="P40" i="5"/>
  <c r="O40" i="5"/>
  <c r="N40" i="5"/>
  <c r="K40" i="5"/>
  <c r="J40" i="5"/>
  <c r="I40" i="5"/>
  <c r="H40" i="5"/>
  <c r="E40" i="5"/>
  <c r="D40" i="5"/>
  <c r="C40" i="5"/>
  <c r="B40" i="5"/>
  <c r="AK39" i="5"/>
  <c r="AJ39" i="5"/>
  <c r="AI39" i="5"/>
  <c r="AH39" i="5"/>
  <c r="AE39" i="5"/>
  <c r="AD39" i="5"/>
  <c r="AC39" i="5"/>
  <c r="AB39" i="5"/>
  <c r="Y39" i="5"/>
  <c r="X39" i="5"/>
  <c r="V39" i="5"/>
  <c r="Q39" i="5"/>
  <c r="P39" i="5"/>
  <c r="O39" i="5"/>
  <c r="N39" i="5"/>
  <c r="K39" i="5"/>
  <c r="J39" i="5"/>
  <c r="I39" i="5"/>
  <c r="H39" i="5"/>
  <c r="E39" i="5"/>
  <c r="D39" i="5"/>
  <c r="C39" i="5"/>
  <c r="B39" i="5"/>
  <c r="AK38" i="5"/>
  <c r="AJ38" i="5"/>
  <c r="AI38" i="5"/>
  <c r="AH38" i="5"/>
  <c r="AE38" i="5"/>
  <c r="AD38" i="5"/>
  <c r="AC38" i="5"/>
  <c r="AB38" i="5"/>
  <c r="AB61" i="5" s="1"/>
  <c r="X38" i="5"/>
  <c r="W38" i="5"/>
  <c r="V38" i="5"/>
  <c r="Q38" i="5"/>
  <c r="P38" i="5"/>
  <c r="O38" i="5"/>
  <c r="N38" i="5"/>
  <c r="K38" i="5"/>
  <c r="J38" i="5"/>
  <c r="I38" i="5"/>
  <c r="H38" i="5"/>
  <c r="D38" i="5"/>
  <c r="C38" i="5"/>
  <c r="B38" i="5"/>
  <c r="AK37" i="5"/>
  <c r="AJ37" i="5"/>
  <c r="AI37" i="5"/>
  <c r="AH37" i="5"/>
  <c r="AE37" i="5"/>
  <c r="AE57" i="5" s="1"/>
  <c r="AD37" i="5"/>
  <c r="AC37" i="5"/>
  <c r="AB37" i="5"/>
  <c r="Y37" i="5"/>
  <c r="X37" i="5"/>
  <c r="X57" i="5" s="1"/>
  <c r="W37" i="5"/>
  <c r="V37" i="5"/>
  <c r="Q37" i="5"/>
  <c r="P37" i="5"/>
  <c r="O37" i="5"/>
  <c r="N37" i="5"/>
  <c r="K37" i="5"/>
  <c r="J37" i="5"/>
  <c r="I37" i="5"/>
  <c r="H37" i="5"/>
  <c r="E37" i="5"/>
  <c r="D37" i="5"/>
  <c r="D56" i="5" s="1"/>
  <c r="C37" i="5"/>
  <c r="B37" i="5"/>
  <c r="AK44" i="4"/>
  <c r="AJ44" i="4"/>
  <c r="AI44" i="4"/>
  <c r="AH44" i="4"/>
  <c r="AE44" i="4"/>
  <c r="AD44" i="4"/>
  <c r="AC44" i="4"/>
  <c r="AB44" i="4"/>
  <c r="Y44" i="4"/>
  <c r="X44" i="4"/>
  <c r="W44" i="4"/>
  <c r="V44" i="4"/>
  <c r="V61" i="4" s="1"/>
  <c r="Q44" i="4"/>
  <c r="P44" i="4"/>
  <c r="O44" i="4"/>
  <c r="N44" i="4"/>
  <c r="K44" i="4"/>
  <c r="J44" i="4"/>
  <c r="I44" i="4"/>
  <c r="H44" i="4"/>
  <c r="E44" i="4"/>
  <c r="D44" i="4"/>
  <c r="C44" i="4"/>
  <c r="B44" i="4"/>
  <c r="B56" i="4" s="1"/>
  <c r="AK43" i="4"/>
  <c r="AJ43" i="4"/>
  <c r="AI43" i="4"/>
  <c r="AH43" i="4"/>
  <c r="AE43" i="4"/>
  <c r="AD43" i="4"/>
  <c r="AC43" i="4"/>
  <c r="AC61" i="4" s="1"/>
  <c r="AB43" i="4"/>
  <c r="Y43" i="4"/>
  <c r="W43" i="4"/>
  <c r="V43" i="4"/>
  <c r="Q43" i="4"/>
  <c r="P43" i="4"/>
  <c r="O43" i="4"/>
  <c r="N43" i="4"/>
  <c r="K43" i="4"/>
  <c r="J43" i="4"/>
  <c r="I43" i="4"/>
  <c r="H43" i="4"/>
  <c r="E43" i="4"/>
  <c r="C43" i="4"/>
  <c r="B43" i="4"/>
  <c r="AK42" i="4"/>
  <c r="AJ42" i="4"/>
  <c r="AJ61" i="4" s="1"/>
  <c r="AI42" i="4"/>
  <c r="AH42" i="4"/>
  <c r="AE42" i="4"/>
  <c r="AD42" i="4"/>
  <c r="AC42" i="4"/>
  <c r="AB42" i="4"/>
  <c r="X42" i="4"/>
  <c r="W42" i="4"/>
  <c r="V42" i="4"/>
  <c r="Q42" i="4"/>
  <c r="P42" i="4"/>
  <c r="O42" i="4"/>
  <c r="N42" i="4"/>
  <c r="K42" i="4"/>
  <c r="J42" i="4"/>
  <c r="I42" i="4"/>
  <c r="H42" i="4"/>
  <c r="D42" i="4"/>
  <c r="C42" i="4"/>
  <c r="C57" i="4" s="1"/>
  <c r="B42" i="4"/>
  <c r="AK41" i="4"/>
  <c r="AJ41" i="4"/>
  <c r="AI41" i="4"/>
  <c r="AH41" i="4"/>
  <c r="AE41" i="4"/>
  <c r="AD41" i="4"/>
  <c r="AC41" i="4"/>
  <c r="AB41" i="4"/>
  <c r="W41" i="4"/>
  <c r="V41" i="4"/>
  <c r="Q41" i="4"/>
  <c r="P41" i="4"/>
  <c r="O41" i="4"/>
  <c r="N41" i="4"/>
  <c r="K41" i="4"/>
  <c r="J41" i="4"/>
  <c r="I41" i="4"/>
  <c r="H41" i="4"/>
  <c r="C41" i="4"/>
  <c r="B41" i="4"/>
  <c r="AK40" i="4"/>
  <c r="AJ40" i="4"/>
  <c r="AI40" i="4"/>
  <c r="AH40" i="4"/>
  <c r="AE40" i="4"/>
  <c r="AD40" i="4"/>
  <c r="AC40" i="4"/>
  <c r="AB40" i="4"/>
  <c r="Y40" i="4"/>
  <c r="X40" i="4"/>
  <c r="W40" i="4"/>
  <c r="V40" i="4"/>
  <c r="Q40" i="4"/>
  <c r="P40" i="4"/>
  <c r="O40" i="4"/>
  <c r="N40" i="4"/>
  <c r="K40" i="4"/>
  <c r="J40" i="4"/>
  <c r="I40" i="4"/>
  <c r="H40" i="4"/>
  <c r="E40" i="4"/>
  <c r="D40" i="4"/>
  <c r="C40" i="4"/>
  <c r="B40" i="4"/>
  <c r="AK39" i="4"/>
  <c r="AJ39" i="4"/>
  <c r="AI39" i="4"/>
  <c r="AH39" i="4"/>
  <c r="AE39" i="4"/>
  <c r="AD39" i="4"/>
  <c r="AC39" i="4"/>
  <c r="Y39" i="4"/>
  <c r="X39" i="4"/>
  <c r="W39" i="4"/>
  <c r="V39" i="4"/>
  <c r="Q39" i="4"/>
  <c r="P39" i="4"/>
  <c r="O39" i="4"/>
  <c r="N39" i="4"/>
  <c r="K39" i="4"/>
  <c r="J39" i="4"/>
  <c r="I39" i="4"/>
  <c r="H39" i="4"/>
  <c r="E39" i="4"/>
  <c r="D39" i="4"/>
  <c r="C39" i="4"/>
  <c r="B39" i="4"/>
  <c r="AK38" i="4"/>
  <c r="AI38" i="4"/>
  <c r="AI61" i="4" s="1"/>
  <c r="AH38" i="4"/>
  <c r="AD38" i="4"/>
  <c r="AC38" i="4"/>
  <c r="AB38" i="4"/>
  <c r="AB61" i="4" s="1"/>
  <c r="X38" i="4"/>
  <c r="W38" i="4"/>
  <c r="V38" i="4"/>
  <c r="Q38" i="4"/>
  <c r="P38" i="4"/>
  <c r="O38" i="4"/>
  <c r="N38" i="4"/>
  <c r="K38" i="4"/>
  <c r="J38" i="4"/>
  <c r="I38" i="4"/>
  <c r="H38" i="4"/>
  <c r="D38" i="4"/>
  <c r="C38" i="4"/>
  <c r="B38" i="4"/>
  <c r="AK37" i="4"/>
  <c r="AJ37" i="4"/>
  <c r="AI37" i="4"/>
  <c r="AH37" i="4"/>
  <c r="AE37" i="4"/>
  <c r="AE61" i="4" s="1"/>
  <c r="AD37" i="4"/>
  <c r="AC37" i="4"/>
  <c r="AB37" i="4"/>
  <c r="Y37" i="4"/>
  <c r="X37" i="4"/>
  <c r="X55" i="4" s="1"/>
  <c r="W37" i="4"/>
  <c r="V37" i="4"/>
  <c r="Q37" i="4"/>
  <c r="P37" i="4"/>
  <c r="O37" i="4"/>
  <c r="N37" i="4"/>
  <c r="K37" i="4"/>
  <c r="J37" i="4"/>
  <c r="I37" i="4"/>
  <c r="H37" i="4"/>
  <c r="E37" i="4"/>
  <c r="D37" i="4"/>
  <c r="D61" i="4" s="1"/>
  <c r="C37" i="4"/>
  <c r="B37" i="4"/>
  <c r="AK44" i="3"/>
  <c r="AJ44" i="3"/>
  <c r="AI44" i="3"/>
  <c r="AH44" i="3"/>
  <c r="AE44" i="3"/>
  <c r="AD44" i="3"/>
  <c r="AC44" i="3"/>
  <c r="AB44" i="3"/>
  <c r="Y44" i="3"/>
  <c r="X44" i="3"/>
  <c r="W44" i="3"/>
  <c r="V44" i="3"/>
  <c r="V58" i="3" s="1"/>
  <c r="Q44" i="3"/>
  <c r="P44" i="3"/>
  <c r="O44" i="3"/>
  <c r="N44" i="3"/>
  <c r="K44" i="3"/>
  <c r="J44" i="3"/>
  <c r="I44" i="3"/>
  <c r="H44" i="3"/>
  <c r="E44" i="3"/>
  <c r="D44" i="3"/>
  <c r="C44" i="3"/>
  <c r="B44" i="3"/>
  <c r="AK43" i="3"/>
  <c r="AJ43" i="3"/>
  <c r="AI43" i="3"/>
  <c r="AH43" i="3"/>
  <c r="AE43" i="3"/>
  <c r="AD43" i="3"/>
  <c r="AC43" i="3"/>
  <c r="AB43" i="3"/>
  <c r="Y43" i="3"/>
  <c r="W43" i="3"/>
  <c r="V43" i="3"/>
  <c r="Q43" i="3"/>
  <c r="P43" i="3"/>
  <c r="O43" i="3"/>
  <c r="N43" i="3"/>
  <c r="K43" i="3"/>
  <c r="J43" i="3"/>
  <c r="I43" i="3"/>
  <c r="H43" i="3"/>
  <c r="E43" i="3"/>
  <c r="C43" i="3"/>
  <c r="B43" i="3"/>
  <c r="AK42" i="3"/>
  <c r="AJ42" i="3"/>
  <c r="AJ61" i="3" s="1"/>
  <c r="AI42" i="3"/>
  <c r="AH42" i="3"/>
  <c r="AE42" i="3"/>
  <c r="AD42" i="3"/>
  <c r="AC42" i="3"/>
  <c r="AB42" i="3"/>
  <c r="X42" i="3"/>
  <c r="W42" i="3"/>
  <c r="V42" i="3"/>
  <c r="Q42" i="3"/>
  <c r="P42" i="3"/>
  <c r="O42" i="3"/>
  <c r="N42" i="3"/>
  <c r="K42" i="3"/>
  <c r="J42" i="3"/>
  <c r="I42" i="3"/>
  <c r="H42" i="3"/>
  <c r="D42" i="3"/>
  <c r="C42" i="3"/>
  <c r="B42" i="3"/>
  <c r="AK41" i="3"/>
  <c r="AJ41" i="3"/>
  <c r="AI41" i="3"/>
  <c r="AH41" i="3"/>
  <c r="AH61" i="3" s="1"/>
  <c r="AE41" i="3"/>
  <c r="AD41" i="3"/>
  <c r="AC41" i="3"/>
  <c r="AB41" i="3"/>
  <c r="W41" i="3"/>
  <c r="V41" i="3"/>
  <c r="Q41" i="3"/>
  <c r="P41" i="3"/>
  <c r="O41" i="3"/>
  <c r="N41" i="3"/>
  <c r="K41" i="3"/>
  <c r="J41" i="3"/>
  <c r="I41" i="3"/>
  <c r="H41" i="3"/>
  <c r="C41" i="3"/>
  <c r="B41" i="3"/>
  <c r="AK40" i="3"/>
  <c r="AJ40" i="3"/>
  <c r="AI40" i="3"/>
  <c r="AH40" i="3"/>
  <c r="AE40" i="3"/>
  <c r="AD40" i="3"/>
  <c r="AC40" i="3"/>
  <c r="AB40" i="3"/>
  <c r="Y40" i="3"/>
  <c r="X40" i="3"/>
  <c r="W40" i="3"/>
  <c r="V40" i="3"/>
  <c r="Q40" i="3"/>
  <c r="P40" i="3"/>
  <c r="O40" i="3"/>
  <c r="N40" i="3"/>
  <c r="K40" i="3"/>
  <c r="J40" i="3"/>
  <c r="I40" i="3"/>
  <c r="H40" i="3"/>
  <c r="E40" i="3"/>
  <c r="D40" i="3"/>
  <c r="C40" i="3"/>
  <c r="B40" i="3"/>
  <c r="AJ39" i="3"/>
  <c r="AI39" i="3"/>
  <c r="AH39" i="3"/>
  <c r="AE39" i="3"/>
  <c r="AD39" i="3"/>
  <c r="AC39" i="3"/>
  <c r="AB39" i="3"/>
  <c r="Y39" i="3"/>
  <c r="X39" i="3"/>
  <c r="W39" i="3"/>
  <c r="V39" i="3"/>
  <c r="Q39" i="3"/>
  <c r="P39" i="3"/>
  <c r="O39" i="3"/>
  <c r="N39" i="3"/>
  <c r="K39" i="3"/>
  <c r="J39" i="3"/>
  <c r="I39" i="3"/>
  <c r="H39" i="3"/>
  <c r="E39" i="3"/>
  <c r="D39" i="3"/>
  <c r="C39" i="3"/>
  <c r="B39" i="3"/>
  <c r="AK38" i="3"/>
  <c r="AJ38" i="3"/>
  <c r="AI38" i="3"/>
  <c r="AH38" i="3"/>
  <c r="AE38" i="3"/>
  <c r="AD38" i="3"/>
  <c r="AC38" i="3"/>
  <c r="AB38" i="3"/>
  <c r="AB61" i="3" s="1"/>
  <c r="X38" i="3"/>
  <c r="W38" i="3"/>
  <c r="V38" i="3"/>
  <c r="Q38" i="3"/>
  <c r="P38" i="3"/>
  <c r="O38" i="3"/>
  <c r="N38" i="3"/>
  <c r="K38" i="3"/>
  <c r="J38" i="3"/>
  <c r="I38" i="3"/>
  <c r="H38" i="3"/>
  <c r="D38" i="3"/>
  <c r="C38" i="3"/>
  <c r="B38" i="3"/>
  <c r="AJ37" i="3"/>
  <c r="AI37" i="3"/>
  <c r="AH37" i="3"/>
  <c r="AE37" i="3"/>
  <c r="AD37" i="3"/>
  <c r="AC37" i="3"/>
  <c r="AB37" i="3"/>
  <c r="Y37" i="3"/>
  <c r="X37" i="3"/>
  <c r="X58" i="3" s="1"/>
  <c r="W37" i="3"/>
  <c r="V37" i="3"/>
  <c r="Q37" i="3"/>
  <c r="P37" i="3"/>
  <c r="O37" i="3"/>
  <c r="N37" i="3"/>
  <c r="K37" i="3"/>
  <c r="J37" i="3"/>
  <c r="I37" i="3"/>
  <c r="H37" i="3"/>
  <c r="E37" i="3"/>
  <c r="D37" i="3"/>
  <c r="C37" i="3"/>
  <c r="B37" i="3"/>
  <c r="AB39" i="2"/>
  <c r="AK44" i="2"/>
  <c r="AJ44" i="2"/>
  <c r="AI44" i="2"/>
  <c r="AH44" i="2"/>
  <c r="AE44" i="2"/>
  <c r="AD44" i="2"/>
  <c r="AC44" i="2"/>
  <c r="AB44" i="2"/>
  <c r="Y44" i="2"/>
  <c r="X44" i="2"/>
  <c r="W44" i="2"/>
  <c r="V44" i="2"/>
  <c r="Q44" i="2"/>
  <c r="P44" i="2"/>
  <c r="O44" i="2"/>
  <c r="N44" i="2"/>
  <c r="K44" i="2"/>
  <c r="J44" i="2"/>
  <c r="I44" i="2"/>
  <c r="H44" i="2"/>
  <c r="E44" i="2"/>
  <c r="D44" i="2"/>
  <c r="C44" i="2"/>
  <c r="B44" i="2"/>
  <c r="B56" i="2" s="1"/>
  <c r="AK43" i="2"/>
  <c r="AJ43" i="2"/>
  <c r="AI43" i="2"/>
  <c r="AH43" i="2"/>
  <c r="AE43" i="2"/>
  <c r="AD43" i="2"/>
  <c r="AC43" i="2"/>
  <c r="AB43" i="2"/>
  <c r="Y43" i="2"/>
  <c r="W43" i="2"/>
  <c r="V43" i="2"/>
  <c r="V61" i="2" s="1"/>
  <c r="Q43" i="2"/>
  <c r="P43" i="2"/>
  <c r="O43" i="2"/>
  <c r="N43" i="2"/>
  <c r="K43" i="2"/>
  <c r="J43" i="2"/>
  <c r="I43" i="2"/>
  <c r="H43" i="2"/>
  <c r="E43" i="2"/>
  <c r="C43" i="2"/>
  <c r="B43" i="2"/>
  <c r="AK42" i="2"/>
  <c r="AK61" i="2" s="1"/>
  <c r="AJ42" i="2"/>
  <c r="AJ61" i="2" s="1"/>
  <c r="AI42" i="2"/>
  <c r="AH42" i="2"/>
  <c r="AE42" i="2"/>
  <c r="AD42" i="2"/>
  <c r="AC42" i="2"/>
  <c r="AB42" i="2"/>
  <c r="X42" i="2"/>
  <c r="W42" i="2"/>
  <c r="V42" i="2"/>
  <c r="Q42" i="2"/>
  <c r="P42" i="2"/>
  <c r="O42" i="2"/>
  <c r="N42" i="2"/>
  <c r="K42" i="2"/>
  <c r="J42" i="2"/>
  <c r="I42" i="2"/>
  <c r="H42" i="2"/>
  <c r="D42" i="2"/>
  <c r="C42" i="2"/>
  <c r="B42" i="2"/>
  <c r="AK41" i="2"/>
  <c r="AJ41" i="2"/>
  <c r="AI41" i="2"/>
  <c r="AI61" i="2" s="1"/>
  <c r="AH41" i="2"/>
  <c r="AH61" i="2" s="1"/>
  <c r="AE41" i="2"/>
  <c r="AD41" i="2"/>
  <c r="AC41" i="2"/>
  <c r="AB41" i="2"/>
  <c r="W41" i="2"/>
  <c r="V41" i="2"/>
  <c r="Q41" i="2"/>
  <c r="P41" i="2"/>
  <c r="O41" i="2"/>
  <c r="N41" i="2"/>
  <c r="K41" i="2"/>
  <c r="J41" i="2"/>
  <c r="I41" i="2"/>
  <c r="H41" i="2"/>
  <c r="C41" i="2"/>
  <c r="B41" i="2"/>
  <c r="AK40" i="2"/>
  <c r="AJ40" i="2"/>
  <c r="AI40" i="2"/>
  <c r="AH40" i="2"/>
  <c r="AE40" i="2"/>
  <c r="AD40" i="2"/>
  <c r="AC40" i="2"/>
  <c r="AB40" i="2"/>
  <c r="Y40" i="2"/>
  <c r="X40" i="2"/>
  <c r="W40" i="2"/>
  <c r="V40" i="2"/>
  <c r="Q40" i="2"/>
  <c r="P40" i="2"/>
  <c r="O40" i="2"/>
  <c r="N40" i="2"/>
  <c r="K40" i="2"/>
  <c r="J40" i="2"/>
  <c r="I40" i="2"/>
  <c r="H40" i="2"/>
  <c r="E40" i="2"/>
  <c r="D40" i="2"/>
  <c r="C40" i="2"/>
  <c r="B40" i="2"/>
  <c r="AK39" i="2"/>
  <c r="AJ39" i="2"/>
  <c r="AI39" i="2"/>
  <c r="AH39" i="2"/>
  <c r="AE39" i="2"/>
  <c r="AD39" i="2"/>
  <c r="AC39" i="2"/>
  <c r="AC61" i="2" s="1"/>
  <c r="Y39" i="2"/>
  <c r="Y61" i="2" s="1"/>
  <c r="X39" i="2"/>
  <c r="W39" i="2"/>
  <c r="V39" i="2"/>
  <c r="Q39" i="2"/>
  <c r="P39" i="2"/>
  <c r="O39" i="2"/>
  <c r="N39" i="2"/>
  <c r="K39" i="2"/>
  <c r="J39" i="2"/>
  <c r="I39" i="2"/>
  <c r="H39" i="2"/>
  <c r="E39" i="2"/>
  <c r="E56" i="2" s="1"/>
  <c r="D39" i="2"/>
  <c r="C39" i="2"/>
  <c r="B39" i="2"/>
  <c r="AK38" i="2"/>
  <c r="AJ38" i="2"/>
  <c r="AI38" i="2"/>
  <c r="AH38" i="2"/>
  <c r="AE38" i="2"/>
  <c r="AD38" i="2"/>
  <c r="AC38" i="2"/>
  <c r="AB38" i="2"/>
  <c r="X38" i="2"/>
  <c r="W38" i="2"/>
  <c r="V38" i="2"/>
  <c r="Q38" i="2"/>
  <c r="P38" i="2"/>
  <c r="O38" i="2"/>
  <c r="N38" i="2"/>
  <c r="K38" i="2"/>
  <c r="J38" i="2"/>
  <c r="I38" i="2"/>
  <c r="H38" i="2"/>
  <c r="D38" i="2"/>
  <c r="C38" i="2"/>
  <c r="B38" i="2"/>
  <c r="AK37" i="2"/>
  <c r="AJ37" i="2"/>
  <c r="AI37" i="2"/>
  <c r="AH37" i="2"/>
  <c r="AE37" i="2"/>
  <c r="AD37" i="2"/>
  <c r="AC37" i="2"/>
  <c r="AB37" i="2"/>
  <c r="Y37" i="2"/>
  <c r="X37" i="2"/>
  <c r="X61" i="2" s="1"/>
  <c r="W37" i="2"/>
  <c r="W61" i="2" s="1"/>
  <c r="V37" i="2"/>
  <c r="Q37" i="2"/>
  <c r="P37" i="2"/>
  <c r="O37" i="2"/>
  <c r="N37" i="2"/>
  <c r="K37" i="2"/>
  <c r="J37" i="2"/>
  <c r="I37" i="2"/>
  <c r="H37" i="2"/>
  <c r="E37" i="2"/>
  <c r="D37" i="2"/>
  <c r="D56" i="2" s="1"/>
  <c r="C37" i="2"/>
  <c r="C57" i="2" s="1"/>
  <c r="B37" i="2"/>
  <c r="N37" i="1"/>
  <c r="AE61" i="2"/>
  <c r="AB61" i="2"/>
  <c r="AD61" i="2"/>
  <c r="C105" i="2"/>
  <c r="D105" i="2"/>
  <c r="E105" i="2"/>
  <c r="I105" i="2"/>
  <c r="J105" i="2"/>
  <c r="K105" i="2"/>
  <c r="O105" i="2"/>
  <c r="P105" i="2"/>
  <c r="Q105" i="2"/>
  <c r="W105" i="2"/>
  <c r="X105" i="2"/>
  <c r="Y105" i="2"/>
  <c r="AC105" i="2"/>
  <c r="AD105" i="2"/>
  <c r="AE105" i="2"/>
  <c r="AI105" i="2"/>
  <c r="AJ105" i="2"/>
  <c r="AK105" i="2"/>
  <c r="C106" i="2"/>
  <c r="D106" i="2"/>
  <c r="I106" i="2"/>
  <c r="J106" i="2"/>
  <c r="K106" i="2"/>
  <c r="O106" i="2"/>
  <c r="P106" i="2"/>
  <c r="Q106" i="2"/>
  <c r="W106" i="2"/>
  <c r="X106" i="2"/>
  <c r="AC106" i="2"/>
  <c r="AD106" i="2"/>
  <c r="AE106" i="2"/>
  <c r="AI106" i="2"/>
  <c r="AJ106" i="2"/>
  <c r="AK106" i="2"/>
  <c r="C107" i="2"/>
  <c r="D107" i="2"/>
  <c r="D124" i="2" s="1"/>
  <c r="E107" i="2"/>
  <c r="I107" i="2"/>
  <c r="J107" i="2"/>
  <c r="K107" i="2"/>
  <c r="O107" i="2"/>
  <c r="P107" i="2"/>
  <c r="Q107" i="2"/>
  <c r="W107" i="2"/>
  <c r="X107" i="2"/>
  <c r="Y107" i="2"/>
  <c r="AC107" i="2"/>
  <c r="AD107" i="2"/>
  <c r="AE107" i="2"/>
  <c r="AI107" i="2"/>
  <c r="AJ107" i="2"/>
  <c r="AK107" i="2"/>
  <c r="C108" i="2"/>
  <c r="D108" i="2"/>
  <c r="E108" i="2"/>
  <c r="I108" i="2"/>
  <c r="J108" i="2"/>
  <c r="K108" i="2"/>
  <c r="O108" i="2"/>
  <c r="P108" i="2"/>
  <c r="Q108" i="2"/>
  <c r="W108" i="2"/>
  <c r="X108" i="2"/>
  <c r="Y108" i="2"/>
  <c r="AC108" i="2"/>
  <c r="AD108" i="2"/>
  <c r="AE108" i="2"/>
  <c r="AI108" i="2"/>
  <c r="AJ108" i="2"/>
  <c r="AK108" i="2"/>
  <c r="C109" i="2"/>
  <c r="I109" i="2"/>
  <c r="J109" i="2"/>
  <c r="K109" i="2"/>
  <c r="O109" i="2"/>
  <c r="P109" i="2"/>
  <c r="Q109" i="2"/>
  <c r="W109" i="2"/>
  <c r="AC109" i="2"/>
  <c r="AD109" i="2"/>
  <c r="AE109" i="2"/>
  <c r="AI109" i="2"/>
  <c r="AJ109" i="2"/>
  <c r="AK109" i="2"/>
  <c r="C110" i="2"/>
  <c r="D110" i="2"/>
  <c r="I110" i="2"/>
  <c r="J110" i="2"/>
  <c r="K110" i="2"/>
  <c r="O110" i="2"/>
  <c r="P110" i="2"/>
  <c r="Q110" i="2"/>
  <c r="W110" i="2"/>
  <c r="X110" i="2"/>
  <c r="AC110" i="2"/>
  <c r="AD110" i="2"/>
  <c r="AE110" i="2"/>
  <c r="AI110" i="2"/>
  <c r="AJ110" i="2"/>
  <c r="AK110" i="2"/>
  <c r="C111" i="2"/>
  <c r="E111" i="2"/>
  <c r="I111" i="2"/>
  <c r="J111" i="2"/>
  <c r="K111" i="2"/>
  <c r="O111" i="2"/>
  <c r="P111" i="2"/>
  <c r="Q111" i="2"/>
  <c r="W111" i="2"/>
  <c r="Y111" i="2"/>
  <c r="AC111" i="2"/>
  <c r="AD111" i="2"/>
  <c r="AE111" i="2"/>
  <c r="AI111" i="2"/>
  <c r="AJ111" i="2"/>
  <c r="AK111" i="2"/>
  <c r="C112" i="2"/>
  <c r="D112" i="2"/>
  <c r="E112" i="2"/>
  <c r="I112" i="2"/>
  <c r="J112" i="2"/>
  <c r="K112" i="2"/>
  <c r="O112" i="2"/>
  <c r="P112" i="2"/>
  <c r="Q112" i="2"/>
  <c r="W112" i="2"/>
  <c r="X112" i="2"/>
  <c r="Y112" i="2"/>
  <c r="AC112" i="2"/>
  <c r="AD112" i="2"/>
  <c r="AE112" i="2"/>
  <c r="AI112" i="2"/>
  <c r="AJ112" i="2"/>
  <c r="AK112" i="2"/>
  <c r="V129" i="2"/>
  <c r="B129" i="2"/>
  <c r="AB126" i="2"/>
  <c r="E124" i="2"/>
  <c r="AH126" i="2"/>
  <c r="C129" i="2"/>
  <c r="AH38" i="1"/>
  <c r="AI38" i="1"/>
  <c r="AJ38" i="1"/>
  <c r="AK38" i="1"/>
  <c r="AH39" i="1"/>
  <c r="AI39" i="1"/>
  <c r="AJ39" i="1"/>
  <c r="AK39" i="1"/>
  <c r="AH40" i="1"/>
  <c r="AI40" i="1"/>
  <c r="AJ40" i="1"/>
  <c r="AK40" i="1"/>
  <c r="AK61" i="1" s="1"/>
  <c r="AH41" i="1"/>
  <c r="AI41" i="1"/>
  <c r="AJ41" i="1"/>
  <c r="AK41" i="1"/>
  <c r="AH42" i="1"/>
  <c r="AI42" i="1"/>
  <c r="AJ42" i="1"/>
  <c r="AK42" i="1"/>
  <c r="AH43" i="1"/>
  <c r="AI43" i="1"/>
  <c r="AJ43" i="1"/>
  <c r="AK43" i="1"/>
  <c r="AH44" i="1"/>
  <c r="AI44" i="1"/>
  <c r="AJ44" i="1"/>
  <c r="AK44" i="1"/>
  <c r="AJ37" i="1"/>
  <c r="AK37" i="1"/>
  <c r="AH37" i="1"/>
  <c r="AB38" i="1"/>
  <c r="AC38" i="1"/>
  <c r="AD38" i="1"/>
  <c r="AE38" i="1"/>
  <c r="AC39" i="1"/>
  <c r="AD39" i="1"/>
  <c r="AE39" i="1"/>
  <c r="AB40" i="1"/>
  <c r="AC40" i="1"/>
  <c r="AD40" i="1"/>
  <c r="AD61" i="1" s="1"/>
  <c r="AE40" i="1"/>
  <c r="AE61" i="1" s="1"/>
  <c r="AB41" i="1"/>
  <c r="AC41" i="1"/>
  <c r="AD41" i="1"/>
  <c r="AE41" i="1"/>
  <c r="AB42" i="1"/>
  <c r="AC42" i="1"/>
  <c r="AD42" i="1"/>
  <c r="AE42" i="1"/>
  <c r="AB43" i="1"/>
  <c r="AC43" i="1"/>
  <c r="AD43" i="1"/>
  <c r="AE43" i="1"/>
  <c r="AB44" i="1"/>
  <c r="AC44" i="1"/>
  <c r="AD44" i="1"/>
  <c r="AE44" i="1"/>
  <c r="AC37" i="1"/>
  <c r="AD37" i="1"/>
  <c r="AE37" i="1"/>
  <c r="AB37" i="1"/>
  <c r="V38" i="1"/>
  <c r="W38" i="1"/>
  <c r="X38" i="1"/>
  <c r="V40" i="1"/>
  <c r="W40" i="1"/>
  <c r="X40" i="1"/>
  <c r="Y40" i="1"/>
  <c r="Y61" i="1" s="1"/>
  <c r="V41" i="1"/>
  <c r="W41" i="1"/>
  <c r="V42" i="1"/>
  <c r="W42" i="1"/>
  <c r="X42" i="1"/>
  <c r="V43" i="1"/>
  <c r="W43" i="1"/>
  <c r="Y43" i="1"/>
  <c r="V44" i="1"/>
  <c r="W44" i="1"/>
  <c r="X44" i="1"/>
  <c r="Y44" i="1"/>
  <c r="W37" i="1"/>
  <c r="X37" i="1"/>
  <c r="Y37" i="1"/>
  <c r="V37" i="1"/>
  <c r="H37" i="1"/>
  <c r="B37" i="1"/>
  <c r="W105" i="1"/>
  <c r="W71" i="1"/>
  <c r="AH61" i="1"/>
  <c r="Q105" i="1"/>
  <c r="P105" i="1"/>
  <c r="O105" i="1"/>
  <c r="Q71" i="1"/>
  <c r="P71" i="1"/>
  <c r="O71" i="1"/>
  <c r="N38" i="1"/>
  <c r="O38" i="1"/>
  <c r="P38" i="1"/>
  <c r="Q38" i="1"/>
  <c r="N39" i="1"/>
  <c r="O39" i="1"/>
  <c r="P39" i="1"/>
  <c r="Q39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Q37" i="1"/>
  <c r="P37" i="1"/>
  <c r="O37" i="1"/>
  <c r="V33" i="9"/>
  <c r="V32" i="9"/>
  <c r="V31" i="9"/>
  <c r="AK30" i="9"/>
  <c r="AJ30" i="9"/>
  <c r="AI30" i="9"/>
  <c r="AH30" i="9"/>
  <c r="AE30" i="9"/>
  <c r="AD30" i="9"/>
  <c r="AC30" i="9"/>
  <c r="AB30" i="9"/>
  <c r="V30" i="9"/>
  <c r="AK29" i="9"/>
  <c r="AJ29" i="9"/>
  <c r="AI29" i="9"/>
  <c r="AH29" i="9"/>
  <c r="AE29" i="9"/>
  <c r="AD29" i="9"/>
  <c r="AC29" i="9"/>
  <c r="AB29" i="9"/>
  <c r="AK27" i="9"/>
  <c r="AJ27" i="9"/>
  <c r="AI27" i="9"/>
  <c r="AH27" i="9"/>
  <c r="AE27" i="9"/>
  <c r="AD27" i="9"/>
  <c r="AC27" i="9"/>
  <c r="AB27" i="9"/>
  <c r="Y27" i="9"/>
  <c r="X27" i="9"/>
  <c r="W27" i="9"/>
  <c r="V27" i="9"/>
  <c r="AK24" i="9"/>
  <c r="AJ24" i="9"/>
  <c r="AI24" i="9"/>
  <c r="AH24" i="9"/>
  <c r="AE24" i="9"/>
  <c r="AD24" i="9"/>
  <c r="AC24" i="9"/>
  <c r="AB24" i="9"/>
  <c r="Y24" i="9"/>
  <c r="X24" i="9"/>
  <c r="W24" i="9"/>
  <c r="V24" i="9"/>
  <c r="AK23" i="9"/>
  <c r="AK26" i="9" s="1"/>
  <c r="AJ23" i="9"/>
  <c r="AJ26" i="9" s="1"/>
  <c r="AI23" i="9"/>
  <c r="AI26" i="9" s="1"/>
  <c r="AH23" i="9"/>
  <c r="AH26" i="9" s="1"/>
  <c r="AE23" i="9"/>
  <c r="AE26" i="9" s="1"/>
  <c r="AD23" i="9"/>
  <c r="AD26" i="9" s="1"/>
  <c r="AC23" i="9"/>
  <c r="AC26" i="9" s="1"/>
  <c r="AB23" i="9"/>
  <c r="AB26" i="9" s="1"/>
  <c r="Y23" i="9"/>
  <c r="Y26" i="9" s="1"/>
  <c r="X23" i="9"/>
  <c r="X26" i="9" s="1"/>
  <c r="W23" i="9"/>
  <c r="W26" i="9" s="1"/>
  <c r="V23" i="9"/>
  <c r="V26" i="9" s="1"/>
  <c r="AK22" i="9"/>
  <c r="AJ22" i="9"/>
  <c r="AI22" i="9"/>
  <c r="AH22" i="9"/>
  <c r="AE22" i="9"/>
  <c r="AD22" i="9"/>
  <c r="AC22" i="9"/>
  <c r="AB22" i="9"/>
  <c r="Y22" i="9"/>
  <c r="X22" i="9"/>
  <c r="W22" i="9"/>
  <c r="V22" i="9"/>
  <c r="AK21" i="9"/>
  <c r="AJ21" i="9"/>
  <c r="AI21" i="9"/>
  <c r="AH21" i="9"/>
  <c r="AE21" i="9"/>
  <c r="AD21" i="9"/>
  <c r="AC21" i="9"/>
  <c r="AB21" i="9"/>
  <c r="Y21" i="9"/>
  <c r="X21" i="9"/>
  <c r="W21" i="9"/>
  <c r="V21" i="9"/>
  <c r="AK20" i="9"/>
  <c r="AJ20" i="9"/>
  <c r="AI20" i="9"/>
  <c r="AH20" i="9"/>
  <c r="AE20" i="9"/>
  <c r="AD20" i="9"/>
  <c r="AC20" i="9"/>
  <c r="AB20" i="9"/>
  <c r="Y20" i="9"/>
  <c r="X20" i="9"/>
  <c r="W20" i="9"/>
  <c r="V20" i="9"/>
  <c r="V135" i="7"/>
  <c r="V134" i="7"/>
  <c r="V133" i="7"/>
  <c r="V132" i="7"/>
  <c r="AH129" i="7"/>
  <c r="AB129" i="7"/>
  <c r="V129" i="7"/>
  <c r="AH126" i="7"/>
  <c r="AB126" i="7"/>
  <c r="V126" i="7"/>
  <c r="AH125" i="7"/>
  <c r="AH128" i="7" s="1"/>
  <c r="AB125" i="7"/>
  <c r="AB127" i="7" s="1"/>
  <c r="V125" i="7"/>
  <c r="V128" i="7" s="1"/>
  <c r="AH124" i="7"/>
  <c r="AB124" i="7"/>
  <c r="V124" i="7"/>
  <c r="AH123" i="7"/>
  <c r="AB123" i="7"/>
  <c r="V123" i="7"/>
  <c r="AH122" i="7"/>
  <c r="AB122" i="7"/>
  <c r="V122" i="7"/>
  <c r="X112" i="7"/>
  <c r="AI110" i="7"/>
  <c r="W109" i="7"/>
  <c r="AI107" i="7"/>
  <c r="AC106" i="7"/>
  <c r="V101" i="7"/>
  <c r="V100" i="7"/>
  <c r="V99" i="7"/>
  <c r="V98" i="7"/>
  <c r="AH95" i="7"/>
  <c r="AB95" i="7"/>
  <c r="V95" i="7"/>
  <c r="AH92" i="7"/>
  <c r="AB92" i="7"/>
  <c r="V92" i="7"/>
  <c r="AH91" i="7"/>
  <c r="AH94" i="7" s="1"/>
  <c r="AB91" i="7"/>
  <c r="AB94" i="7" s="1"/>
  <c r="V91" i="7"/>
  <c r="V94" i="7" s="1"/>
  <c r="AH90" i="7"/>
  <c r="AB90" i="7"/>
  <c r="V90" i="7"/>
  <c r="AH89" i="7"/>
  <c r="AB89" i="7"/>
  <c r="V89" i="7"/>
  <c r="AH88" i="7"/>
  <c r="AB88" i="7"/>
  <c r="V88" i="7"/>
  <c r="AK78" i="7"/>
  <c r="W78" i="7"/>
  <c r="AE77" i="7"/>
  <c r="AE76" i="7"/>
  <c r="W76" i="7"/>
  <c r="AK74" i="7"/>
  <c r="AE73" i="7"/>
  <c r="X72" i="7"/>
  <c r="AJ71" i="7"/>
  <c r="V67" i="7"/>
  <c r="V66" i="7"/>
  <c r="V65" i="7"/>
  <c r="V64" i="7"/>
  <c r="AB56" i="7"/>
  <c r="W55" i="7"/>
  <c r="AK61" i="7"/>
  <c r="AI61" i="7"/>
  <c r="AE61" i="7"/>
  <c r="AD61" i="7"/>
  <c r="AC61" i="7"/>
  <c r="Y61" i="7"/>
  <c r="W61" i="7"/>
  <c r="V61" i="7"/>
  <c r="V33" i="7"/>
  <c r="V32" i="7"/>
  <c r="V31" i="7"/>
  <c r="AK30" i="7"/>
  <c r="AJ30" i="7"/>
  <c r="AI30" i="7"/>
  <c r="AH30" i="7"/>
  <c r="AE30" i="7"/>
  <c r="AD30" i="7"/>
  <c r="AC30" i="7"/>
  <c r="AB30" i="7"/>
  <c r="V30" i="7"/>
  <c r="AK29" i="7"/>
  <c r="AJ29" i="7"/>
  <c r="AK108" i="7" s="1"/>
  <c r="AI29" i="7"/>
  <c r="AJ108" i="7" s="1"/>
  <c r="AH29" i="7"/>
  <c r="AI108" i="7" s="1"/>
  <c r="AE29" i="7"/>
  <c r="AD29" i="7"/>
  <c r="AE110" i="7" s="1"/>
  <c r="AC29" i="7"/>
  <c r="AD110" i="7" s="1"/>
  <c r="AB29" i="7"/>
  <c r="AC110" i="7" s="1"/>
  <c r="AK27" i="7"/>
  <c r="AJ27" i="7"/>
  <c r="AI27" i="7"/>
  <c r="AH27" i="7"/>
  <c r="AE27" i="7"/>
  <c r="AD27" i="7"/>
  <c r="AC27" i="7"/>
  <c r="AB27" i="7"/>
  <c r="Y27" i="7"/>
  <c r="X27" i="7"/>
  <c r="W27" i="7"/>
  <c r="V27" i="7"/>
  <c r="AK24" i="7"/>
  <c r="AJ24" i="7"/>
  <c r="AI24" i="7"/>
  <c r="AH24" i="7"/>
  <c r="AE24" i="7"/>
  <c r="AD24" i="7"/>
  <c r="AC24" i="7"/>
  <c r="AB24" i="7"/>
  <c r="Y24" i="7"/>
  <c r="X24" i="7"/>
  <c r="W24" i="7"/>
  <c r="V24" i="7"/>
  <c r="AK23" i="7"/>
  <c r="AJ23" i="7"/>
  <c r="AK77" i="7" s="1"/>
  <c r="AI23" i="7"/>
  <c r="AJ74" i="7" s="1"/>
  <c r="AH23" i="7"/>
  <c r="AI74" i="7" s="1"/>
  <c r="AE23" i="7"/>
  <c r="AE26" i="7" s="1"/>
  <c r="AD23" i="7"/>
  <c r="AE74" i="7" s="1"/>
  <c r="AC23" i="7"/>
  <c r="AD76" i="7" s="1"/>
  <c r="AB23" i="7"/>
  <c r="AB26" i="7" s="1"/>
  <c r="Y23" i="7"/>
  <c r="Y26" i="7" s="1"/>
  <c r="X23" i="7"/>
  <c r="Y73" i="7" s="1"/>
  <c r="W23" i="7"/>
  <c r="X106" i="7" s="1"/>
  <c r="V23" i="7"/>
  <c r="W112" i="7" s="1"/>
  <c r="AK22" i="7"/>
  <c r="AJ22" i="7"/>
  <c r="AI22" i="7"/>
  <c r="AH22" i="7"/>
  <c r="AE22" i="7"/>
  <c r="AD22" i="7"/>
  <c r="AC22" i="7"/>
  <c r="AB22" i="7"/>
  <c r="Y22" i="7"/>
  <c r="X22" i="7"/>
  <c r="W22" i="7"/>
  <c r="V22" i="7"/>
  <c r="AK21" i="7"/>
  <c r="AJ21" i="7"/>
  <c r="AI21" i="7"/>
  <c r="AH21" i="7"/>
  <c r="AE21" i="7"/>
  <c r="AD21" i="7"/>
  <c r="AC21" i="7"/>
  <c r="AB21" i="7"/>
  <c r="Y21" i="7"/>
  <c r="X21" i="7"/>
  <c r="W21" i="7"/>
  <c r="V21" i="7"/>
  <c r="AK20" i="7"/>
  <c r="AJ20" i="7"/>
  <c r="AI20" i="7"/>
  <c r="AH20" i="7"/>
  <c r="AE20" i="7"/>
  <c r="AD20" i="7"/>
  <c r="AC20" i="7"/>
  <c r="AB20" i="7"/>
  <c r="Y20" i="7"/>
  <c r="X20" i="7"/>
  <c r="W20" i="7"/>
  <c r="V20" i="7"/>
  <c r="V135" i="6"/>
  <c r="V134" i="6"/>
  <c r="V133" i="6"/>
  <c r="V132" i="6"/>
  <c r="AH129" i="6"/>
  <c r="AB129" i="6"/>
  <c r="V129" i="6"/>
  <c r="AH126" i="6"/>
  <c r="AB126" i="6"/>
  <c r="V126" i="6"/>
  <c r="AH125" i="6"/>
  <c r="AH128" i="6" s="1"/>
  <c r="AB125" i="6"/>
  <c r="AB127" i="6" s="1"/>
  <c r="V125" i="6"/>
  <c r="V128" i="6" s="1"/>
  <c r="AH124" i="6"/>
  <c r="AB124" i="6"/>
  <c r="V124" i="6"/>
  <c r="AH123" i="6"/>
  <c r="AB123" i="6"/>
  <c r="V123" i="6"/>
  <c r="AH122" i="6"/>
  <c r="AB122" i="6"/>
  <c r="V122" i="6"/>
  <c r="AI112" i="6"/>
  <c r="X112" i="6"/>
  <c r="AC111" i="6"/>
  <c r="W109" i="6"/>
  <c r="Y108" i="6"/>
  <c r="AK106" i="6"/>
  <c r="AC106" i="6"/>
  <c r="V101" i="6"/>
  <c r="V100" i="6"/>
  <c r="V99" i="6"/>
  <c r="V98" i="6"/>
  <c r="AH95" i="6"/>
  <c r="AB95" i="6"/>
  <c r="V95" i="6"/>
  <c r="AH92" i="6"/>
  <c r="AB92" i="6"/>
  <c r="V92" i="6"/>
  <c r="AH91" i="6"/>
  <c r="AH94" i="6" s="1"/>
  <c r="AB91" i="6"/>
  <c r="AB94" i="6" s="1"/>
  <c r="V91" i="6"/>
  <c r="V94" i="6" s="1"/>
  <c r="AH90" i="6"/>
  <c r="AB90" i="6"/>
  <c r="V90" i="6"/>
  <c r="AH89" i="6"/>
  <c r="AB89" i="6"/>
  <c r="V89" i="6"/>
  <c r="AH88" i="6"/>
  <c r="AB88" i="6"/>
  <c r="V88" i="6"/>
  <c r="AE78" i="6"/>
  <c r="W78" i="6"/>
  <c r="Y77" i="6"/>
  <c r="AE76" i="6"/>
  <c r="X74" i="6"/>
  <c r="AE73" i="6"/>
  <c r="AJ72" i="6"/>
  <c r="X72" i="6"/>
  <c r="W72" i="6"/>
  <c r="AC71" i="6"/>
  <c r="V67" i="6"/>
  <c r="V66" i="6"/>
  <c r="V65" i="6"/>
  <c r="V64" i="6"/>
  <c r="AE58" i="6"/>
  <c r="W61" i="6"/>
  <c r="AK57" i="6"/>
  <c r="AK61" i="6"/>
  <c r="AI61" i="6"/>
  <c r="AD61" i="6"/>
  <c r="AC61" i="6"/>
  <c r="Y61" i="6"/>
  <c r="V33" i="6"/>
  <c r="V32" i="6"/>
  <c r="V31" i="6"/>
  <c r="AK30" i="6"/>
  <c r="AJ30" i="6"/>
  <c r="AI30" i="6"/>
  <c r="AH30" i="6"/>
  <c r="AE30" i="6"/>
  <c r="AD30" i="6"/>
  <c r="AC30" i="6"/>
  <c r="AB30" i="6"/>
  <c r="V30" i="6"/>
  <c r="AK29" i="6"/>
  <c r="AJ29" i="6"/>
  <c r="AK108" i="6" s="1"/>
  <c r="AI29" i="6"/>
  <c r="AJ108" i="6" s="1"/>
  <c r="AH29" i="6"/>
  <c r="AI108" i="6" s="1"/>
  <c r="AE29" i="6"/>
  <c r="AD29" i="6"/>
  <c r="AE110" i="6" s="1"/>
  <c r="AC29" i="6"/>
  <c r="AD110" i="6" s="1"/>
  <c r="AB29" i="6"/>
  <c r="AC110" i="6" s="1"/>
  <c r="AK27" i="6"/>
  <c r="AJ27" i="6"/>
  <c r="AI27" i="6"/>
  <c r="AH27" i="6"/>
  <c r="AE27" i="6"/>
  <c r="AD27" i="6"/>
  <c r="AC27" i="6"/>
  <c r="AB27" i="6"/>
  <c r="Y27" i="6"/>
  <c r="X27" i="6"/>
  <c r="W27" i="6"/>
  <c r="V27" i="6"/>
  <c r="AK24" i="6"/>
  <c r="AJ24" i="6"/>
  <c r="AI24" i="6"/>
  <c r="AH24" i="6"/>
  <c r="AE24" i="6"/>
  <c r="AD24" i="6"/>
  <c r="AC24" i="6"/>
  <c r="AB24" i="6"/>
  <c r="Y24" i="6"/>
  <c r="X24" i="6"/>
  <c r="W24" i="6"/>
  <c r="V24" i="6"/>
  <c r="AK23" i="6"/>
  <c r="AK26" i="6" s="1"/>
  <c r="AJ23" i="6"/>
  <c r="AK77" i="6" s="1"/>
  <c r="AI23" i="6"/>
  <c r="AJ74" i="6" s="1"/>
  <c r="AH23" i="6"/>
  <c r="AI74" i="6" s="1"/>
  <c r="AE23" i="6"/>
  <c r="AE26" i="6" s="1"/>
  <c r="AD23" i="6"/>
  <c r="AE74" i="6" s="1"/>
  <c r="AC23" i="6"/>
  <c r="AD76" i="6" s="1"/>
  <c r="AB23" i="6"/>
  <c r="AB26" i="6" s="1"/>
  <c r="Y23" i="6"/>
  <c r="Y26" i="6" s="1"/>
  <c r="X23" i="6"/>
  <c r="Y73" i="6" s="1"/>
  <c r="W23" i="6"/>
  <c r="X106" i="6" s="1"/>
  <c r="V23" i="6"/>
  <c r="W112" i="6" s="1"/>
  <c r="AK22" i="6"/>
  <c r="AJ22" i="6"/>
  <c r="AI22" i="6"/>
  <c r="AH22" i="6"/>
  <c r="AE22" i="6"/>
  <c r="AD22" i="6"/>
  <c r="AC22" i="6"/>
  <c r="AB22" i="6"/>
  <c r="Y22" i="6"/>
  <c r="X22" i="6"/>
  <c r="W22" i="6"/>
  <c r="V22" i="6"/>
  <c r="AK21" i="6"/>
  <c r="AJ21" i="6"/>
  <c r="AI21" i="6"/>
  <c r="AH21" i="6"/>
  <c r="AE21" i="6"/>
  <c r="AD21" i="6"/>
  <c r="AC21" i="6"/>
  <c r="AB21" i="6"/>
  <c r="Y21" i="6"/>
  <c r="X21" i="6"/>
  <c r="W21" i="6"/>
  <c r="V21" i="6"/>
  <c r="AK20" i="6"/>
  <c r="AJ20" i="6"/>
  <c r="AI20" i="6"/>
  <c r="AH20" i="6"/>
  <c r="AE20" i="6"/>
  <c r="AD20" i="6"/>
  <c r="AC20" i="6"/>
  <c r="AB20" i="6"/>
  <c r="Y20" i="6"/>
  <c r="X20" i="6"/>
  <c r="W20" i="6"/>
  <c r="V20" i="6"/>
  <c r="V135" i="5"/>
  <c r="V134" i="5"/>
  <c r="V133" i="5"/>
  <c r="V132" i="5"/>
  <c r="AH129" i="5"/>
  <c r="AB129" i="5"/>
  <c r="V129" i="5"/>
  <c r="AH126" i="5"/>
  <c r="AB126" i="5"/>
  <c r="V126" i="5"/>
  <c r="AH125" i="5"/>
  <c r="AH128" i="5" s="1"/>
  <c r="AB125" i="5"/>
  <c r="AB127" i="5" s="1"/>
  <c r="V125" i="5"/>
  <c r="V128" i="5" s="1"/>
  <c r="AH124" i="5"/>
  <c r="AB124" i="5"/>
  <c r="V124" i="5"/>
  <c r="AH123" i="5"/>
  <c r="AB123" i="5"/>
  <c r="V123" i="5"/>
  <c r="AH122" i="5"/>
  <c r="AB122" i="5"/>
  <c r="V122" i="5"/>
  <c r="AI112" i="5"/>
  <c r="X112" i="5"/>
  <c r="AC111" i="5"/>
  <c r="AI110" i="5"/>
  <c r="AD110" i="5"/>
  <c r="W109" i="5"/>
  <c r="AD108" i="5"/>
  <c r="X108" i="5"/>
  <c r="AI107" i="5"/>
  <c r="AD107" i="5"/>
  <c r="X107" i="5"/>
  <c r="AD106" i="5"/>
  <c r="AC106" i="5"/>
  <c r="AD105" i="5"/>
  <c r="V101" i="5"/>
  <c r="V100" i="5"/>
  <c r="V99" i="5"/>
  <c r="V98" i="5"/>
  <c r="AH95" i="5"/>
  <c r="AB95" i="5"/>
  <c r="V95" i="5"/>
  <c r="AH92" i="5"/>
  <c r="AB92" i="5"/>
  <c r="V92" i="5"/>
  <c r="AH91" i="5"/>
  <c r="AH94" i="5" s="1"/>
  <c r="AB91" i="5"/>
  <c r="AB94" i="5" s="1"/>
  <c r="V91" i="5"/>
  <c r="V94" i="5" s="1"/>
  <c r="AH90" i="5"/>
  <c r="AB90" i="5"/>
  <c r="V90" i="5"/>
  <c r="AH89" i="5"/>
  <c r="AB89" i="5"/>
  <c r="V89" i="5"/>
  <c r="AH88" i="5"/>
  <c r="AB88" i="5"/>
  <c r="V88" i="5"/>
  <c r="X78" i="5"/>
  <c r="W78" i="5"/>
  <c r="AI77" i="5"/>
  <c r="Y77" i="5"/>
  <c r="AI76" i="5"/>
  <c r="AE76" i="5"/>
  <c r="AC76" i="5"/>
  <c r="X76" i="5"/>
  <c r="AI75" i="5"/>
  <c r="W75" i="5"/>
  <c r="AK74" i="5"/>
  <c r="AI74" i="5"/>
  <c r="X74" i="5"/>
  <c r="AI73" i="5"/>
  <c r="AE73" i="5"/>
  <c r="AC73" i="5"/>
  <c r="AJ72" i="5"/>
  <c r="AI72" i="5"/>
  <c r="AC72" i="5"/>
  <c r="X72" i="5"/>
  <c r="AC71" i="5"/>
  <c r="V67" i="5"/>
  <c r="V66" i="5"/>
  <c r="V65" i="5"/>
  <c r="V64" i="5"/>
  <c r="X54" i="5"/>
  <c r="Y56" i="5"/>
  <c r="AK61" i="5"/>
  <c r="AJ61" i="5"/>
  <c r="AI61" i="5"/>
  <c r="AD61" i="5"/>
  <c r="W61" i="5"/>
  <c r="V33" i="5"/>
  <c r="V32" i="5"/>
  <c r="V31" i="5"/>
  <c r="AK30" i="5"/>
  <c r="AJ30" i="5"/>
  <c r="AI30" i="5"/>
  <c r="AH30" i="5"/>
  <c r="AE30" i="5"/>
  <c r="AD30" i="5"/>
  <c r="AC30" i="5"/>
  <c r="AB30" i="5"/>
  <c r="V30" i="5"/>
  <c r="AK29" i="5"/>
  <c r="AJ29" i="5"/>
  <c r="AK108" i="5" s="1"/>
  <c r="AI29" i="5"/>
  <c r="AJ108" i="5" s="1"/>
  <c r="AH29" i="5"/>
  <c r="AI108" i="5" s="1"/>
  <c r="AE29" i="5"/>
  <c r="AD29" i="5"/>
  <c r="AE110" i="5" s="1"/>
  <c r="AC29" i="5"/>
  <c r="AD111" i="5" s="1"/>
  <c r="AB29" i="5"/>
  <c r="AC110" i="5" s="1"/>
  <c r="AK27" i="5"/>
  <c r="AJ27" i="5"/>
  <c r="AI27" i="5"/>
  <c r="AH27" i="5"/>
  <c r="AE27" i="5"/>
  <c r="AD27" i="5"/>
  <c r="AC27" i="5"/>
  <c r="AB27" i="5"/>
  <c r="Y27" i="5"/>
  <c r="X27" i="5"/>
  <c r="W27" i="5"/>
  <c r="V27" i="5"/>
  <c r="AK24" i="5"/>
  <c r="AJ24" i="5"/>
  <c r="AI24" i="5"/>
  <c r="AH24" i="5"/>
  <c r="AE24" i="5"/>
  <c r="AD24" i="5"/>
  <c r="AC24" i="5"/>
  <c r="AB24" i="5"/>
  <c r="Y24" i="5"/>
  <c r="X24" i="5"/>
  <c r="W24" i="5"/>
  <c r="V24" i="5"/>
  <c r="AK23" i="5"/>
  <c r="AK26" i="5" s="1"/>
  <c r="AJ23" i="5"/>
  <c r="AK77" i="5" s="1"/>
  <c r="AI23" i="5"/>
  <c r="AJ74" i="5" s="1"/>
  <c r="AH23" i="5"/>
  <c r="AI71" i="5" s="1"/>
  <c r="AE23" i="5"/>
  <c r="AE26" i="5" s="1"/>
  <c r="AD23" i="5"/>
  <c r="AE74" i="5" s="1"/>
  <c r="AC23" i="5"/>
  <c r="AD76" i="5" s="1"/>
  <c r="AB23" i="5"/>
  <c r="AB26" i="5" s="1"/>
  <c r="Y23" i="5"/>
  <c r="Y26" i="5" s="1"/>
  <c r="X23" i="5"/>
  <c r="Y73" i="5" s="1"/>
  <c r="W23" i="5"/>
  <c r="X106" i="5" s="1"/>
  <c r="V23" i="5"/>
  <c r="W112" i="5" s="1"/>
  <c r="AK22" i="5"/>
  <c r="AJ22" i="5"/>
  <c r="AI22" i="5"/>
  <c r="AH22" i="5"/>
  <c r="AE22" i="5"/>
  <c r="AD22" i="5"/>
  <c r="AC22" i="5"/>
  <c r="AB22" i="5"/>
  <c r="Y22" i="5"/>
  <c r="X22" i="5"/>
  <c r="W22" i="5"/>
  <c r="V22" i="5"/>
  <c r="AK21" i="5"/>
  <c r="AJ21" i="5"/>
  <c r="AI21" i="5"/>
  <c r="AH21" i="5"/>
  <c r="AE21" i="5"/>
  <c r="AD21" i="5"/>
  <c r="AC21" i="5"/>
  <c r="AB21" i="5"/>
  <c r="Y21" i="5"/>
  <c r="X21" i="5"/>
  <c r="W21" i="5"/>
  <c r="V21" i="5"/>
  <c r="AK20" i="5"/>
  <c r="AJ20" i="5"/>
  <c r="AI20" i="5"/>
  <c r="AH20" i="5"/>
  <c r="AE20" i="5"/>
  <c r="AD20" i="5"/>
  <c r="AC20" i="5"/>
  <c r="AB20" i="5"/>
  <c r="Y20" i="5"/>
  <c r="X20" i="5"/>
  <c r="W20" i="5"/>
  <c r="V20" i="5"/>
  <c r="V135" i="4"/>
  <c r="V134" i="4"/>
  <c r="V133" i="4"/>
  <c r="V132" i="4"/>
  <c r="AH129" i="4"/>
  <c r="AB129" i="4"/>
  <c r="V129" i="4"/>
  <c r="AH126" i="4"/>
  <c r="AB126" i="4"/>
  <c r="V126" i="4"/>
  <c r="AH125" i="4"/>
  <c r="AH128" i="4" s="1"/>
  <c r="AB125" i="4"/>
  <c r="AB127" i="4" s="1"/>
  <c r="V125" i="4"/>
  <c r="V128" i="4" s="1"/>
  <c r="AH124" i="4"/>
  <c r="AB124" i="4"/>
  <c r="V124" i="4"/>
  <c r="AH123" i="4"/>
  <c r="AB123" i="4"/>
  <c r="V123" i="4"/>
  <c r="AH122" i="4"/>
  <c r="AB122" i="4"/>
  <c r="V122" i="4"/>
  <c r="X112" i="4"/>
  <c r="AI110" i="4"/>
  <c r="W109" i="4"/>
  <c r="AI107" i="4"/>
  <c r="V101" i="4"/>
  <c r="V100" i="4"/>
  <c r="V99" i="4"/>
  <c r="V98" i="4"/>
  <c r="AH95" i="4"/>
  <c r="AB95" i="4"/>
  <c r="V95" i="4"/>
  <c r="AH92" i="4"/>
  <c r="AB92" i="4"/>
  <c r="V92" i="4"/>
  <c r="AH91" i="4"/>
  <c r="AH94" i="4" s="1"/>
  <c r="AB91" i="4"/>
  <c r="AB94" i="4" s="1"/>
  <c r="V91" i="4"/>
  <c r="V94" i="4" s="1"/>
  <c r="AH90" i="4"/>
  <c r="AB90" i="4"/>
  <c r="V90" i="4"/>
  <c r="AH89" i="4"/>
  <c r="AB89" i="4"/>
  <c r="V89" i="4"/>
  <c r="AH88" i="4"/>
  <c r="AB88" i="4"/>
  <c r="V88" i="4"/>
  <c r="AK78" i="4"/>
  <c r="W78" i="4"/>
  <c r="AJ77" i="4"/>
  <c r="AE77" i="4"/>
  <c r="AE76" i="4"/>
  <c r="AE74" i="4"/>
  <c r="AE73" i="4"/>
  <c r="X72" i="4"/>
  <c r="AK71" i="4"/>
  <c r="AJ71" i="4"/>
  <c r="V67" i="4"/>
  <c r="V66" i="4"/>
  <c r="V65" i="4"/>
  <c r="V64" i="4"/>
  <c r="AK57" i="4"/>
  <c r="AK58" i="4"/>
  <c r="W61" i="4"/>
  <c r="AK61" i="4"/>
  <c r="AH61" i="4"/>
  <c r="AD61" i="4"/>
  <c r="Y61" i="4"/>
  <c r="V33" i="4"/>
  <c r="V32" i="4"/>
  <c r="V31" i="4"/>
  <c r="AK30" i="4"/>
  <c r="AJ30" i="4"/>
  <c r="AI30" i="4"/>
  <c r="AH30" i="4"/>
  <c r="AE30" i="4"/>
  <c r="AD30" i="4"/>
  <c r="AC30" i="4"/>
  <c r="AB30" i="4"/>
  <c r="V30" i="4"/>
  <c r="AK29" i="4"/>
  <c r="AJ29" i="4"/>
  <c r="AK108" i="4" s="1"/>
  <c r="AI29" i="4"/>
  <c r="AJ108" i="4" s="1"/>
  <c r="AH29" i="4"/>
  <c r="AI108" i="4" s="1"/>
  <c r="AE29" i="4"/>
  <c r="AD29" i="4"/>
  <c r="AE110" i="4" s="1"/>
  <c r="AC29" i="4"/>
  <c r="AD110" i="4" s="1"/>
  <c r="AB29" i="4"/>
  <c r="AC110" i="4" s="1"/>
  <c r="AK27" i="4"/>
  <c r="AJ27" i="4"/>
  <c r="AI27" i="4"/>
  <c r="AH27" i="4"/>
  <c r="AE27" i="4"/>
  <c r="AD27" i="4"/>
  <c r="AC27" i="4"/>
  <c r="AB27" i="4"/>
  <c r="Y27" i="4"/>
  <c r="X27" i="4"/>
  <c r="W27" i="4"/>
  <c r="V27" i="4"/>
  <c r="AK24" i="4"/>
  <c r="AJ24" i="4"/>
  <c r="AI24" i="4"/>
  <c r="AH24" i="4"/>
  <c r="AE24" i="4"/>
  <c r="AD24" i="4"/>
  <c r="AC24" i="4"/>
  <c r="AB24" i="4"/>
  <c r="Y24" i="4"/>
  <c r="X24" i="4"/>
  <c r="W24" i="4"/>
  <c r="V24" i="4"/>
  <c r="AK23" i="4"/>
  <c r="AK26" i="4" s="1"/>
  <c r="AJ23" i="4"/>
  <c r="AK77" i="4" s="1"/>
  <c r="AI23" i="4"/>
  <c r="AJ74" i="4" s="1"/>
  <c r="AH23" i="4"/>
  <c r="AI74" i="4" s="1"/>
  <c r="AE23" i="4"/>
  <c r="AD23" i="4"/>
  <c r="AE71" i="4" s="1"/>
  <c r="AC23" i="4"/>
  <c r="AD76" i="4" s="1"/>
  <c r="AB23" i="4"/>
  <c r="AB26" i="4" s="1"/>
  <c r="Y23" i="4"/>
  <c r="Y26" i="4" s="1"/>
  <c r="X23" i="4"/>
  <c r="Y73" i="4" s="1"/>
  <c r="W23" i="4"/>
  <c r="X106" i="4" s="1"/>
  <c r="V23" i="4"/>
  <c r="W112" i="4" s="1"/>
  <c r="AK22" i="4"/>
  <c r="AJ22" i="4"/>
  <c r="AI22" i="4"/>
  <c r="AH22" i="4"/>
  <c r="AE22" i="4"/>
  <c r="AD22" i="4"/>
  <c r="AC22" i="4"/>
  <c r="AB22" i="4"/>
  <c r="Y22" i="4"/>
  <c r="X22" i="4"/>
  <c r="W22" i="4"/>
  <c r="V22" i="4"/>
  <c r="AK21" i="4"/>
  <c r="AJ21" i="4"/>
  <c r="AI21" i="4"/>
  <c r="AH21" i="4"/>
  <c r="AE21" i="4"/>
  <c r="AD21" i="4"/>
  <c r="AC21" i="4"/>
  <c r="AB21" i="4"/>
  <c r="Y21" i="4"/>
  <c r="X21" i="4"/>
  <c r="W21" i="4"/>
  <c r="V21" i="4"/>
  <c r="AK20" i="4"/>
  <c r="AJ20" i="4"/>
  <c r="AI20" i="4"/>
  <c r="AH20" i="4"/>
  <c r="AE20" i="4"/>
  <c r="AD20" i="4"/>
  <c r="AC20" i="4"/>
  <c r="AB20" i="4"/>
  <c r="Y20" i="4"/>
  <c r="X20" i="4"/>
  <c r="W20" i="4"/>
  <c r="V20" i="4"/>
  <c r="V135" i="3"/>
  <c r="V134" i="3"/>
  <c r="V133" i="3"/>
  <c r="V132" i="3"/>
  <c r="AH129" i="3"/>
  <c r="AB129" i="3"/>
  <c r="V129" i="3"/>
  <c r="AH126" i="3"/>
  <c r="AB126" i="3"/>
  <c r="V126" i="3"/>
  <c r="AH125" i="3"/>
  <c r="AH128" i="3" s="1"/>
  <c r="AB125" i="3"/>
  <c r="AB128" i="3" s="1"/>
  <c r="V125" i="3"/>
  <c r="V128" i="3" s="1"/>
  <c r="AH124" i="3"/>
  <c r="AB124" i="3"/>
  <c r="V124" i="3"/>
  <c r="AH123" i="3"/>
  <c r="AB123" i="3"/>
  <c r="V123" i="3"/>
  <c r="AH122" i="3"/>
  <c r="AB122" i="3"/>
  <c r="V122" i="3"/>
  <c r="AC112" i="3"/>
  <c r="AK111" i="3"/>
  <c r="AI111" i="3"/>
  <c r="W111" i="3"/>
  <c r="AK110" i="3"/>
  <c r="AI110" i="3"/>
  <c r="AC110" i="3"/>
  <c r="AI109" i="3"/>
  <c r="W109" i="3"/>
  <c r="AI108" i="3"/>
  <c r="W108" i="3"/>
  <c r="AK107" i="3"/>
  <c r="AI107" i="3"/>
  <c r="AC107" i="3"/>
  <c r="AK106" i="3"/>
  <c r="AI106" i="3"/>
  <c r="AC106" i="3"/>
  <c r="W106" i="3"/>
  <c r="AC105" i="3"/>
  <c r="V101" i="3"/>
  <c r="V100" i="3"/>
  <c r="V99" i="3"/>
  <c r="V98" i="3"/>
  <c r="AH95" i="3"/>
  <c r="AB95" i="3"/>
  <c r="V95" i="3"/>
  <c r="AH92" i="3"/>
  <c r="AB92" i="3"/>
  <c r="V92" i="3"/>
  <c r="AH91" i="3"/>
  <c r="AH94" i="3" s="1"/>
  <c r="AB91" i="3"/>
  <c r="AB94" i="3" s="1"/>
  <c r="V91" i="3"/>
  <c r="V94" i="3" s="1"/>
  <c r="AH90" i="3"/>
  <c r="AB90" i="3"/>
  <c r="V90" i="3"/>
  <c r="AH89" i="3"/>
  <c r="AB89" i="3"/>
  <c r="V89" i="3"/>
  <c r="AH88" i="3"/>
  <c r="AB88" i="3"/>
  <c r="V88" i="3"/>
  <c r="AE78" i="3"/>
  <c r="AC78" i="3"/>
  <c r="W78" i="3"/>
  <c r="AE77" i="3"/>
  <c r="W77" i="3"/>
  <c r="AE76" i="3"/>
  <c r="AC76" i="3"/>
  <c r="W76" i="3"/>
  <c r="AE75" i="3"/>
  <c r="AC75" i="3"/>
  <c r="AK74" i="3"/>
  <c r="AE74" i="3"/>
  <c r="W74" i="3"/>
  <c r="AE73" i="3"/>
  <c r="AC73" i="3"/>
  <c r="AE72" i="3"/>
  <c r="X72" i="3"/>
  <c r="W72" i="3"/>
  <c r="AC71" i="3"/>
  <c r="W71" i="3"/>
  <c r="V67" i="3"/>
  <c r="V66" i="3"/>
  <c r="V65" i="3"/>
  <c r="V64" i="3"/>
  <c r="AE58" i="3"/>
  <c r="AK61" i="3"/>
  <c r="AI61" i="3"/>
  <c r="AD61" i="3"/>
  <c r="AC61" i="3"/>
  <c r="Y61" i="3"/>
  <c r="W61" i="3"/>
  <c r="V33" i="3"/>
  <c r="V32" i="3"/>
  <c r="V31" i="3"/>
  <c r="AK30" i="3"/>
  <c r="AJ30" i="3"/>
  <c r="AI30" i="3"/>
  <c r="AH30" i="3"/>
  <c r="AE30" i="3"/>
  <c r="AD30" i="3"/>
  <c r="AC30" i="3"/>
  <c r="AB30" i="3"/>
  <c r="V30" i="3"/>
  <c r="AK29" i="3"/>
  <c r="AJ29" i="3"/>
  <c r="AK108" i="3" s="1"/>
  <c r="AI29" i="3"/>
  <c r="AJ108" i="3" s="1"/>
  <c r="AH29" i="3"/>
  <c r="AI105" i="3" s="1"/>
  <c r="AE29" i="3"/>
  <c r="AD29" i="3"/>
  <c r="AE110" i="3" s="1"/>
  <c r="AC29" i="3"/>
  <c r="AD110" i="3" s="1"/>
  <c r="AB29" i="3"/>
  <c r="AC108" i="3" s="1"/>
  <c r="AK27" i="3"/>
  <c r="AJ27" i="3"/>
  <c r="AI27" i="3"/>
  <c r="AH27" i="3"/>
  <c r="AE27" i="3"/>
  <c r="AD27" i="3"/>
  <c r="AC27" i="3"/>
  <c r="AB27" i="3"/>
  <c r="Y27" i="3"/>
  <c r="X27" i="3"/>
  <c r="W27" i="3"/>
  <c r="V27" i="3"/>
  <c r="AK24" i="3"/>
  <c r="AJ24" i="3"/>
  <c r="AI24" i="3"/>
  <c r="AH24" i="3"/>
  <c r="AE24" i="3"/>
  <c r="AD24" i="3"/>
  <c r="AC24" i="3"/>
  <c r="AB24" i="3"/>
  <c r="Y24" i="3"/>
  <c r="X24" i="3"/>
  <c r="W24" i="3"/>
  <c r="V24" i="3"/>
  <c r="AK23" i="3"/>
  <c r="AK26" i="3" s="1"/>
  <c r="AJ23" i="3"/>
  <c r="AK77" i="3" s="1"/>
  <c r="AI23" i="3"/>
  <c r="AJ74" i="3" s="1"/>
  <c r="AH23" i="3"/>
  <c r="AI74" i="3" s="1"/>
  <c r="AE23" i="3"/>
  <c r="AE26" i="3" s="1"/>
  <c r="AD23" i="3"/>
  <c r="AE71" i="3" s="1"/>
  <c r="AC23" i="3"/>
  <c r="AD76" i="3" s="1"/>
  <c r="AB23" i="3"/>
  <c r="AB26" i="3" s="1"/>
  <c r="Y23" i="3"/>
  <c r="Y26" i="3" s="1"/>
  <c r="X23" i="3"/>
  <c r="Y73" i="3" s="1"/>
  <c r="W23" i="3"/>
  <c r="X106" i="3" s="1"/>
  <c r="V23" i="3"/>
  <c r="W112" i="3" s="1"/>
  <c r="AK22" i="3"/>
  <c r="AJ22" i="3"/>
  <c r="AI22" i="3"/>
  <c r="AH22" i="3"/>
  <c r="AE22" i="3"/>
  <c r="AD22" i="3"/>
  <c r="AC22" i="3"/>
  <c r="AB22" i="3"/>
  <c r="Y22" i="3"/>
  <c r="X22" i="3"/>
  <c r="W22" i="3"/>
  <c r="V22" i="3"/>
  <c r="AK21" i="3"/>
  <c r="AJ21" i="3"/>
  <c r="AI21" i="3"/>
  <c r="AH21" i="3"/>
  <c r="AE21" i="3"/>
  <c r="AD21" i="3"/>
  <c r="AC21" i="3"/>
  <c r="AB21" i="3"/>
  <c r="Y21" i="3"/>
  <c r="X21" i="3"/>
  <c r="W21" i="3"/>
  <c r="V21" i="3"/>
  <c r="AK20" i="3"/>
  <c r="AJ20" i="3"/>
  <c r="AI20" i="3"/>
  <c r="AH20" i="3"/>
  <c r="AE20" i="3"/>
  <c r="AD20" i="3"/>
  <c r="AC20" i="3"/>
  <c r="AB20" i="3"/>
  <c r="Y20" i="3"/>
  <c r="X20" i="3"/>
  <c r="W20" i="3"/>
  <c r="V20" i="3"/>
  <c r="V135" i="2"/>
  <c r="V134" i="2"/>
  <c r="V133" i="2"/>
  <c r="V132" i="2"/>
  <c r="AB129" i="2"/>
  <c r="AB123" i="2"/>
  <c r="V101" i="2"/>
  <c r="V100" i="2"/>
  <c r="V99" i="2"/>
  <c r="V98" i="2"/>
  <c r="AH95" i="2"/>
  <c r="AB95" i="2"/>
  <c r="V95" i="2"/>
  <c r="AH92" i="2"/>
  <c r="AB92" i="2"/>
  <c r="V92" i="2"/>
  <c r="AH91" i="2"/>
  <c r="AH94" i="2" s="1"/>
  <c r="AB91" i="2"/>
  <c r="AB94" i="2" s="1"/>
  <c r="V91" i="2"/>
  <c r="V94" i="2" s="1"/>
  <c r="AH90" i="2"/>
  <c r="AB90" i="2"/>
  <c r="V90" i="2"/>
  <c r="AH89" i="2"/>
  <c r="AB89" i="2"/>
  <c r="V89" i="2"/>
  <c r="AH88" i="2"/>
  <c r="AB88" i="2"/>
  <c r="V88" i="2"/>
  <c r="W78" i="2"/>
  <c r="AE76" i="2"/>
  <c r="AK74" i="2"/>
  <c r="AE73" i="2"/>
  <c r="X72" i="2"/>
  <c r="V67" i="2"/>
  <c r="V66" i="2"/>
  <c r="V65" i="2"/>
  <c r="V64" i="2"/>
  <c r="V33" i="2"/>
  <c r="V32" i="2"/>
  <c r="V31" i="2"/>
  <c r="AK30" i="2"/>
  <c r="AJ30" i="2"/>
  <c r="AI30" i="2"/>
  <c r="AH30" i="2"/>
  <c r="AE30" i="2"/>
  <c r="AD30" i="2"/>
  <c r="AC30" i="2"/>
  <c r="AB30" i="2"/>
  <c r="V30" i="2"/>
  <c r="AK29" i="2"/>
  <c r="AJ29" i="2"/>
  <c r="AI29" i="2"/>
  <c r="AH29" i="2"/>
  <c r="AE29" i="2"/>
  <c r="AD29" i="2"/>
  <c r="AC29" i="2"/>
  <c r="AB29" i="2"/>
  <c r="AK27" i="2"/>
  <c r="AJ27" i="2"/>
  <c r="AI27" i="2"/>
  <c r="AH27" i="2"/>
  <c r="AE27" i="2"/>
  <c r="AD27" i="2"/>
  <c r="AC27" i="2"/>
  <c r="AB27" i="2"/>
  <c r="Y27" i="2"/>
  <c r="X27" i="2"/>
  <c r="W27" i="2"/>
  <c r="V27" i="2"/>
  <c r="AK24" i="2"/>
  <c r="AJ24" i="2"/>
  <c r="AI24" i="2"/>
  <c r="AH24" i="2"/>
  <c r="AE24" i="2"/>
  <c r="AD24" i="2"/>
  <c r="AC24" i="2"/>
  <c r="AB24" i="2"/>
  <c r="Y24" i="2"/>
  <c r="X24" i="2"/>
  <c r="W24" i="2"/>
  <c r="V24" i="2"/>
  <c r="AK23" i="2"/>
  <c r="AK26" i="2" s="1"/>
  <c r="AJ23" i="2"/>
  <c r="AK77" i="2" s="1"/>
  <c r="AI23" i="2"/>
  <c r="AJ74" i="2" s="1"/>
  <c r="AH23" i="2"/>
  <c r="AI74" i="2" s="1"/>
  <c r="AE23" i="2"/>
  <c r="AE26" i="2" s="1"/>
  <c r="AD23" i="2"/>
  <c r="AE74" i="2" s="1"/>
  <c r="AC23" i="2"/>
  <c r="AD76" i="2" s="1"/>
  <c r="AB23" i="2"/>
  <c r="AB26" i="2" s="1"/>
  <c r="Y23" i="2"/>
  <c r="Y26" i="2" s="1"/>
  <c r="X23" i="2"/>
  <c r="Y73" i="2" s="1"/>
  <c r="W23" i="2"/>
  <c r="V23" i="2"/>
  <c r="AK22" i="2"/>
  <c r="AJ22" i="2"/>
  <c r="AI22" i="2"/>
  <c r="AH22" i="2"/>
  <c r="AE22" i="2"/>
  <c r="AD22" i="2"/>
  <c r="AC22" i="2"/>
  <c r="AB22" i="2"/>
  <c r="Y22" i="2"/>
  <c r="X22" i="2"/>
  <c r="W22" i="2"/>
  <c r="V22" i="2"/>
  <c r="AK21" i="2"/>
  <c r="AJ21" i="2"/>
  <c r="AI21" i="2"/>
  <c r="AH21" i="2"/>
  <c r="AE21" i="2"/>
  <c r="AD21" i="2"/>
  <c r="AC21" i="2"/>
  <c r="AB21" i="2"/>
  <c r="Y21" i="2"/>
  <c r="X21" i="2"/>
  <c r="W21" i="2"/>
  <c r="V21" i="2"/>
  <c r="AK20" i="2"/>
  <c r="AJ20" i="2"/>
  <c r="AI20" i="2"/>
  <c r="AH20" i="2"/>
  <c r="AE20" i="2"/>
  <c r="AD20" i="2"/>
  <c r="AC20" i="2"/>
  <c r="AB20" i="2"/>
  <c r="Y20" i="2"/>
  <c r="X20" i="2"/>
  <c r="W20" i="2"/>
  <c r="V20" i="2"/>
  <c r="V135" i="1"/>
  <c r="V134" i="1"/>
  <c r="V133" i="1"/>
  <c r="V132" i="1"/>
  <c r="AH129" i="1"/>
  <c r="AB129" i="1"/>
  <c r="V129" i="1"/>
  <c r="AH126" i="1"/>
  <c r="AB126" i="1"/>
  <c r="V126" i="1"/>
  <c r="AH125" i="1"/>
  <c r="AH128" i="1" s="1"/>
  <c r="AB125" i="1"/>
  <c r="AB128" i="1" s="1"/>
  <c r="V125" i="1"/>
  <c r="V128" i="1" s="1"/>
  <c r="AH124" i="1"/>
  <c r="AB124" i="1"/>
  <c r="V124" i="1"/>
  <c r="AH123" i="1"/>
  <c r="AB123" i="1"/>
  <c r="V123" i="1"/>
  <c r="AH122" i="1"/>
  <c r="AB122" i="1"/>
  <c r="V122" i="1"/>
  <c r="X112" i="1"/>
  <c r="W109" i="1"/>
  <c r="AC107" i="1"/>
  <c r="V101" i="1"/>
  <c r="V100" i="1"/>
  <c r="V99" i="1"/>
  <c r="V98" i="1"/>
  <c r="AH95" i="1"/>
  <c r="AB95" i="1"/>
  <c r="V95" i="1"/>
  <c r="AH92" i="1"/>
  <c r="AB92" i="1"/>
  <c r="V92" i="1"/>
  <c r="AH91" i="1"/>
  <c r="AH94" i="1" s="1"/>
  <c r="AB91" i="1"/>
  <c r="AB94" i="1" s="1"/>
  <c r="V91" i="1"/>
  <c r="V94" i="1" s="1"/>
  <c r="AH90" i="1"/>
  <c r="AB90" i="1"/>
  <c r="V90" i="1"/>
  <c r="AH89" i="1"/>
  <c r="AB89" i="1"/>
  <c r="V89" i="1"/>
  <c r="AH88" i="1"/>
  <c r="AB88" i="1"/>
  <c r="V88" i="1"/>
  <c r="W78" i="1"/>
  <c r="AE76" i="1"/>
  <c r="W76" i="1"/>
  <c r="AK74" i="1"/>
  <c r="AE74" i="1"/>
  <c r="AE73" i="1"/>
  <c r="X72" i="1"/>
  <c r="W72" i="1"/>
  <c r="V67" i="1"/>
  <c r="V66" i="1"/>
  <c r="V65" i="1"/>
  <c r="V64" i="1"/>
  <c r="X55" i="1"/>
  <c r="W61" i="1"/>
  <c r="V61" i="1"/>
  <c r="AB61" i="1"/>
  <c r="AJ61" i="1"/>
  <c r="AI61" i="1"/>
  <c r="AC61" i="1"/>
  <c r="V33" i="1"/>
  <c r="V32" i="1"/>
  <c r="V31" i="1"/>
  <c r="AK30" i="1"/>
  <c r="AJ30" i="1"/>
  <c r="AI30" i="1"/>
  <c r="AH30" i="1"/>
  <c r="AE30" i="1"/>
  <c r="AD30" i="1"/>
  <c r="AC30" i="1"/>
  <c r="AB30" i="1"/>
  <c r="V30" i="1"/>
  <c r="AK29" i="1"/>
  <c r="AJ29" i="1"/>
  <c r="AK108" i="1" s="1"/>
  <c r="AI29" i="1"/>
  <c r="AJ108" i="1" s="1"/>
  <c r="AH29" i="1"/>
  <c r="AI108" i="1" s="1"/>
  <c r="AE29" i="1"/>
  <c r="AD29" i="1"/>
  <c r="AE110" i="1" s="1"/>
  <c r="AC29" i="1"/>
  <c r="AD110" i="1" s="1"/>
  <c r="AB29" i="1"/>
  <c r="AC110" i="1" s="1"/>
  <c r="AK27" i="1"/>
  <c r="AJ27" i="1"/>
  <c r="AI27" i="1"/>
  <c r="AH27" i="1"/>
  <c r="AE27" i="1"/>
  <c r="AD27" i="1"/>
  <c r="AC27" i="1"/>
  <c r="AB27" i="1"/>
  <c r="Y27" i="1"/>
  <c r="X27" i="1"/>
  <c r="W27" i="1"/>
  <c r="V27" i="1"/>
  <c r="AK24" i="1"/>
  <c r="AJ24" i="1"/>
  <c r="AI24" i="1"/>
  <c r="AH24" i="1"/>
  <c r="AE24" i="1"/>
  <c r="AD24" i="1"/>
  <c r="AC24" i="1"/>
  <c r="AB24" i="1"/>
  <c r="Y24" i="1"/>
  <c r="X24" i="1"/>
  <c r="W24" i="1"/>
  <c r="V24" i="1"/>
  <c r="AK23" i="1"/>
  <c r="AK26" i="1" s="1"/>
  <c r="AJ23" i="1"/>
  <c r="AK77" i="1" s="1"/>
  <c r="AI23" i="1"/>
  <c r="AJ74" i="1" s="1"/>
  <c r="AH23" i="1"/>
  <c r="AI74" i="1" s="1"/>
  <c r="AE23" i="1"/>
  <c r="AE26" i="1" s="1"/>
  <c r="AD23" i="1"/>
  <c r="AE77" i="1" s="1"/>
  <c r="AC23" i="1"/>
  <c r="AD76" i="1" s="1"/>
  <c r="AB23" i="1"/>
  <c r="AB26" i="1" s="1"/>
  <c r="Y23" i="1"/>
  <c r="Y26" i="1" s="1"/>
  <c r="X23" i="1"/>
  <c r="Y73" i="1" s="1"/>
  <c r="W23" i="1"/>
  <c r="X106" i="1" s="1"/>
  <c r="V23" i="1"/>
  <c r="W112" i="1" s="1"/>
  <c r="AK22" i="1"/>
  <c r="AJ22" i="1"/>
  <c r="AI22" i="1"/>
  <c r="AH22" i="1"/>
  <c r="AE22" i="1"/>
  <c r="AD22" i="1"/>
  <c r="AC22" i="1"/>
  <c r="AB22" i="1"/>
  <c r="Y22" i="1"/>
  <c r="X22" i="1"/>
  <c r="W22" i="1"/>
  <c r="V22" i="1"/>
  <c r="AK21" i="1"/>
  <c r="AJ21" i="1"/>
  <c r="AI21" i="1"/>
  <c r="AH21" i="1"/>
  <c r="AE21" i="1"/>
  <c r="AD21" i="1"/>
  <c r="AC21" i="1"/>
  <c r="AB21" i="1"/>
  <c r="Y21" i="1"/>
  <c r="X21" i="1"/>
  <c r="W21" i="1"/>
  <c r="V21" i="1"/>
  <c r="AK20" i="1"/>
  <c r="AJ20" i="1"/>
  <c r="AI20" i="1"/>
  <c r="AH20" i="1"/>
  <c r="AE20" i="1"/>
  <c r="AD20" i="1"/>
  <c r="AC20" i="1"/>
  <c r="AB20" i="1"/>
  <c r="Y20" i="1"/>
  <c r="X20" i="1"/>
  <c r="W20" i="1"/>
  <c r="V20" i="1"/>
  <c r="B33" i="5"/>
  <c r="B32" i="5"/>
  <c r="B31" i="5"/>
  <c r="Q30" i="5"/>
  <c r="P30" i="5"/>
  <c r="O30" i="5"/>
  <c r="N30" i="5"/>
  <c r="K30" i="5"/>
  <c r="J30" i="5"/>
  <c r="I30" i="5"/>
  <c r="H30" i="5"/>
  <c r="B30" i="5"/>
  <c r="Q29" i="5"/>
  <c r="P29" i="5"/>
  <c r="O29" i="5"/>
  <c r="N29" i="5"/>
  <c r="K29" i="5"/>
  <c r="J29" i="5"/>
  <c r="I29" i="5"/>
  <c r="H29" i="5"/>
  <c r="B135" i="1"/>
  <c r="B134" i="1"/>
  <c r="B133" i="1"/>
  <c r="B132" i="1"/>
  <c r="B129" i="1"/>
  <c r="B126" i="1"/>
  <c r="B125" i="1"/>
  <c r="B127" i="1" s="1"/>
  <c r="B124" i="1"/>
  <c r="B123" i="1"/>
  <c r="B122" i="1"/>
  <c r="E112" i="1"/>
  <c r="D112" i="1"/>
  <c r="C112" i="1"/>
  <c r="C124" i="1" s="1"/>
  <c r="E111" i="1"/>
  <c r="C111" i="1"/>
  <c r="D110" i="1"/>
  <c r="C110" i="1"/>
  <c r="C109" i="1"/>
  <c r="E108" i="1"/>
  <c r="D108" i="1"/>
  <c r="C108" i="1"/>
  <c r="E107" i="1"/>
  <c r="D107" i="1"/>
  <c r="C107" i="1"/>
  <c r="C125" i="1" s="1"/>
  <c r="D106" i="1"/>
  <c r="D124" i="1" s="1"/>
  <c r="C106" i="1"/>
  <c r="E105" i="1"/>
  <c r="E124" i="1" s="1"/>
  <c r="D105" i="1"/>
  <c r="D129" i="1" s="1"/>
  <c r="C105" i="1"/>
  <c r="C129" i="1" s="1"/>
  <c r="B101" i="1"/>
  <c r="B100" i="1"/>
  <c r="B99" i="1"/>
  <c r="B98" i="1"/>
  <c r="B95" i="1"/>
  <c r="B92" i="1"/>
  <c r="B93" i="1" s="1"/>
  <c r="B91" i="1"/>
  <c r="B94" i="1" s="1"/>
  <c r="B90" i="1"/>
  <c r="B89" i="1"/>
  <c r="B88" i="1"/>
  <c r="E78" i="1"/>
  <c r="D78" i="1"/>
  <c r="C78" i="1"/>
  <c r="E77" i="1"/>
  <c r="C77" i="1"/>
  <c r="D76" i="1"/>
  <c r="C76" i="1"/>
  <c r="C75" i="1"/>
  <c r="E74" i="1"/>
  <c r="D74" i="1"/>
  <c r="D91" i="1" s="1"/>
  <c r="C74" i="1"/>
  <c r="E73" i="1"/>
  <c r="D73" i="1"/>
  <c r="C73" i="1"/>
  <c r="D72" i="1"/>
  <c r="C72" i="1"/>
  <c r="E71" i="1"/>
  <c r="E91" i="1" s="1"/>
  <c r="D71" i="1"/>
  <c r="D95" i="1" s="1"/>
  <c r="C71" i="1"/>
  <c r="C95" i="1" s="1"/>
  <c r="B67" i="1"/>
  <c r="B66" i="1"/>
  <c r="B65" i="1"/>
  <c r="B64" i="1"/>
  <c r="D57" i="1"/>
  <c r="D54" i="1"/>
  <c r="E44" i="1"/>
  <c r="D44" i="1"/>
  <c r="C44" i="1"/>
  <c r="B44" i="1"/>
  <c r="E43" i="1"/>
  <c r="C43" i="1"/>
  <c r="B43" i="1"/>
  <c r="D42" i="1"/>
  <c r="C42" i="1"/>
  <c r="B42" i="1"/>
  <c r="C41" i="1"/>
  <c r="B41" i="1"/>
  <c r="E40" i="1"/>
  <c r="E56" i="1" s="1"/>
  <c r="D40" i="1"/>
  <c r="C40" i="1"/>
  <c r="B40" i="1"/>
  <c r="E39" i="1"/>
  <c r="D39" i="1"/>
  <c r="C39" i="1"/>
  <c r="B39" i="1"/>
  <c r="D38" i="1"/>
  <c r="C38" i="1"/>
  <c r="C56" i="1" s="1"/>
  <c r="B38" i="1"/>
  <c r="E37" i="1"/>
  <c r="E61" i="1" s="1"/>
  <c r="D37" i="1"/>
  <c r="D56" i="1" s="1"/>
  <c r="C37" i="1"/>
  <c r="C57" i="1" s="1"/>
  <c r="B57" i="1"/>
  <c r="B135" i="2"/>
  <c r="B134" i="2"/>
  <c r="B133" i="2"/>
  <c r="B132" i="2"/>
  <c r="B122" i="2"/>
  <c r="B101" i="2"/>
  <c r="B100" i="2"/>
  <c r="B99" i="2"/>
  <c r="B98" i="2"/>
  <c r="B95" i="2"/>
  <c r="B92" i="2"/>
  <c r="B91" i="2"/>
  <c r="B94" i="2" s="1"/>
  <c r="B90" i="2"/>
  <c r="B89" i="2"/>
  <c r="B88" i="2"/>
  <c r="E78" i="2"/>
  <c r="D78" i="2"/>
  <c r="C78" i="2"/>
  <c r="E77" i="2"/>
  <c r="C77" i="2"/>
  <c r="D76" i="2"/>
  <c r="C76" i="2"/>
  <c r="C75" i="2"/>
  <c r="C90" i="2" s="1"/>
  <c r="E74" i="2"/>
  <c r="D74" i="2"/>
  <c r="C74" i="2"/>
  <c r="E73" i="2"/>
  <c r="D73" i="2"/>
  <c r="C73" i="2"/>
  <c r="D72" i="2"/>
  <c r="D90" i="2" s="1"/>
  <c r="C72" i="2"/>
  <c r="E71" i="2"/>
  <c r="E91" i="2" s="1"/>
  <c r="D71" i="2"/>
  <c r="D95" i="2" s="1"/>
  <c r="C71" i="2"/>
  <c r="C95" i="2" s="1"/>
  <c r="B67" i="2"/>
  <c r="B66" i="2"/>
  <c r="B65" i="2"/>
  <c r="B64" i="2"/>
  <c r="E61" i="2"/>
  <c r="B135" i="7"/>
  <c r="B134" i="7"/>
  <c r="B133" i="7"/>
  <c r="B132" i="7"/>
  <c r="B129" i="7"/>
  <c r="B126" i="7"/>
  <c r="B125" i="7"/>
  <c r="B128" i="7" s="1"/>
  <c r="B124" i="7"/>
  <c r="B123" i="7"/>
  <c r="C122" i="7"/>
  <c r="B122" i="7"/>
  <c r="E112" i="7"/>
  <c r="D112" i="7"/>
  <c r="C112" i="7"/>
  <c r="E111" i="7"/>
  <c r="C111" i="7"/>
  <c r="D110" i="7"/>
  <c r="C110" i="7"/>
  <c r="C109" i="7"/>
  <c r="E108" i="7"/>
  <c r="D108" i="7"/>
  <c r="C108" i="7"/>
  <c r="C125" i="7" s="1"/>
  <c r="E107" i="7"/>
  <c r="D107" i="7"/>
  <c r="C107" i="7"/>
  <c r="C124" i="7" s="1"/>
  <c r="D106" i="7"/>
  <c r="D124" i="7" s="1"/>
  <c r="C106" i="7"/>
  <c r="E105" i="7"/>
  <c r="E124" i="7" s="1"/>
  <c r="D105" i="7"/>
  <c r="D129" i="7" s="1"/>
  <c r="C105" i="7"/>
  <c r="C129" i="7" s="1"/>
  <c r="B101" i="7"/>
  <c r="B100" i="7"/>
  <c r="B99" i="7"/>
  <c r="B98" i="7"/>
  <c r="B95" i="7"/>
  <c r="B93" i="7"/>
  <c r="E92" i="7"/>
  <c r="B92" i="7"/>
  <c r="B91" i="7"/>
  <c r="B94" i="7" s="1"/>
  <c r="B90" i="7"/>
  <c r="E89" i="7"/>
  <c r="B89" i="7"/>
  <c r="B88" i="7"/>
  <c r="E78" i="7"/>
  <c r="D78" i="7"/>
  <c r="D90" i="7" s="1"/>
  <c r="C78" i="7"/>
  <c r="E77" i="7"/>
  <c r="C77" i="7"/>
  <c r="D76" i="7"/>
  <c r="C76" i="7"/>
  <c r="C75" i="7"/>
  <c r="E74" i="7"/>
  <c r="D74" i="7"/>
  <c r="D91" i="7" s="1"/>
  <c r="C74" i="7"/>
  <c r="E73" i="7"/>
  <c r="D73" i="7"/>
  <c r="C73" i="7"/>
  <c r="D72" i="7"/>
  <c r="C72" i="7"/>
  <c r="E71" i="7"/>
  <c r="E91" i="7" s="1"/>
  <c r="D71" i="7"/>
  <c r="D95" i="7" s="1"/>
  <c r="C71" i="7"/>
  <c r="C95" i="7" s="1"/>
  <c r="B67" i="7"/>
  <c r="B66" i="7"/>
  <c r="B65" i="7"/>
  <c r="B64" i="7"/>
  <c r="E58" i="7"/>
  <c r="E57" i="7"/>
  <c r="E59" i="7" s="1"/>
  <c r="E54" i="7"/>
  <c r="E56" i="7"/>
  <c r="C56" i="7"/>
  <c r="E61" i="7"/>
  <c r="C57" i="7"/>
  <c r="B135" i="6"/>
  <c r="B134" i="6"/>
  <c r="B133" i="6"/>
  <c r="B132" i="6"/>
  <c r="B129" i="6"/>
  <c r="B126" i="6"/>
  <c r="B125" i="6"/>
  <c r="B127" i="6" s="1"/>
  <c r="B124" i="6"/>
  <c r="B123" i="6"/>
  <c r="B122" i="6"/>
  <c r="E112" i="6"/>
  <c r="D112" i="6"/>
  <c r="C112" i="6"/>
  <c r="E111" i="6"/>
  <c r="C111" i="6"/>
  <c r="D110" i="6"/>
  <c r="C110" i="6"/>
  <c r="C109" i="6"/>
  <c r="E108" i="6"/>
  <c r="D108" i="6"/>
  <c r="C108" i="6"/>
  <c r="C124" i="6" s="1"/>
  <c r="E107" i="6"/>
  <c r="D107" i="6"/>
  <c r="C107" i="6"/>
  <c r="D106" i="6"/>
  <c r="D124" i="6" s="1"/>
  <c r="C106" i="6"/>
  <c r="E105" i="6"/>
  <c r="E124" i="6" s="1"/>
  <c r="D105" i="6"/>
  <c r="D129" i="6" s="1"/>
  <c r="C105" i="6"/>
  <c r="C129" i="6" s="1"/>
  <c r="B101" i="6"/>
  <c r="B100" i="6"/>
  <c r="B99" i="6"/>
  <c r="B98" i="6"/>
  <c r="B95" i="6"/>
  <c r="B92" i="6"/>
  <c r="B93" i="6" s="1"/>
  <c r="B91" i="6"/>
  <c r="B94" i="6" s="1"/>
  <c r="B90" i="6"/>
  <c r="B89" i="6"/>
  <c r="B88" i="6"/>
  <c r="E78" i="6"/>
  <c r="D78" i="6"/>
  <c r="C78" i="6"/>
  <c r="E77" i="6"/>
  <c r="C77" i="6"/>
  <c r="D76" i="6"/>
  <c r="C76" i="6"/>
  <c r="C75" i="6"/>
  <c r="E74" i="6"/>
  <c r="D74" i="6"/>
  <c r="D88" i="6" s="1"/>
  <c r="C74" i="6"/>
  <c r="E73" i="6"/>
  <c r="D73" i="6"/>
  <c r="C73" i="6"/>
  <c r="D72" i="6"/>
  <c r="C72" i="6"/>
  <c r="E71" i="6"/>
  <c r="E91" i="6" s="1"/>
  <c r="D71" i="6"/>
  <c r="D95" i="6" s="1"/>
  <c r="C71" i="6"/>
  <c r="C92" i="6" s="1"/>
  <c r="B67" i="6"/>
  <c r="B66" i="6"/>
  <c r="B65" i="6"/>
  <c r="B64" i="6"/>
  <c r="D54" i="6"/>
  <c r="E56" i="6"/>
  <c r="C56" i="6"/>
  <c r="E61" i="6"/>
  <c r="C57" i="6"/>
  <c r="B132" i="5"/>
  <c r="B129" i="5"/>
  <c r="B126" i="5"/>
  <c r="B125" i="5"/>
  <c r="B127" i="5" s="1"/>
  <c r="B124" i="5"/>
  <c r="B123" i="5"/>
  <c r="B122" i="5"/>
  <c r="E112" i="5"/>
  <c r="D112" i="5"/>
  <c r="C112" i="5"/>
  <c r="E111" i="5"/>
  <c r="C111" i="5"/>
  <c r="D110" i="5"/>
  <c r="C110" i="5"/>
  <c r="C109" i="5"/>
  <c r="E108" i="5"/>
  <c r="D108" i="5"/>
  <c r="C108" i="5"/>
  <c r="E107" i="5"/>
  <c r="E124" i="5" s="1"/>
  <c r="D107" i="5"/>
  <c r="C107" i="5"/>
  <c r="D106" i="5"/>
  <c r="D124" i="5" s="1"/>
  <c r="C106" i="5"/>
  <c r="C124" i="5" s="1"/>
  <c r="E105" i="5"/>
  <c r="E129" i="5" s="1"/>
  <c r="D105" i="5"/>
  <c r="D129" i="5" s="1"/>
  <c r="C105" i="5"/>
  <c r="C129" i="5" s="1"/>
  <c r="B101" i="5"/>
  <c r="B100" i="5"/>
  <c r="B99" i="5"/>
  <c r="B98" i="5"/>
  <c r="B95" i="5"/>
  <c r="B92" i="5"/>
  <c r="B93" i="5" s="1"/>
  <c r="B91" i="5"/>
  <c r="B94" i="5" s="1"/>
  <c r="B90" i="5"/>
  <c r="B89" i="5"/>
  <c r="B88" i="5"/>
  <c r="E78" i="5"/>
  <c r="D78" i="5"/>
  <c r="C78" i="5"/>
  <c r="E77" i="5"/>
  <c r="C77" i="5"/>
  <c r="D76" i="5"/>
  <c r="C76" i="5"/>
  <c r="C75" i="5"/>
  <c r="E74" i="5"/>
  <c r="D74" i="5"/>
  <c r="C74" i="5"/>
  <c r="E73" i="5"/>
  <c r="D73" i="5"/>
  <c r="C73" i="5"/>
  <c r="C90" i="5" s="1"/>
  <c r="D72" i="5"/>
  <c r="D90" i="5" s="1"/>
  <c r="C72" i="5"/>
  <c r="E71" i="5"/>
  <c r="E91" i="5" s="1"/>
  <c r="D71" i="5"/>
  <c r="D95" i="5" s="1"/>
  <c r="C71" i="5"/>
  <c r="C95" i="5" s="1"/>
  <c r="D54" i="5"/>
  <c r="E56" i="5"/>
  <c r="E61" i="5"/>
  <c r="B57" i="5"/>
  <c r="B135" i="4"/>
  <c r="B134" i="4"/>
  <c r="B133" i="4"/>
  <c r="B132" i="4"/>
  <c r="B129" i="4"/>
  <c r="B127" i="4"/>
  <c r="B126" i="4"/>
  <c r="B125" i="4"/>
  <c r="B128" i="4" s="1"/>
  <c r="B124" i="4"/>
  <c r="B123" i="4"/>
  <c r="B122" i="4"/>
  <c r="E112" i="4"/>
  <c r="D112" i="4"/>
  <c r="C112" i="4"/>
  <c r="E111" i="4"/>
  <c r="C111" i="4"/>
  <c r="D110" i="4"/>
  <c r="C110" i="4"/>
  <c r="C109" i="4"/>
  <c r="E108" i="4"/>
  <c r="E122" i="4" s="1"/>
  <c r="D108" i="4"/>
  <c r="C108" i="4"/>
  <c r="E107" i="4"/>
  <c r="E124" i="4" s="1"/>
  <c r="D107" i="4"/>
  <c r="C107" i="4"/>
  <c r="D106" i="4"/>
  <c r="D124" i="4" s="1"/>
  <c r="C106" i="4"/>
  <c r="C124" i="4" s="1"/>
  <c r="E105" i="4"/>
  <c r="E129" i="4" s="1"/>
  <c r="D105" i="4"/>
  <c r="D129" i="4" s="1"/>
  <c r="C105" i="4"/>
  <c r="C129" i="4" s="1"/>
  <c r="B101" i="4"/>
  <c r="B100" i="4"/>
  <c r="B99" i="4"/>
  <c r="B98" i="4"/>
  <c r="B95" i="4"/>
  <c r="B92" i="4"/>
  <c r="B93" i="4" s="1"/>
  <c r="B91" i="4"/>
  <c r="B94" i="4" s="1"/>
  <c r="B90" i="4"/>
  <c r="B89" i="4"/>
  <c r="B88" i="4"/>
  <c r="E78" i="4"/>
  <c r="D78" i="4"/>
  <c r="C78" i="4"/>
  <c r="E77" i="4"/>
  <c r="C77" i="4"/>
  <c r="D76" i="4"/>
  <c r="C76" i="4"/>
  <c r="C75" i="4"/>
  <c r="C90" i="4" s="1"/>
  <c r="E74" i="4"/>
  <c r="E88" i="4" s="1"/>
  <c r="D74" i="4"/>
  <c r="C74" i="4"/>
  <c r="E73" i="4"/>
  <c r="D73" i="4"/>
  <c r="C73" i="4"/>
  <c r="D72" i="4"/>
  <c r="D90" i="4" s="1"/>
  <c r="C72" i="4"/>
  <c r="E71" i="4"/>
  <c r="E95" i="4" s="1"/>
  <c r="D71" i="4"/>
  <c r="D95" i="4" s="1"/>
  <c r="C71" i="4"/>
  <c r="C95" i="4" s="1"/>
  <c r="B67" i="4"/>
  <c r="B66" i="4"/>
  <c r="B65" i="4"/>
  <c r="B64" i="4"/>
  <c r="E56" i="4"/>
  <c r="E61" i="4"/>
  <c r="H60" i="11" l="1"/>
  <c r="H59" i="11"/>
  <c r="K60" i="11"/>
  <c r="K59" i="11"/>
  <c r="D54" i="7"/>
  <c r="D57" i="7"/>
  <c r="D57" i="6"/>
  <c r="D57" i="5"/>
  <c r="AE61" i="5"/>
  <c r="X55" i="5"/>
  <c r="D55" i="5"/>
  <c r="X56" i="5"/>
  <c r="AE56" i="5"/>
  <c r="B57" i="4"/>
  <c r="B59" i="4" s="1"/>
  <c r="X54" i="4"/>
  <c r="D56" i="4"/>
  <c r="V61" i="3"/>
  <c r="X61" i="3"/>
  <c r="X54" i="3"/>
  <c r="X55" i="3"/>
  <c r="X56" i="3"/>
  <c r="X57" i="3"/>
  <c r="X60" i="3" s="1"/>
  <c r="B57" i="2"/>
  <c r="B58" i="2"/>
  <c r="D129" i="2"/>
  <c r="E129" i="2"/>
  <c r="AH123" i="2"/>
  <c r="AH129" i="2"/>
  <c r="C124" i="2"/>
  <c r="V124" i="2"/>
  <c r="AB124" i="2"/>
  <c r="AH124" i="2"/>
  <c r="V125" i="2"/>
  <c r="B123" i="2"/>
  <c r="AB125" i="2"/>
  <c r="AB128" i="2" s="1"/>
  <c r="B124" i="2"/>
  <c r="AH125" i="2"/>
  <c r="AH128" i="2" s="1"/>
  <c r="B125" i="2"/>
  <c r="V122" i="2"/>
  <c r="V126" i="2"/>
  <c r="B126" i="2"/>
  <c r="AB122" i="2"/>
  <c r="AH122" i="2"/>
  <c r="V123" i="2"/>
  <c r="Y54" i="1"/>
  <c r="AC106" i="1"/>
  <c r="AK74" i="4"/>
  <c r="AE26" i="4"/>
  <c r="AC106" i="4"/>
  <c r="AI75" i="6"/>
  <c r="AI107" i="6"/>
  <c r="AI110" i="6"/>
  <c r="AD105" i="6"/>
  <c r="AK26" i="7"/>
  <c r="AH25" i="9"/>
  <c r="AD25" i="9"/>
  <c r="AI25" i="9"/>
  <c r="AJ25" i="9"/>
  <c r="AK25" i="9"/>
  <c r="W25" i="9"/>
  <c r="X25" i="9"/>
  <c r="Y25" i="9"/>
  <c r="V25" i="9"/>
  <c r="AB25" i="9"/>
  <c r="AC25" i="9"/>
  <c r="AE25" i="9"/>
  <c r="X58" i="7"/>
  <c r="AD25" i="7"/>
  <c r="AD26" i="7"/>
  <c r="Y54" i="7"/>
  <c r="Y55" i="7"/>
  <c r="Y56" i="7"/>
  <c r="Y57" i="7"/>
  <c r="Y58" i="7"/>
  <c r="AC72" i="7"/>
  <c r="AI73" i="7"/>
  <c r="W75" i="7"/>
  <c r="AI76" i="7"/>
  <c r="X78" i="7"/>
  <c r="AB93" i="7"/>
  <c r="W105" i="7"/>
  <c r="AD106" i="7"/>
  <c r="AJ107" i="7"/>
  <c r="AC109" i="7"/>
  <c r="AJ110" i="7"/>
  <c r="Y112" i="7"/>
  <c r="AC25" i="7"/>
  <c r="X57" i="7"/>
  <c r="AB128" i="7"/>
  <c r="AE25" i="7"/>
  <c r="AB54" i="7"/>
  <c r="AB55" i="7"/>
  <c r="AB57" i="7"/>
  <c r="AB58" i="7"/>
  <c r="W71" i="7"/>
  <c r="AD72" i="7"/>
  <c r="AJ73" i="7"/>
  <c r="AC75" i="7"/>
  <c r="AJ76" i="7"/>
  <c r="Y78" i="7"/>
  <c r="X105" i="7"/>
  <c r="AE106" i="7"/>
  <c r="AK107" i="7"/>
  <c r="AD109" i="7"/>
  <c r="AK110" i="7"/>
  <c r="AC112" i="7"/>
  <c r="AH25" i="7"/>
  <c r="AH26" i="7"/>
  <c r="AC54" i="7"/>
  <c r="AC55" i="7"/>
  <c r="AC56" i="7"/>
  <c r="AC57" i="7"/>
  <c r="AC58" i="7"/>
  <c r="X71" i="7"/>
  <c r="AE72" i="7"/>
  <c r="AK73" i="7"/>
  <c r="AD75" i="7"/>
  <c r="AK76" i="7"/>
  <c r="AC78" i="7"/>
  <c r="Y105" i="7"/>
  <c r="AI106" i="7"/>
  <c r="W108" i="7"/>
  <c r="AE109" i="7"/>
  <c r="W111" i="7"/>
  <c r="AD112" i="7"/>
  <c r="AI25" i="7"/>
  <c r="AI26" i="7"/>
  <c r="AD54" i="7"/>
  <c r="AD55" i="7"/>
  <c r="AD56" i="7"/>
  <c r="AD57" i="7"/>
  <c r="AD58" i="7"/>
  <c r="Y71" i="7"/>
  <c r="AI72" i="7"/>
  <c r="W74" i="7"/>
  <c r="AE75" i="7"/>
  <c r="W77" i="7"/>
  <c r="AD78" i="7"/>
  <c r="AC105" i="7"/>
  <c r="AJ106" i="7"/>
  <c r="X108" i="7"/>
  <c r="AI109" i="7"/>
  <c r="Y111" i="7"/>
  <c r="AE112" i="7"/>
  <c r="AH127" i="7"/>
  <c r="X56" i="7"/>
  <c r="AJ25" i="7"/>
  <c r="AJ26" i="7"/>
  <c r="AE54" i="7"/>
  <c r="AE55" i="7"/>
  <c r="AE56" i="7"/>
  <c r="AE57" i="7"/>
  <c r="AE58" i="7"/>
  <c r="AC71" i="7"/>
  <c r="AJ72" i="7"/>
  <c r="X74" i="7"/>
  <c r="AI75" i="7"/>
  <c r="Y77" i="7"/>
  <c r="AE78" i="7"/>
  <c r="AH93" i="7"/>
  <c r="AD105" i="7"/>
  <c r="AK106" i="7"/>
  <c r="Y108" i="7"/>
  <c r="AJ109" i="7"/>
  <c r="AC111" i="7"/>
  <c r="AI112" i="7"/>
  <c r="AC26" i="7"/>
  <c r="X61" i="7"/>
  <c r="AK25" i="7"/>
  <c r="AH54" i="7"/>
  <c r="AH55" i="7"/>
  <c r="AH56" i="7"/>
  <c r="AH57" i="7"/>
  <c r="AH58" i="7"/>
  <c r="AD71" i="7"/>
  <c r="AK72" i="7"/>
  <c r="Y74" i="7"/>
  <c r="AJ75" i="7"/>
  <c r="AJ95" i="7" s="1"/>
  <c r="AC77" i="7"/>
  <c r="AI78" i="7"/>
  <c r="AE105" i="7"/>
  <c r="W107" i="7"/>
  <c r="AC108" i="7"/>
  <c r="AK109" i="7"/>
  <c r="AD111" i="7"/>
  <c r="AJ112" i="7"/>
  <c r="V25" i="7"/>
  <c r="V26" i="7"/>
  <c r="AI54" i="7"/>
  <c r="AI55" i="7"/>
  <c r="AI56" i="7"/>
  <c r="AI57" i="7"/>
  <c r="AI58" i="7"/>
  <c r="AE71" i="7"/>
  <c r="W73" i="7"/>
  <c r="AC74" i="7"/>
  <c r="AK75" i="7"/>
  <c r="AD77" i="7"/>
  <c r="AJ78" i="7"/>
  <c r="AI105" i="7"/>
  <c r="X107" i="7"/>
  <c r="AD108" i="7"/>
  <c r="W110" i="7"/>
  <c r="AE111" i="7"/>
  <c r="AK112" i="7"/>
  <c r="W25" i="7"/>
  <c r="W26" i="7"/>
  <c r="AJ54" i="7"/>
  <c r="AJ55" i="7"/>
  <c r="AJ56" i="7"/>
  <c r="AJ57" i="7"/>
  <c r="AJ58" i="7"/>
  <c r="AI71" i="7"/>
  <c r="X73" i="7"/>
  <c r="AD74" i="7"/>
  <c r="AJ105" i="7"/>
  <c r="Y107" i="7"/>
  <c r="AE108" i="7"/>
  <c r="X110" i="7"/>
  <c r="AI111" i="7"/>
  <c r="V127" i="7"/>
  <c r="X54" i="7"/>
  <c r="X25" i="7"/>
  <c r="X26" i="7"/>
  <c r="AK54" i="7"/>
  <c r="AK55" i="7"/>
  <c r="AK56" i="7"/>
  <c r="AK57" i="7"/>
  <c r="AK58" i="7"/>
  <c r="X76" i="7"/>
  <c r="AI77" i="7"/>
  <c r="V93" i="7"/>
  <c r="AJ111" i="7"/>
  <c r="Y25" i="7"/>
  <c r="V54" i="7"/>
  <c r="V55" i="7"/>
  <c r="V56" i="7"/>
  <c r="V57" i="7"/>
  <c r="V58" i="7"/>
  <c r="AC76" i="7"/>
  <c r="AJ77" i="7"/>
  <c r="AJ88" i="7" s="1"/>
  <c r="W106" i="7"/>
  <c r="AD107" i="7"/>
  <c r="AK111" i="7"/>
  <c r="AB25" i="7"/>
  <c r="W54" i="7"/>
  <c r="W56" i="7"/>
  <c r="W57" i="7"/>
  <c r="W58" i="7"/>
  <c r="W72" i="7"/>
  <c r="AD73" i="7"/>
  <c r="AE107" i="7"/>
  <c r="X60" i="6"/>
  <c r="X56" i="6"/>
  <c r="X61" i="6"/>
  <c r="AK74" i="6"/>
  <c r="AD25" i="6"/>
  <c r="AD26" i="6"/>
  <c r="Y54" i="6"/>
  <c r="Y55" i="6"/>
  <c r="Y56" i="6"/>
  <c r="Y57" i="6"/>
  <c r="Y58" i="6"/>
  <c r="AC72" i="6"/>
  <c r="AC95" i="6" s="1"/>
  <c r="AI73" i="6"/>
  <c r="W75" i="6"/>
  <c r="AI76" i="6"/>
  <c r="X78" i="6"/>
  <c r="AB93" i="6"/>
  <c r="W105" i="6"/>
  <c r="AD106" i="6"/>
  <c r="AJ107" i="6"/>
  <c r="AC109" i="6"/>
  <c r="AJ110" i="6"/>
  <c r="Y112" i="6"/>
  <c r="X54" i="6"/>
  <c r="X58" i="6"/>
  <c r="X59" i="6" s="1"/>
  <c r="AB128" i="6"/>
  <c r="AE25" i="6"/>
  <c r="AB54" i="6"/>
  <c r="AB55" i="6"/>
  <c r="AB56" i="6"/>
  <c r="AB57" i="6"/>
  <c r="AB58" i="6"/>
  <c r="W71" i="6"/>
  <c r="AD72" i="6"/>
  <c r="AJ73" i="6"/>
  <c r="AC75" i="6"/>
  <c r="AJ76" i="6"/>
  <c r="Y78" i="6"/>
  <c r="AC92" i="6"/>
  <c r="X105" i="6"/>
  <c r="AE106" i="6"/>
  <c r="AK107" i="6"/>
  <c r="AD109" i="6"/>
  <c r="AK110" i="6"/>
  <c r="AC112" i="6"/>
  <c r="AC25" i="6"/>
  <c r="X55" i="6"/>
  <c r="AH25" i="6"/>
  <c r="AH26" i="6"/>
  <c r="AC54" i="6"/>
  <c r="AC55" i="6"/>
  <c r="AC56" i="6"/>
  <c r="AC57" i="6"/>
  <c r="AC58" i="6"/>
  <c r="X71" i="6"/>
  <c r="AE72" i="6"/>
  <c r="AK73" i="6"/>
  <c r="AD75" i="6"/>
  <c r="AK76" i="6"/>
  <c r="AC78" i="6"/>
  <c r="Y105" i="6"/>
  <c r="AI106" i="6"/>
  <c r="W108" i="6"/>
  <c r="AE109" i="6"/>
  <c r="W111" i="6"/>
  <c r="AD112" i="6"/>
  <c r="AC26" i="6"/>
  <c r="AI25" i="6"/>
  <c r="AI26" i="6"/>
  <c r="AD54" i="6"/>
  <c r="AD55" i="6"/>
  <c r="AD56" i="6"/>
  <c r="AD57" i="6"/>
  <c r="AD58" i="6"/>
  <c r="Y71" i="6"/>
  <c r="AI72" i="6"/>
  <c r="W74" i="6"/>
  <c r="AE75" i="6"/>
  <c r="W77" i="6"/>
  <c r="AD78" i="6"/>
  <c r="AC105" i="6"/>
  <c r="AJ106" i="6"/>
  <c r="X108" i="6"/>
  <c r="AI109" i="6"/>
  <c r="Y111" i="6"/>
  <c r="AE112" i="6"/>
  <c r="AH127" i="6"/>
  <c r="AE57" i="6"/>
  <c r="AH93" i="6"/>
  <c r="AJ109" i="6"/>
  <c r="AJ25" i="6"/>
  <c r="AE61" i="6"/>
  <c r="AK25" i="6"/>
  <c r="AH54" i="6"/>
  <c r="AH55" i="6"/>
  <c r="AH56" i="6"/>
  <c r="AH57" i="6"/>
  <c r="AH58" i="6"/>
  <c r="AD71" i="6"/>
  <c r="AK72" i="6"/>
  <c r="Y74" i="6"/>
  <c r="AJ75" i="6"/>
  <c r="AC77" i="6"/>
  <c r="AI78" i="6"/>
  <c r="AE105" i="6"/>
  <c r="W107" i="6"/>
  <c r="AC108" i="6"/>
  <c r="AD111" i="6"/>
  <c r="AJ112" i="6"/>
  <c r="AE54" i="6"/>
  <c r="V25" i="6"/>
  <c r="V26" i="6"/>
  <c r="AI54" i="6"/>
  <c r="AI55" i="6"/>
  <c r="AI56" i="6"/>
  <c r="AI57" i="6"/>
  <c r="AI58" i="6"/>
  <c r="AE71" i="6"/>
  <c r="W73" i="6"/>
  <c r="AC74" i="6"/>
  <c r="AC89" i="6" s="1"/>
  <c r="AD77" i="6"/>
  <c r="AJ78" i="6"/>
  <c r="AI105" i="6"/>
  <c r="X107" i="6"/>
  <c r="AD108" i="6"/>
  <c r="W110" i="6"/>
  <c r="AE111" i="6"/>
  <c r="AK112" i="6"/>
  <c r="AE56" i="6"/>
  <c r="W25" i="6"/>
  <c r="W26" i="6"/>
  <c r="AJ54" i="6"/>
  <c r="AJ55" i="6"/>
  <c r="AJ56" i="6"/>
  <c r="AJ57" i="6"/>
  <c r="AJ58" i="6"/>
  <c r="AI71" i="6"/>
  <c r="X73" i="6"/>
  <c r="AD74" i="6"/>
  <c r="W76" i="6"/>
  <c r="AE77" i="6"/>
  <c r="AK78" i="6"/>
  <c r="AJ105" i="6"/>
  <c r="Y107" i="6"/>
  <c r="AE108" i="6"/>
  <c r="X110" i="6"/>
  <c r="AI111" i="6"/>
  <c r="V127" i="6"/>
  <c r="AE55" i="6"/>
  <c r="X25" i="6"/>
  <c r="X26" i="6"/>
  <c r="AK54" i="6"/>
  <c r="AK55" i="6"/>
  <c r="AK56" i="6"/>
  <c r="AK58" i="6"/>
  <c r="AK60" i="6" s="1"/>
  <c r="AJ71" i="6"/>
  <c r="X76" i="6"/>
  <c r="AI77" i="6"/>
  <c r="V93" i="6"/>
  <c r="AK105" i="6"/>
  <c r="AJ111" i="6"/>
  <c r="AJ26" i="6"/>
  <c r="Y25" i="6"/>
  <c r="V54" i="6"/>
  <c r="V55" i="6"/>
  <c r="V56" i="6"/>
  <c r="V57" i="6"/>
  <c r="V58" i="6"/>
  <c r="AK71" i="6"/>
  <c r="AC76" i="6"/>
  <c r="AJ77" i="6"/>
  <c r="W106" i="6"/>
  <c r="AD107" i="6"/>
  <c r="AK111" i="6"/>
  <c r="AB25" i="6"/>
  <c r="W54" i="6"/>
  <c r="W55" i="6"/>
  <c r="W56" i="6"/>
  <c r="W57" i="6"/>
  <c r="W58" i="6"/>
  <c r="AD73" i="6"/>
  <c r="AE107" i="6"/>
  <c r="AI95" i="5"/>
  <c r="AI92" i="5"/>
  <c r="AI91" i="5"/>
  <c r="AI89" i="5"/>
  <c r="X60" i="5"/>
  <c r="AB128" i="5"/>
  <c r="AD25" i="5"/>
  <c r="Y54" i="5"/>
  <c r="Y55" i="5"/>
  <c r="Y58" i="5"/>
  <c r="Y61" i="5"/>
  <c r="AB93" i="5"/>
  <c r="W105" i="5"/>
  <c r="AJ107" i="5"/>
  <c r="AC109" i="5"/>
  <c r="AJ110" i="5"/>
  <c r="Y112" i="5"/>
  <c r="AC25" i="5"/>
  <c r="Y57" i="5"/>
  <c r="AE25" i="5"/>
  <c r="AB54" i="5"/>
  <c r="AB55" i="5"/>
  <c r="AB56" i="5"/>
  <c r="AB57" i="5"/>
  <c r="AB58" i="5"/>
  <c r="W71" i="5"/>
  <c r="AD72" i="5"/>
  <c r="AJ73" i="5"/>
  <c r="AC75" i="5"/>
  <c r="AJ76" i="5"/>
  <c r="Y78" i="5"/>
  <c r="X105" i="5"/>
  <c r="AE106" i="5"/>
  <c r="AK107" i="5"/>
  <c r="AD109" i="5"/>
  <c r="AD123" i="5" s="1"/>
  <c r="AK110" i="5"/>
  <c r="AC112" i="5"/>
  <c r="AD122" i="5"/>
  <c r="AD124" i="5"/>
  <c r="AD125" i="5"/>
  <c r="AD126" i="5"/>
  <c r="AH25" i="5"/>
  <c r="AH26" i="5"/>
  <c r="AC54" i="5"/>
  <c r="AC55" i="5"/>
  <c r="AC56" i="5"/>
  <c r="AC57" i="5"/>
  <c r="AC58" i="5"/>
  <c r="X71" i="5"/>
  <c r="AE72" i="5"/>
  <c r="AK73" i="5"/>
  <c r="AD75" i="5"/>
  <c r="AK76" i="5"/>
  <c r="AC78" i="5"/>
  <c r="Y105" i="5"/>
  <c r="AI106" i="5"/>
  <c r="W108" i="5"/>
  <c r="AE109" i="5"/>
  <c r="W111" i="5"/>
  <c r="AD112" i="5"/>
  <c r="X59" i="5"/>
  <c r="AD26" i="5"/>
  <c r="AI25" i="5"/>
  <c r="AI26" i="5"/>
  <c r="AD54" i="5"/>
  <c r="AD55" i="5"/>
  <c r="AD56" i="5"/>
  <c r="AD57" i="5"/>
  <c r="AD58" i="5"/>
  <c r="Y71" i="5"/>
  <c r="W74" i="5"/>
  <c r="AE75" i="5"/>
  <c r="W77" i="5"/>
  <c r="AD78" i="5"/>
  <c r="AC105" i="5"/>
  <c r="AJ106" i="5"/>
  <c r="AI109" i="5"/>
  <c r="Y111" i="5"/>
  <c r="AE112" i="5"/>
  <c r="AH127" i="5"/>
  <c r="X61" i="5"/>
  <c r="AE54" i="5"/>
  <c r="AE55" i="5"/>
  <c r="AE58" i="5"/>
  <c r="AE60" i="5" s="1"/>
  <c r="AE59" i="5"/>
  <c r="AE78" i="5"/>
  <c r="AH93" i="5"/>
  <c r="AK106" i="5"/>
  <c r="Y108" i="5"/>
  <c r="AJ109" i="5"/>
  <c r="AJ25" i="5"/>
  <c r="AK25" i="5"/>
  <c r="AH54" i="5"/>
  <c r="AH55" i="5"/>
  <c r="AH56" i="5"/>
  <c r="AH57" i="5"/>
  <c r="AH58" i="5"/>
  <c r="AD71" i="5"/>
  <c r="AK72" i="5"/>
  <c r="Y74" i="5"/>
  <c r="AJ75" i="5"/>
  <c r="AC77" i="5"/>
  <c r="AI78" i="5"/>
  <c r="AI90" i="5" s="1"/>
  <c r="AE105" i="5"/>
  <c r="W107" i="5"/>
  <c r="AC108" i="5"/>
  <c r="AK109" i="5"/>
  <c r="AJ112" i="5"/>
  <c r="AC26" i="5"/>
  <c r="V25" i="5"/>
  <c r="V26" i="5"/>
  <c r="AI54" i="5"/>
  <c r="AI55" i="5"/>
  <c r="AI56" i="5"/>
  <c r="AI57" i="5"/>
  <c r="AI58" i="5"/>
  <c r="AE71" i="5"/>
  <c r="W73" i="5"/>
  <c r="AC74" i="5"/>
  <c r="AC88" i="5" s="1"/>
  <c r="AK75" i="5"/>
  <c r="AD77" i="5"/>
  <c r="AJ78" i="5"/>
  <c r="AI105" i="5"/>
  <c r="W110" i="5"/>
  <c r="AE111" i="5"/>
  <c r="AK112" i="5"/>
  <c r="AJ26" i="5"/>
  <c r="W25" i="5"/>
  <c r="W26" i="5"/>
  <c r="AJ54" i="5"/>
  <c r="AJ55" i="5"/>
  <c r="AJ56" i="5"/>
  <c r="AJ57" i="5"/>
  <c r="AJ58" i="5"/>
  <c r="X73" i="5"/>
  <c r="AD74" i="5"/>
  <c r="W76" i="5"/>
  <c r="AE77" i="5"/>
  <c r="AK78" i="5"/>
  <c r="AJ105" i="5"/>
  <c r="Y107" i="5"/>
  <c r="AE108" i="5"/>
  <c r="X110" i="5"/>
  <c r="AI111" i="5"/>
  <c r="V127" i="5"/>
  <c r="X25" i="5"/>
  <c r="X26" i="5"/>
  <c r="AK54" i="5"/>
  <c r="AK55" i="5"/>
  <c r="AK56" i="5"/>
  <c r="AK57" i="5"/>
  <c r="AK58" i="5"/>
  <c r="AJ71" i="5"/>
  <c r="V93" i="5"/>
  <c r="AK105" i="5"/>
  <c r="AC107" i="5"/>
  <c r="AJ111" i="5"/>
  <c r="X58" i="5"/>
  <c r="Y25" i="5"/>
  <c r="V54" i="5"/>
  <c r="V55" i="5"/>
  <c r="V56" i="5"/>
  <c r="V57" i="5"/>
  <c r="V58" i="5"/>
  <c r="AK71" i="5"/>
  <c r="AJ77" i="5"/>
  <c r="W106" i="5"/>
  <c r="AK111" i="5"/>
  <c r="AB25" i="5"/>
  <c r="W54" i="5"/>
  <c r="W55" i="5"/>
  <c r="W56" i="5"/>
  <c r="W57" i="5"/>
  <c r="W58" i="5"/>
  <c r="W72" i="5"/>
  <c r="AD73" i="5"/>
  <c r="AE107" i="5"/>
  <c r="AK60" i="4"/>
  <c r="AK59" i="4"/>
  <c r="X58" i="4"/>
  <c r="AD25" i="4"/>
  <c r="AD26" i="4"/>
  <c r="Y54" i="4"/>
  <c r="Y55" i="4"/>
  <c r="Y56" i="4"/>
  <c r="Y57" i="4"/>
  <c r="Y58" i="4"/>
  <c r="AC72" i="4"/>
  <c r="AI73" i="4"/>
  <c r="W75" i="4"/>
  <c r="AI76" i="4"/>
  <c r="X78" i="4"/>
  <c r="AB93" i="4"/>
  <c r="W105" i="4"/>
  <c r="AD106" i="4"/>
  <c r="AJ107" i="4"/>
  <c r="AC109" i="4"/>
  <c r="AJ110" i="4"/>
  <c r="Y112" i="4"/>
  <c r="AB128" i="4"/>
  <c r="AE25" i="4"/>
  <c r="AB54" i="4"/>
  <c r="AB55" i="4"/>
  <c r="AB56" i="4"/>
  <c r="AB57" i="4"/>
  <c r="AB58" i="4"/>
  <c r="W71" i="4"/>
  <c r="AD72" i="4"/>
  <c r="AJ73" i="4"/>
  <c r="AC75" i="4"/>
  <c r="AJ76" i="4"/>
  <c r="Y78" i="4"/>
  <c r="X105" i="4"/>
  <c r="AK107" i="4"/>
  <c r="AD109" i="4"/>
  <c r="AK110" i="4"/>
  <c r="AC112" i="4"/>
  <c r="AH25" i="4"/>
  <c r="AH26" i="4"/>
  <c r="AC54" i="4"/>
  <c r="AC55" i="4"/>
  <c r="AC56" i="4"/>
  <c r="AC57" i="4"/>
  <c r="AC58" i="4"/>
  <c r="X71" i="4"/>
  <c r="AE92" i="4"/>
  <c r="AK73" i="4"/>
  <c r="AD75" i="4"/>
  <c r="AK76" i="4"/>
  <c r="AC78" i="4"/>
  <c r="Y105" i="4"/>
  <c r="AI106" i="4"/>
  <c r="W108" i="4"/>
  <c r="AE109" i="4"/>
  <c r="W111" i="4"/>
  <c r="AD112" i="4"/>
  <c r="X56" i="4"/>
  <c r="AI25" i="4"/>
  <c r="AI26" i="4"/>
  <c r="AD54" i="4"/>
  <c r="AD55" i="4"/>
  <c r="AD56" i="4"/>
  <c r="AD57" i="4"/>
  <c r="AD58" i="4"/>
  <c r="Y71" i="4"/>
  <c r="AI72" i="4"/>
  <c r="W74" i="4"/>
  <c r="AE75" i="4"/>
  <c r="W77" i="4"/>
  <c r="AD78" i="4"/>
  <c r="AC105" i="4"/>
  <c r="X108" i="4"/>
  <c r="AI109" i="4"/>
  <c r="Y111" i="4"/>
  <c r="AE112" i="4"/>
  <c r="AH127" i="4"/>
  <c r="X57" i="4"/>
  <c r="AJ25" i="4"/>
  <c r="AJ26" i="4"/>
  <c r="AE54" i="4"/>
  <c r="AE55" i="4"/>
  <c r="AE56" i="4"/>
  <c r="AE57" i="4"/>
  <c r="AE58" i="4"/>
  <c r="AC71" i="4"/>
  <c r="AJ95" i="4"/>
  <c r="X74" i="4"/>
  <c r="AI75" i="4"/>
  <c r="Y77" i="4"/>
  <c r="AE78" i="4"/>
  <c r="AH93" i="4"/>
  <c r="AD105" i="4"/>
  <c r="AK106" i="4"/>
  <c r="Y108" i="4"/>
  <c r="AJ109" i="4"/>
  <c r="AC111" i="4"/>
  <c r="AI112" i="4"/>
  <c r="X61" i="4"/>
  <c r="AK25" i="4"/>
  <c r="AH54" i="4"/>
  <c r="AH55" i="4"/>
  <c r="AH56" i="4"/>
  <c r="AH57" i="4"/>
  <c r="AH58" i="4"/>
  <c r="AD71" i="4"/>
  <c r="AK72" i="4"/>
  <c r="AK90" i="4" s="1"/>
  <c r="Y74" i="4"/>
  <c r="AJ75" i="4"/>
  <c r="AC77" i="4"/>
  <c r="AI78" i="4"/>
  <c r="AE105" i="4"/>
  <c r="W107" i="4"/>
  <c r="AC108" i="4"/>
  <c r="AK109" i="4"/>
  <c r="AD111" i="4"/>
  <c r="AJ112" i="4"/>
  <c r="AC25" i="4"/>
  <c r="V25" i="4"/>
  <c r="V26" i="4"/>
  <c r="AI54" i="4"/>
  <c r="AI55" i="4"/>
  <c r="AI56" i="4"/>
  <c r="AI57" i="4"/>
  <c r="AI58" i="4"/>
  <c r="W73" i="4"/>
  <c r="AC74" i="4"/>
  <c r="AK75" i="4"/>
  <c r="AK91" i="4" s="1"/>
  <c r="AD77" i="4"/>
  <c r="AJ78" i="4"/>
  <c r="AJ91" i="4"/>
  <c r="AI105" i="4"/>
  <c r="X107" i="4"/>
  <c r="AD108" i="4"/>
  <c r="W110" i="4"/>
  <c r="AE111" i="4"/>
  <c r="AK112" i="4"/>
  <c r="AC26" i="4"/>
  <c r="W25" i="4"/>
  <c r="W26" i="4"/>
  <c r="AJ54" i="4"/>
  <c r="AJ55" i="4"/>
  <c r="AJ56" i="4"/>
  <c r="AJ57" i="4"/>
  <c r="AJ58" i="4"/>
  <c r="AI71" i="4"/>
  <c r="X73" i="4"/>
  <c r="AD74" i="4"/>
  <c r="W76" i="4"/>
  <c r="AK92" i="4"/>
  <c r="AJ105" i="4"/>
  <c r="Y107" i="4"/>
  <c r="AE108" i="4"/>
  <c r="X110" i="4"/>
  <c r="AI111" i="4"/>
  <c r="V127" i="4"/>
  <c r="X25" i="4"/>
  <c r="X26" i="4"/>
  <c r="AK54" i="4"/>
  <c r="AK55" i="4"/>
  <c r="AK56" i="4"/>
  <c r="X76" i="4"/>
  <c r="AI77" i="4"/>
  <c r="V93" i="4"/>
  <c r="AK105" i="4"/>
  <c r="AC107" i="4"/>
  <c r="AJ111" i="4"/>
  <c r="Y25" i="4"/>
  <c r="V54" i="4"/>
  <c r="V55" i="4"/>
  <c r="V56" i="4"/>
  <c r="V57" i="4"/>
  <c r="V58" i="4"/>
  <c r="AC73" i="4"/>
  <c r="AC76" i="4"/>
  <c r="W106" i="4"/>
  <c r="AD107" i="4"/>
  <c r="AK111" i="4"/>
  <c r="AB25" i="4"/>
  <c r="W54" i="4"/>
  <c r="W55" i="4"/>
  <c r="W56" i="4"/>
  <c r="W57" i="4"/>
  <c r="W58" i="4"/>
  <c r="W72" i="4"/>
  <c r="AD73" i="4"/>
  <c r="AE107" i="4"/>
  <c r="AE95" i="3"/>
  <c r="AE92" i="3"/>
  <c r="AE91" i="3"/>
  <c r="AE90" i="3"/>
  <c r="AE89" i="3"/>
  <c r="AE88" i="3"/>
  <c r="X59" i="3"/>
  <c r="X112" i="3"/>
  <c r="AB127" i="3"/>
  <c r="AD25" i="3"/>
  <c r="AD26" i="3"/>
  <c r="Y54" i="3"/>
  <c r="Y55" i="3"/>
  <c r="Y56" i="3"/>
  <c r="Y57" i="3"/>
  <c r="Y58" i="3"/>
  <c r="AC72" i="3"/>
  <c r="AC95" i="3" s="1"/>
  <c r="AI73" i="3"/>
  <c r="W75" i="3"/>
  <c r="AI76" i="3"/>
  <c r="X78" i="3"/>
  <c r="AB93" i="3"/>
  <c r="W105" i="3"/>
  <c r="AD106" i="3"/>
  <c r="AJ107" i="3"/>
  <c r="AC109" i="3"/>
  <c r="AC129" i="3" s="1"/>
  <c r="AJ110" i="3"/>
  <c r="Y112" i="3"/>
  <c r="AE25" i="3"/>
  <c r="AB54" i="3"/>
  <c r="AB55" i="3"/>
  <c r="AB56" i="3"/>
  <c r="AB57" i="3"/>
  <c r="AB58" i="3"/>
  <c r="AD72" i="3"/>
  <c r="AJ73" i="3"/>
  <c r="AJ76" i="3"/>
  <c r="Y78" i="3"/>
  <c r="X105" i="3"/>
  <c r="AE106" i="3"/>
  <c r="AD109" i="3"/>
  <c r="AC25" i="3"/>
  <c r="AH25" i="3"/>
  <c r="AH26" i="3"/>
  <c r="AC54" i="3"/>
  <c r="AC55" i="3"/>
  <c r="AC56" i="3"/>
  <c r="AC57" i="3"/>
  <c r="AC58" i="3"/>
  <c r="X71" i="3"/>
  <c r="AK73" i="3"/>
  <c r="AD75" i="3"/>
  <c r="AK76" i="3"/>
  <c r="Y105" i="3"/>
  <c r="AE109" i="3"/>
  <c r="AD112" i="3"/>
  <c r="AI25" i="3"/>
  <c r="AI26" i="3"/>
  <c r="AD54" i="3"/>
  <c r="AD55" i="3"/>
  <c r="AD56" i="3"/>
  <c r="AD57" i="3"/>
  <c r="AD58" i="3"/>
  <c r="Y71" i="3"/>
  <c r="AI72" i="3"/>
  <c r="AD78" i="3"/>
  <c r="AJ106" i="3"/>
  <c r="X108" i="3"/>
  <c r="Y111" i="3"/>
  <c r="AE112" i="3"/>
  <c r="AH127" i="3"/>
  <c r="Y108" i="3"/>
  <c r="AJ109" i="3"/>
  <c r="AC111" i="3"/>
  <c r="AI112" i="3"/>
  <c r="AI129" i="3" s="1"/>
  <c r="AJ25" i="3"/>
  <c r="AJ26" i="3"/>
  <c r="AE54" i="3"/>
  <c r="AE56" i="3"/>
  <c r="AE57" i="3"/>
  <c r="AE61" i="3"/>
  <c r="AJ72" i="3"/>
  <c r="AI75" i="3"/>
  <c r="AD105" i="3"/>
  <c r="AK25" i="3"/>
  <c r="AH54" i="3"/>
  <c r="AH55" i="3"/>
  <c r="AH56" i="3"/>
  <c r="AH57" i="3"/>
  <c r="AH58" i="3"/>
  <c r="AD71" i="3"/>
  <c r="AK72" i="3"/>
  <c r="Y74" i="3"/>
  <c r="AJ75" i="3"/>
  <c r="AC77" i="3"/>
  <c r="AI78" i="3"/>
  <c r="AE105" i="3"/>
  <c r="W107" i="3"/>
  <c r="AK109" i="3"/>
  <c r="AK124" i="3" s="1"/>
  <c r="AD111" i="3"/>
  <c r="AJ112" i="3"/>
  <c r="AE55" i="3"/>
  <c r="X74" i="3"/>
  <c r="Y77" i="3"/>
  <c r="AH93" i="3"/>
  <c r="V25" i="3"/>
  <c r="V26" i="3"/>
  <c r="AI54" i="3"/>
  <c r="AI55" i="3"/>
  <c r="AI56" i="3"/>
  <c r="AI57" i="3"/>
  <c r="AI58" i="3"/>
  <c r="W73" i="3"/>
  <c r="W95" i="3" s="1"/>
  <c r="AC74" i="3"/>
  <c r="AK75" i="3"/>
  <c r="AD77" i="3"/>
  <c r="AJ78" i="3"/>
  <c r="X107" i="3"/>
  <c r="AD108" i="3"/>
  <c r="W110" i="3"/>
  <c r="AE111" i="3"/>
  <c r="AK112" i="3"/>
  <c r="AK122" i="3"/>
  <c r="AK123" i="3"/>
  <c r="AC26" i="3"/>
  <c r="W25" i="3"/>
  <c r="W26" i="3"/>
  <c r="AJ54" i="3"/>
  <c r="AJ55" i="3"/>
  <c r="AJ56" i="3"/>
  <c r="AJ57" i="3"/>
  <c r="AJ58" i="3"/>
  <c r="AI71" i="3"/>
  <c r="X73" i="3"/>
  <c r="AD74" i="3"/>
  <c r="AK78" i="3"/>
  <c r="AJ105" i="3"/>
  <c r="Y107" i="3"/>
  <c r="AE108" i="3"/>
  <c r="X110" i="3"/>
  <c r="V127" i="3"/>
  <c r="X25" i="3"/>
  <c r="X26" i="3"/>
  <c r="AK54" i="3"/>
  <c r="AK55" i="3"/>
  <c r="AK56" i="3"/>
  <c r="AK57" i="3"/>
  <c r="AK58" i="3"/>
  <c r="AJ71" i="3"/>
  <c r="X76" i="3"/>
  <c r="AI77" i="3"/>
  <c r="V93" i="3"/>
  <c r="AJ111" i="3"/>
  <c r="Y25" i="3"/>
  <c r="V54" i="3"/>
  <c r="V56" i="3"/>
  <c r="V57" i="3"/>
  <c r="AJ77" i="3"/>
  <c r="W88" i="3"/>
  <c r="W89" i="3"/>
  <c r="AD107" i="3"/>
  <c r="V55" i="3"/>
  <c r="AB25" i="3"/>
  <c r="W54" i="3"/>
  <c r="W55" i="3"/>
  <c r="W56" i="3"/>
  <c r="W57" i="3"/>
  <c r="W58" i="3"/>
  <c r="AD73" i="3"/>
  <c r="AE107" i="3"/>
  <c r="AD25" i="2"/>
  <c r="AD26" i="2"/>
  <c r="Y54" i="2"/>
  <c r="Y55" i="2"/>
  <c r="Y56" i="2"/>
  <c r="Y57" i="2"/>
  <c r="Y58" i="2"/>
  <c r="AC72" i="2"/>
  <c r="AI73" i="2"/>
  <c r="W75" i="2"/>
  <c r="AI76" i="2"/>
  <c r="X78" i="2"/>
  <c r="AB93" i="2"/>
  <c r="X56" i="2"/>
  <c r="AE25" i="2"/>
  <c r="AB54" i="2"/>
  <c r="AB55" i="2"/>
  <c r="AB56" i="2"/>
  <c r="AB57" i="2"/>
  <c r="AB58" i="2"/>
  <c r="W71" i="2"/>
  <c r="AD72" i="2"/>
  <c r="AJ73" i="2"/>
  <c r="AC75" i="2"/>
  <c r="AJ76" i="2"/>
  <c r="Y78" i="2"/>
  <c r="X55" i="2"/>
  <c r="AH25" i="2"/>
  <c r="AH26" i="2"/>
  <c r="AC54" i="2"/>
  <c r="AC55" i="2"/>
  <c r="AC56" i="2"/>
  <c r="AC57" i="2"/>
  <c r="AC58" i="2"/>
  <c r="X71" i="2"/>
  <c r="AE72" i="2"/>
  <c r="AK73" i="2"/>
  <c r="AD75" i="2"/>
  <c r="AK76" i="2"/>
  <c r="AC78" i="2"/>
  <c r="AC26" i="2"/>
  <c r="X57" i="2"/>
  <c r="AI25" i="2"/>
  <c r="AI26" i="2"/>
  <c r="AD54" i="2"/>
  <c r="AD55" i="2"/>
  <c r="AD56" i="2"/>
  <c r="AD57" i="2"/>
  <c r="AD58" i="2"/>
  <c r="Y71" i="2"/>
  <c r="AI72" i="2"/>
  <c r="W74" i="2"/>
  <c r="AE75" i="2"/>
  <c r="W77" i="2"/>
  <c r="AD78" i="2"/>
  <c r="AC25" i="2"/>
  <c r="X58" i="2"/>
  <c r="AJ25" i="2"/>
  <c r="AJ26" i="2"/>
  <c r="AE54" i="2"/>
  <c r="AE55" i="2"/>
  <c r="AE56" i="2"/>
  <c r="AE57" i="2"/>
  <c r="AE58" i="2"/>
  <c r="AC71" i="2"/>
  <c r="AJ72" i="2"/>
  <c r="X74" i="2"/>
  <c r="AI75" i="2"/>
  <c r="Y77" i="2"/>
  <c r="AE78" i="2"/>
  <c r="AH93" i="2"/>
  <c r="X54" i="2"/>
  <c r="AK25" i="2"/>
  <c r="AH54" i="2"/>
  <c r="AH55" i="2"/>
  <c r="AH56" i="2"/>
  <c r="AH57" i="2"/>
  <c r="AH58" i="2"/>
  <c r="AD71" i="2"/>
  <c r="AK72" i="2"/>
  <c r="Y74" i="2"/>
  <c r="AJ75" i="2"/>
  <c r="AC77" i="2"/>
  <c r="AI78" i="2"/>
  <c r="V25" i="2"/>
  <c r="V26" i="2"/>
  <c r="AI54" i="2"/>
  <c r="AI55" i="2"/>
  <c r="AI56" i="2"/>
  <c r="AI57" i="2"/>
  <c r="AI58" i="2"/>
  <c r="AE71" i="2"/>
  <c r="W73" i="2"/>
  <c r="AC74" i="2"/>
  <c r="AK75" i="2"/>
  <c r="AD77" i="2"/>
  <c r="AJ78" i="2"/>
  <c r="W25" i="2"/>
  <c r="W26" i="2"/>
  <c r="AJ54" i="2"/>
  <c r="AJ55" i="2"/>
  <c r="AJ56" i="2"/>
  <c r="AJ57" i="2"/>
  <c r="AJ58" i="2"/>
  <c r="AI71" i="2"/>
  <c r="X73" i="2"/>
  <c r="AD74" i="2"/>
  <c r="W76" i="2"/>
  <c r="AE77" i="2"/>
  <c r="AK78" i="2"/>
  <c r="V127" i="2"/>
  <c r="X25" i="2"/>
  <c r="X26" i="2"/>
  <c r="AK54" i="2"/>
  <c r="AK55" i="2"/>
  <c r="AK56" i="2"/>
  <c r="AK57" i="2"/>
  <c r="AK58" i="2"/>
  <c r="AJ71" i="2"/>
  <c r="X76" i="2"/>
  <c r="AI77" i="2"/>
  <c r="V93" i="2"/>
  <c r="Y25" i="2"/>
  <c r="V54" i="2"/>
  <c r="V55" i="2"/>
  <c r="V56" i="2"/>
  <c r="V57" i="2"/>
  <c r="V58" i="2"/>
  <c r="AK71" i="2"/>
  <c r="AC73" i="2"/>
  <c r="AC76" i="2"/>
  <c r="AJ77" i="2"/>
  <c r="AB25" i="2"/>
  <c r="W54" i="2"/>
  <c r="W55" i="2"/>
  <c r="W56" i="2"/>
  <c r="W57" i="2"/>
  <c r="W58" i="2"/>
  <c r="W72" i="2"/>
  <c r="AD73" i="2"/>
  <c r="AC26" i="1"/>
  <c r="X56" i="1"/>
  <c r="AI107" i="1"/>
  <c r="AI110" i="1"/>
  <c r="AB127" i="1"/>
  <c r="AD25" i="1"/>
  <c r="AD26" i="1"/>
  <c r="Y55" i="1"/>
  <c r="Y56" i="1"/>
  <c r="Y57" i="1"/>
  <c r="Y58" i="1"/>
  <c r="AC72" i="1"/>
  <c r="AI73" i="1"/>
  <c r="W75" i="1"/>
  <c r="AI76" i="1"/>
  <c r="X78" i="1"/>
  <c r="AB93" i="1"/>
  <c r="AD106" i="1"/>
  <c r="AJ107" i="1"/>
  <c r="AC109" i="1"/>
  <c r="AJ110" i="1"/>
  <c r="Y112" i="1"/>
  <c r="X57" i="1"/>
  <c r="AE25" i="1"/>
  <c r="AB54" i="1"/>
  <c r="AB55" i="1"/>
  <c r="AB56" i="1"/>
  <c r="AB57" i="1"/>
  <c r="AB58" i="1"/>
  <c r="AD72" i="1"/>
  <c r="AJ73" i="1"/>
  <c r="AC75" i="1"/>
  <c r="AJ76" i="1"/>
  <c r="Y78" i="1"/>
  <c r="X105" i="1"/>
  <c r="AE106" i="1"/>
  <c r="AK107" i="1"/>
  <c r="AD109" i="1"/>
  <c r="AK110" i="1"/>
  <c r="AC112" i="1"/>
  <c r="X58" i="1"/>
  <c r="AH25" i="1"/>
  <c r="AH26" i="1"/>
  <c r="AC54" i="1"/>
  <c r="AC55" i="1"/>
  <c r="AC56" i="1"/>
  <c r="AC57" i="1"/>
  <c r="AC58" i="1"/>
  <c r="X71" i="1"/>
  <c r="AE72" i="1"/>
  <c r="AK73" i="1"/>
  <c r="AD75" i="1"/>
  <c r="AK76" i="1"/>
  <c r="AC78" i="1"/>
  <c r="Y105" i="1"/>
  <c r="AI106" i="1"/>
  <c r="W108" i="1"/>
  <c r="AE109" i="1"/>
  <c r="W111" i="1"/>
  <c r="AD112" i="1"/>
  <c r="AI25" i="1"/>
  <c r="AI26" i="1"/>
  <c r="AD54" i="1"/>
  <c r="AD55" i="1"/>
  <c r="AD56" i="1"/>
  <c r="AD57" i="1"/>
  <c r="AD58" i="1"/>
  <c r="Y71" i="1"/>
  <c r="AI72" i="1"/>
  <c r="W74" i="1"/>
  <c r="AE75" i="1"/>
  <c r="W77" i="1"/>
  <c r="AD78" i="1"/>
  <c r="AC105" i="1"/>
  <c r="AJ106" i="1"/>
  <c r="X108" i="1"/>
  <c r="AI109" i="1"/>
  <c r="Y111" i="1"/>
  <c r="AE112" i="1"/>
  <c r="AH127" i="1"/>
  <c r="AJ25" i="1"/>
  <c r="AJ26" i="1"/>
  <c r="AE54" i="1"/>
  <c r="AE55" i="1"/>
  <c r="AE56" i="1"/>
  <c r="AE57" i="1"/>
  <c r="AE58" i="1"/>
  <c r="AC71" i="1"/>
  <c r="AJ72" i="1"/>
  <c r="X74" i="1"/>
  <c r="AI75" i="1"/>
  <c r="Y77" i="1"/>
  <c r="AE78" i="1"/>
  <c r="AH93" i="1"/>
  <c r="AD105" i="1"/>
  <c r="AK106" i="1"/>
  <c r="Y108" i="1"/>
  <c r="AJ109" i="1"/>
  <c r="AC111" i="1"/>
  <c r="AI112" i="1"/>
  <c r="AC25" i="1"/>
  <c r="X54" i="1"/>
  <c r="X61" i="1"/>
  <c r="AK25" i="1"/>
  <c r="AH54" i="1"/>
  <c r="AH55" i="1"/>
  <c r="AH56" i="1"/>
  <c r="AH57" i="1"/>
  <c r="AH58" i="1"/>
  <c r="AD71" i="1"/>
  <c r="AK72" i="1"/>
  <c r="Y74" i="1"/>
  <c r="AJ75" i="1"/>
  <c r="AC77" i="1"/>
  <c r="AI78" i="1"/>
  <c r="AE105" i="1"/>
  <c r="W107" i="1"/>
  <c r="AC108" i="1"/>
  <c r="AK109" i="1"/>
  <c r="AD111" i="1"/>
  <c r="AJ112" i="1"/>
  <c r="V25" i="1"/>
  <c r="V26" i="1"/>
  <c r="AI54" i="1"/>
  <c r="AI55" i="1"/>
  <c r="AI56" i="1"/>
  <c r="AI57" i="1"/>
  <c r="AI58" i="1"/>
  <c r="AE71" i="1"/>
  <c r="W73" i="1"/>
  <c r="AC74" i="1"/>
  <c r="AK75" i="1"/>
  <c r="AD77" i="1"/>
  <c r="AJ78" i="1"/>
  <c r="AI105" i="1"/>
  <c r="X107" i="1"/>
  <c r="AD108" i="1"/>
  <c r="W110" i="1"/>
  <c r="AE111" i="1"/>
  <c r="AK112" i="1"/>
  <c r="W25" i="1"/>
  <c r="W26" i="1"/>
  <c r="AJ54" i="1"/>
  <c r="AJ55" i="1"/>
  <c r="AJ56" i="1"/>
  <c r="AJ57" i="1"/>
  <c r="AJ58" i="1"/>
  <c r="AI71" i="1"/>
  <c r="X73" i="1"/>
  <c r="AD74" i="1"/>
  <c r="AK78" i="1"/>
  <c r="AJ105" i="1"/>
  <c r="Y107" i="1"/>
  <c r="AE108" i="1"/>
  <c r="X110" i="1"/>
  <c r="AI111" i="1"/>
  <c r="V127" i="1"/>
  <c r="X25" i="1"/>
  <c r="X26" i="1"/>
  <c r="AK54" i="1"/>
  <c r="AK55" i="1"/>
  <c r="AK56" i="1"/>
  <c r="AK57" i="1"/>
  <c r="AK58" i="1"/>
  <c r="AJ71" i="1"/>
  <c r="X76" i="1"/>
  <c r="AI77" i="1"/>
  <c r="V93" i="1"/>
  <c r="AK105" i="1"/>
  <c r="AJ111" i="1"/>
  <c r="Y25" i="1"/>
  <c r="V54" i="1"/>
  <c r="V55" i="1"/>
  <c r="V56" i="1"/>
  <c r="V57" i="1"/>
  <c r="V58" i="1"/>
  <c r="AK71" i="1"/>
  <c r="AC73" i="1"/>
  <c r="AC76" i="1"/>
  <c r="AJ77" i="1"/>
  <c r="W106" i="1"/>
  <c r="AD107" i="1"/>
  <c r="AK111" i="1"/>
  <c r="AB25" i="1"/>
  <c r="W54" i="1"/>
  <c r="W55" i="1"/>
  <c r="W56" i="1"/>
  <c r="W57" i="1"/>
  <c r="W58" i="1"/>
  <c r="AD73" i="1"/>
  <c r="AE107" i="1"/>
  <c r="E94" i="1"/>
  <c r="E93" i="1"/>
  <c r="D59" i="1"/>
  <c r="D93" i="1"/>
  <c r="B128" i="1"/>
  <c r="E57" i="1"/>
  <c r="C122" i="1"/>
  <c r="B55" i="1"/>
  <c r="B58" i="1"/>
  <c r="B60" i="1" s="1"/>
  <c r="B61" i="1"/>
  <c r="C90" i="1"/>
  <c r="D122" i="1"/>
  <c r="D125" i="1"/>
  <c r="D60" i="1"/>
  <c r="C55" i="1"/>
  <c r="D90" i="1"/>
  <c r="E122" i="1"/>
  <c r="E125" i="1"/>
  <c r="E89" i="1"/>
  <c r="E54" i="1"/>
  <c r="C58" i="1"/>
  <c r="C60" i="1" s="1"/>
  <c r="D55" i="1"/>
  <c r="D58" i="1"/>
  <c r="D61" i="1"/>
  <c r="E90" i="1"/>
  <c r="E55" i="1"/>
  <c r="E58" i="1"/>
  <c r="C123" i="1"/>
  <c r="C126" i="1"/>
  <c r="C127" i="1" s="1"/>
  <c r="E92" i="1"/>
  <c r="C61" i="1"/>
  <c r="B56" i="1"/>
  <c r="C88" i="1"/>
  <c r="C91" i="1"/>
  <c r="D123" i="1"/>
  <c r="D126" i="1"/>
  <c r="E95" i="1"/>
  <c r="D88" i="1"/>
  <c r="E129" i="1"/>
  <c r="E123" i="1"/>
  <c r="E126" i="1"/>
  <c r="E88" i="1"/>
  <c r="B54" i="1"/>
  <c r="C92" i="1"/>
  <c r="C89" i="1"/>
  <c r="C54" i="1"/>
  <c r="D89" i="1"/>
  <c r="D92" i="1"/>
  <c r="D94" i="1" s="1"/>
  <c r="D54" i="2"/>
  <c r="D57" i="2"/>
  <c r="E89" i="2"/>
  <c r="E92" i="2"/>
  <c r="E94" i="2" s="1"/>
  <c r="E95" i="2"/>
  <c r="B128" i="2"/>
  <c r="E54" i="2"/>
  <c r="E57" i="2"/>
  <c r="B93" i="2"/>
  <c r="C122" i="2"/>
  <c r="C125" i="2"/>
  <c r="B61" i="2"/>
  <c r="D122" i="2"/>
  <c r="D125" i="2"/>
  <c r="C61" i="2"/>
  <c r="E122" i="2"/>
  <c r="E125" i="2"/>
  <c r="B55" i="2"/>
  <c r="D55" i="2"/>
  <c r="C55" i="2"/>
  <c r="D61" i="2"/>
  <c r="E55" i="2"/>
  <c r="E58" i="2"/>
  <c r="C123" i="2"/>
  <c r="C126" i="2"/>
  <c r="E90" i="2"/>
  <c r="C88" i="2"/>
  <c r="C91" i="2"/>
  <c r="D123" i="2"/>
  <c r="D126" i="2"/>
  <c r="C58" i="2"/>
  <c r="C59" i="2" s="1"/>
  <c r="D58" i="2"/>
  <c r="C56" i="2"/>
  <c r="D88" i="2"/>
  <c r="D91" i="2"/>
  <c r="E123" i="2"/>
  <c r="E126" i="2"/>
  <c r="E88" i="2"/>
  <c r="B54" i="2"/>
  <c r="C92" i="2"/>
  <c r="C89" i="2"/>
  <c r="C54" i="2"/>
  <c r="D89" i="2"/>
  <c r="D92" i="2"/>
  <c r="E94" i="7"/>
  <c r="E93" i="7"/>
  <c r="C127" i="7"/>
  <c r="D93" i="7"/>
  <c r="B55" i="7"/>
  <c r="B58" i="7"/>
  <c r="B60" i="7" s="1"/>
  <c r="B61" i="7"/>
  <c r="C90" i="7"/>
  <c r="D122" i="7"/>
  <c r="D125" i="7"/>
  <c r="C55" i="7"/>
  <c r="C58" i="7"/>
  <c r="C60" i="7" s="1"/>
  <c r="C61" i="7"/>
  <c r="E122" i="7"/>
  <c r="E125" i="7"/>
  <c r="D55" i="7"/>
  <c r="D58" i="7"/>
  <c r="D60" i="7" s="1"/>
  <c r="D61" i="7"/>
  <c r="E90" i="7"/>
  <c r="C123" i="7"/>
  <c r="C126" i="7"/>
  <c r="C128" i="7" s="1"/>
  <c r="E55" i="7"/>
  <c r="B56" i="7"/>
  <c r="C88" i="7"/>
  <c r="C91" i="7"/>
  <c r="D123" i="7"/>
  <c r="D126" i="7"/>
  <c r="E60" i="7"/>
  <c r="D88" i="7"/>
  <c r="E123" i="7"/>
  <c r="E126" i="7"/>
  <c r="E129" i="7"/>
  <c r="E95" i="7"/>
  <c r="E88" i="7"/>
  <c r="B127" i="7"/>
  <c r="B54" i="7"/>
  <c r="C89" i="7"/>
  <c r="C92" i="7"/>
  <c r="C54" i="7"/>
  <c r="D89" i="7"/>
  <c r="D92" i="7"/>
  <c r="D94" i="7" s="1"/>
  <c r="C122" i="6"/>
  <c r="B55" i="6"/>
  <c r="B58" i="6"/>
  <c r="B60" i="6" s="1"/>
  <c r="B61" i="6"/>
  <c r="C90" i="6"/>
  <c r="D122" i="6"/>
  <c r="D125" i="6"/>
  <c r="E57" i="6"/>
  <c r="C125" i="6"/>
  <c r="C55" i="6"/>
  <c r="C58" i="6"/>
  <c r="C60" i="6" s="1"/>
  <c r="C61" i="6"/>
  <c r="D90" i="6"/>
  <c r="E122" i="6"/>
  <c r="E125" i="6"/>
  <c r="E95" i="6"/>
  <c r="E54" i="6"/>
  <c r="E92" i="6"/>
  <c r="E94" i="6" s="1"/>
  <c r="B128" i="6"/>
  <c r="D58" i="6"/>
  <c r="E55" i="6"/>
  <c r="E58" i="6"/>
  <c r="C123" i="6"/>
  <c r="C126" i="6"/>
  <c r="D55" i="6"/>
  <c r="D61" i="6"/>
  <c r="E90" i="6"/>
  <c r="B56" i="6"/>
  <c r="C88" i="6"/>
  <c r="C91" i="6"/>
  <c r="D123" i="6"/>
  <c r="D126" i="6"/>
  <c r="D91" i="6"/>
  <c r="E126" i="6"/>
  <c r="E129" i="6"/>
  <c r="E89" i="6"/>
  <c r="E123" i="6"/>
  <c r="E88" i="6"/>
  <c r="B54" i="6"/>
  <c r="C95" i="6"/>
  <c r="C89" i="6"/>
  <c r="C54" i="6"/>
  <c r="D89" i="6"/>
  <c r="D92" i="6"/>
  <c r="E94" i="5"/>
  <c r="E93" i="5"/>
  <c r="B128" i="5"/>
  <c r="E54" i="5"/>
  <c r="E57" i="5"/>
  <c r="C122" i="5"/>
  <c r="C125" i="5"/>
  <c r="B55" i="5"/>
  <c r="B58" i="5"/>
  <c r="B60" i="5" s="1"/>
  <c r="D122" i="5"/>
  <c r="D125" i="5"/>
  <c r="C55" i="5"/>
  <c r="C58" i="5"/>
  <c r="C59" i="5" s="1"/>
  <c r="C61" i="5"/>
  <c r="E122" i="5"/>
  <c r="E125" i="5"/>
  <c r="E89" i="5"/>
  <c r="D58" i="5"/>
  <c r="D59" i="5" s="1"/>
  <c r="D61" i="5"/>
  <c r="E90" i="5"/>
  <c r="E95" i="5"/>
  <c r="E55" i="5"/>
  <c r="E58" i="5"/>
  <c r="C123" i="5"/>
  <c r="C126" i="5"/>
  <c r="B56" i="5"/>
  <c r="C88" i="5"/>
  <c r="C91" i="5"/>
  <c r="D123" i="5"/>
  <c r="D126" i="5"/>
  <c r="E92" i="5"/>
  <c r="C56" i="5"/>
  <c r="D88" i="5"/>
  <c r="D91" i="5"/>
  <c r="E123" i="5"/>
  <c r="E126" i="5"/>
  <c r="E88" i="5"/>
  <c r="B54" i="5"/>
  <c r="C89" i="5"/>
  <c r="C92" i="5"/>
  <c r="C54" i="5"/>
  <c r="D89" i="5"/>
  <c r="D92" i="5"/>
  <c r="C60" i="4"/>
  <c r="C59" i="4"/>
  <c r="B60" i="4"/>
  <c r="B54" i="4"/>
  <c r="C92" i="4"/>
  <c r="D54" i="4"/>
  <c r="D57" i="4"/>
  <c r="E89" i="4"/>
  <c r="E92" i="4"/>
  <c r="E54" i="4"/>
  <c r="E57" i="4"/>
  <c r="C122" i="4"/>
  <c r="C125" i="4"/>
  <c r="D125" i="4"/>
  <c r="E91" i="4"/>
  <c r="C61" i="4"/>
  <c r="E125" i="4"/>
  <c r="B58" i="4"/>
  <c r="D122" i="4"/>
  <c r="C58" i="4"/>
  <c r="E90" i="4"/>
  <c r="B55" i="4"/>
  <c r="D55" i="4"/>
  <c r="E55" i="4"/>
  <c r="E58" i="4"/>
  <c r="C123" i="4"/>
  <c r="C126" i="4"/>
  <c r="B61" i="4"/>
  <c r="D58" i="4"/>
  <c r="C88" i="4"/>
  <c r="C91" i="4"/>
  <c r="D123" i="4"/>
  <c r="D126" i="4"/>
  <c r="C55" i="4"/>
  <c r="C56" i="4"/>
  <c r="D88" i="4"/>
  <c r="D91" i="4"/>
  <c r="E123" i="4"/>
  <c r="E126" i="4"/>
  <c r="C89" i="4"/>
  <c r="C54" i="4"/>
  <c r="D89" i="4"/>
  <c r="D92" i="4"/>
  <c r="B33" i="10"/>
  <c r="B32" i="10"/>
  <c r="B31" i="10"/>
  <c r="Q30" i="10"/>
  <c r="P30" i="10"/>
  <c r="O30" i="10"/>
  <c r="N30" i="10"/>
  <c r="K30" i="10"/>
  <c r="J30" i="10"/>
  <c r="I30" i="10"/>
  <c r="H30" i="10"/>
  <c r="B30" i="10"/>
  <c r="Q29" i="10"/>
  <c r="P29" i="10"/>
  <c r="O29" i="10"/>
  <c r="N29" i="10"/>
  <c r="K29" i="10"/>
  <c r="J29" i="10"/>
  <c r="I29" i="10"/>
  <c r="H29" i="10"/>
  <c r="Q27" i="10"/>
  <c r="P27" i="10"/>
  <c r="O27" i="10"/>
  <c r="N27" i="10"/>
  <c r="K27" i="10"/>
  <c r="J27" i="10"/>
  <c r="I27" i="10"/>
  <c r="H27" i="10"/>
  <c r="E27" i="10"/>
  <c r="D27" i="10"/>
  <c r="C27" i="10"/>
  <c r="B27" i="10"/>
  <c r="Q24" i="10"/>
  <c r="P24" i="10"/>
  <c r="O24" i="10"/>
  <c r="N24" i="10"/>
  <c r="K24" i="10"/>
  <c r="J24" i="10"/>
  <c r="I24" i="10"/>
  <c r="H24" i="10"/>
  <c r="E24" i="10"/>
  <c r="D24" i="10"/>
  <c r="C24" i="10"/>
  <c r="B24" i="10"/>
  <c r="Q23" i="10"/>
  <c r="Q26" i="10" s="1"/>
  <c r="P23" i="10"/>
  <c r="P26" i="10" s="1"/>
  <c r="O23" i="10"/>
  <c r="O25" i="10" s="1"/>
  <c r="N23" i="10"/>
  <c r="N26" i="10" s="1"/>
  <c r="K23" i="10"/>
  <c r="K26" i="10" s="1"/>
  <c r="J23" i="10"/>
  <c r="J26" i="10" s="1"/>
  <c r="I23" i="10"/>
  <c r="I26" i="10" s="1"/>
  <c r="H23" i="10"/>
  <c r="H26" i="10" s="1"/>
  <c r="E23" i="10"/>
  <c r="E26" i="10" s="1"/>
  <c r="D23" i="10"/>
  <c r="C23" i="10"/>
  <c r="B23" i="10"/>
  <c r="B26" i="10" s="1"/>
  <c r="Q22" i="10"/>
  <c r="P22" i="10"/>
  <c r="O22" i="10"/>
  <c r="N22" i="10"/>
  <c r="K22" i="10"/>
  <c r="J22" i="10"/>
  <c r="I22" i="10"/>
  <c r="H22" i="10"/>
  <c r="E22" i="10"/>
  <c r="D22" i="10"/>
  <c r="C22" i="10"/>
  <c r="B22" i="10"/>
  <c r="Q21" i="10"/>
  <c r="P21" i="10"/>
  <c r="O21" i="10"/>
  <c r="N21" i="10"/>
  <c r="K21" i="10"/>
  <c r="J21" i="10"/>
  <c r="I21" i="10"/>
  <c r="H21" i="10"/>
  <c r="E21" i="10"/>
  <c r="D21" i="10"/>
  <c r="C21" i="10"/>
  <c r="B21" i="10"/>
  <c r="Q20" i="10"/>
  <c r="P20" i="10"/>
  <c r="O20" i="10"/>
  <c r="N20" i="10"/>
  <c r="K20" i="10"/>
  <c r="J20" i="10"/>
  <c r="I20" i="10"/>
  <c r="H20" i="10"/>
  <c r="E20" i="10"/>
  <c r="D20" i="10"/>
  <c r="C20" i="10"/>
  <c r="B20" i="10"/>
  <c r="B33" i="9"/>
  <c r="B32" i="9"/>
  <c r="B31" i="9"/>
  <c r="Q30" i="9"/>
  <c r="P30" i="9"/>
  <c r="O30" i="9"/>
  <c r="N30" i="9"/>
  <c r="K30" i="9"/>
  <c r="J30" i="9"/>
  <c r="I30" i="9"/>
  <c r="H30" i="9"/>
  <c r="B30" i="9"/>
  <c r="Q29" i="9"/>
  <c r="P29" i="9"/>
  <c r="O29" i="9"/>
  <c r="N29" i="9"/>
  <c r="K29" i="9"/>
  <c r="J29" i="9"/>
  <c r="I29" i="9"/>
  <c r="H29" i="9"/>
  <c r="Q27" i="9"/>
  <c r="P27" i="9"/>
  <c r="O27" i="9"/>
  <c r="N27" i="9"/>
  <c r="K27" i="9"/>
  <c r="J27" i="9"/>
  <c r="I27" i="9"/>
  <c r="H27" i="9"/>
  <c r="E27" i="9"/>
  <c r="D27" i="9"/>
  <c r="C27" i="9"/>
  <c r="B27" i="9"/>
  <c r="Q24" i="9"/>
  <c r="P24" i="9"/>
  <c r="O24" i="9"/>
  <c r="N24" i="9"/>
  <c r="K24" i="9"/>
  <c r="J24" i="9"/>
  <c r="I24" i="9"/>
  <c r="H24" i="9"/>
  <c r="E24" i="9"/>
  <c r="D24" i="9"/>
  <c r="C24" i="9"/>
  <c r="B24" i="9"/>
  <c r="Q23" i="9"/>
  <c r="Q26" i="9" s="1"/>
  <c r="P23" i="9"/>
  <c r="O23" i="9"/>
  <c r="N23" i="9"/>
  <c r="K23" i="9"/>
  <c r="J23" i="9"/>
  <c r="I23" i="9"/>
  <c r="H23" i="9"/>
  <c r="E23" i="9"/>
  <c r="E26" i="9" s="1"/>
  <c r="D23" i="9"/>
  <c r="C23" i="9"/>
  <c r="B23" i="9"/>
  <c r="Q22" i="9"/>
  <c r="P22" i="9"/>
  <c r="O22" i="9"/>
  <c r="N22" i="9"/>
  <c r="K22" i="9"/>
  <c r="J22" i="9"/>
  <c r="I22" i="9"/>
  <c r="H22" i="9"/>
  <c r="E22" i="9"/>
  <c r="D22" i="9"/>
  <c r="C22" i="9"/>
  <c r="B22" i="9"/>
  <c r="Q21" i="9"/>
  <c r="P21" i="9"/>
  <c r="O21" i="9"/>
  <c r="N21" i="9"/>
  <c r="K21" i="9"/>
  <c r="J21" i="9"/>
  <c r="I21" i="9"/>
  <c r="H21" i="9"/>
  <c r="E21" i="9"/>
  <c r="D21" i="9"/>
  <c r="C21" i="9"/>
  <c r="B21" i="9"/>
  <c r="Q20" i="9"/>
  <c r="P20" i="9"/>
  <c r="O20" i="9"/>
  <c r="N20" i="9"/>
  <c r="K20" i="9"/>
  <c r="J20" i="9"/>
  <c r="I20" i="9"/>
  <c r="H20" i="9"/>
  <c r="E20" i="9"/>
  <c r="D20" i="9"/>
  <c r="C20" i="9"/>
  <c r="B20" i="9"/>
  <c r="N129" i="7"/>
  <c r="H129" i="7"/>
  <c r="N126" i="7"/>
  <c r="H126" i="7"/>
  <c r="N125" i="7"/>
  <c r="N128" i="7" s="1"/>
  <c r="H125" i="7"/>
  <c r="H128" i="7" s="1"/>
  <c r="N124" i="7"/>
  <c r="H124" i="7"/>
  <c r="N123" i="7"/>
  <c r="H123" i="7"/>
  <c r="N122" i="7"/>
  <c r="H122" i="7"/>
  <c r="N95" i="7"/>
  <c r="H95" i="7"/>
  <c r="N92" i="7"/>
  <c r="H92" i="7"/>
  <c r="N91" i="7"/>
  <c r="N93" i="7" s="1"/>
  <c r="H91" i="7"/>
  <c r="H94" i="7" s="1"/>
  <c r="N90" i="7"/>
  <c r="H90" i="7"/>
  <c r="N89" i="7"/>
  <c r="H89" i="7"/>
  <c r="N88" i="7"/>
  <c r="H88" i="7"/>
  <c r="B33" i="7"/>
  <c r="B32" i="7"/>
  <c r="B31" i="7"/>
  <c r="Q30" i="7"/>
  <c r="P30" i="7"/>
  <c r="O30" i="7"/>
  <c r="N30" i="7"/>
  <c r="K30" i="7"/>
  <c r="J30" i="7"/>
  <c r="I30" i="7"/>
  <c r="H30" i="7"/>
  <c r="B30" i="7"/>
  <c r="Q29" i="7"/>
  <c r="P29" i="7"/>
  <c r="O29" i="7"/>
  <c r="N29" i="7"/>
  <c r="K29" i="7"/>
  <c r="J29" i="7"/>
  <c r="I29" i="7"/>
  <c r="H29" i="7"/>
  <c r="Q27" i="7"/>
  <c r="P27" i="7"/>
  <c r="O27" i="7"/>
  <c r="N27" i="7"/>
  <c r="K27" i="7"/>
  <c r="J27" i="7"/>
  <c r="I27" i="7"/>
  <c r="H27" i="7"/>
  <c r="E27" i="7"/>
  <c r="D27" i="7"/>
  <c r="C27" i="7"/>
  <c r="B27" i="7"/>
  <c r="Q24" i="7"/>
  <c r="P24" i="7"/>
  <c r="O24" i="7"/>
  <c r="N24" i="7"/>
  <c r="K24" i="7"/>
  <c r="J24" i="7"/>
  <c r="I24" i="7"/>
  <c r="H24" i="7"/>
  <c r="E24" i="7"/>
  <c r="D24" i="7"/>
  <c r="C24" i="7"/>
  <c r="B24" i="7"/>
  <c r="Q23" i="7"/>
  <c r="Q26" i="7" s="1"/>
  <c r="P23" i="7"/>
  <c r="O23" i="7"/>
  <c r="N23" i="7"/>
  <c r="N26" i="7" s="1"/>
  <c r="K23" i="7"/>
  <c r="K26" i="7" s="1"/>
  <c r="J23" i="7"/>
  <c r="I23" i="7"/>
  <c r="H23" i="7"/>
  <c r="E23" i="7"/>
  <c r="E26" i="7" s="1"/>
  <c r="D23" i="7"/>
  <c r="C23" i="7"/>
  <c r="B23" i="7"/>
  <c r="Q22" i="7"/>
  <c r="P22" i="7"/>
  <c r="O22" i="7"/>
  <c r="N22" i="7"/>
  <c r="K22" i="7"/>
  <c r="J22" i="7"/>
  <c r="I22" i="7"/>
  <c r="H22" i="7"/>
  <c r="E22" i="7"/>
  <c r="D22" i="7"/>
  <c r="C22" i="7"/>
  <c r="B22" i="7"/>
  <c r="Q21" i="7"/>
  <c r="P21" i="7"/>
  <c r="O21" i="7"/>
  <c r="N21" i="7"/>
  <c r="K21" i="7"/>
  <c r="J21" i="7"/>
  <c r="I21" i="7"/>
  <c r="H21" i="7"/>
  <c r="E21" i="7"/>
  <c r="D21" i="7"/>
  <c r="C21" i="7"/>
  <c r="B21" i="7"/>
  <c r="Q20" i="7"/>
  <c r="P20" i="7"/>
  <c r="O20" i="7"/>
  <c r="N20" i="7"/>
  <c r="K20" i="7"/>
  <c r="J20" i="7"/>
  <c r="I20" i="7"/>
  <c r="H20" i="7"/>
  <c r="E20" i="7"/>
  <c r="D20" i="7"/>
  <c r="C20" i="7"/>
  <c r="B20" i="7"/>
  <c r="N129" i="6"/>
  <c r="H129" i="6"/>
  <c r="N126" i="6"/>
  <c r="H126" i="6"/>
  <c r="N125" i="6"/>
  <c r="N128" i="6" s="1"/>
  <c r="H125" i="6"/>
  <c r="H127" i="6" s="1"/>
  <c r="N124" i="6"/>
  <c r="H124" i="6"/>
  <c r="N123" i="6"/>
  <c r="H123" i="6"/>
  <c r="N122" i="6"/>
  <c r="H122" i="6"/>
  <c r="N95" i="6"/>
  <c r="H95" i="6"/>
  <c r="N92" i="6"/>
  <c r="H92" i="6"/>
  <c r="N91" i="6"/>
  <c r="N94" i="6" s="1"/>
  <c r="H91" i="6"/>
  <c r="H94" i="6" s="1"/>
  <c r="N90" i="6"/>
  <c r="H90" i="6"/>
  <c r="N89" i="6"/>
  <c r="H89" i="6"/>
  <c r="N88" i="6"/>
  <c r="H88" i="6"/>
  <c r="I74" i="6"/>
  <c r="B33" i="6"/>
  <c r="B32" i="6"/>
  <c r="B31" i="6"/>
  <c r="Q30" i="6"/>
  <c r="P30" i="6"/>
  <c r="O30" i="6"/>
  <c r="N30" i="6"/>
  <c r="K30" i="6"/>
  <c r="J30" i="6"/>
  <c r="I30" i="6"/>
  <c r="H30" i="6"/>
  <c r="B30" i="6"/>
  <c r="Q29" i="6"/>
  <c r="P29" i="6"/>
  <c r="O29" i="6"/>
  <c r="N29" i="6"/>
  <c r="K29" i="6"/>
  <c r="J29" i="6"/>
  <c r="I29" i="6"/>
  <c r="H29" i="6"/>
  <c r="Q27" i="6"/>
  <c r="P27" i="6"/>
  <c r="O27" i="6"/>
  <c r="N27" i="6"/>
  <c r="K27" i="6"/>
  <c r="J27" i="6"/>
  <c r="I27" i="6"/>
  <c r="H27" i="6"/>
  <c r="E27" i="6"/>
  <c r="D27" i="6"/>
  <c r="C27" i="6"/>
  <c r="B27" i="6"/>
  <c r="Q24" i="6"/>
  <c r="P24" i="6"/>
  <c r="O24" i="6"/>
  <c r="N24" i="6"/>
  <c r="K24" i="6"/>
  <c r="J24" i="6"/>
  <c r="I24" i="6"/>
  <c r="H24" i="6"/>
  <c r="E24" i="6"/>
  <c r="D24" i="6"/>
  <c r="C24" i="6"/>
  <c r="B24" i="6"/>
  <c r="Q23" i="6"/>
  <c r="Q26" i="6" s="1"/>
  <c r="P23" i="6"/>
  <c r="O23" i="6"/>
  <c r="N23" i="6"/>
  <c r="K23" i="6"/>
  <c r="K26" i="6" s="1"/>
  <c r="J23" i="6"/>
  <c r="J26" i="6" s="1"/>
  <c r="I23" i="6"/>
  <c r="H23" i="6"/>
  <c r="H26" i="6" s="1"/>
  <c r="E23" i="6"/>
  <c r="E26" i="6" s="1"/>
  <c r="D23" i="6"/>
  <c r="C23" i="6"/>
  <c r="B23" i="6"/>
  <c r="Q22" i="6"/>
  <c r="P22" i="6"/>
  <c r="O22" i="6"/>
  <c r="N22" i="6"/>
  <c r="K22" i="6"/>
  <c r="J22" i="6"/>
  <c r="I22" i="6"/>
  <c r="H22" i="6"/>
  <c r="E22" i="6"/>
  <c r="D22" i="6"/>
  <c r="C22" i="6"/>
  <c r="B22" i="6"/>
  <c r="Q21" i="6"/>
  <c r="P21" i="6"/>
  <c r="O21" i="6"/>
  <c r="N21" i="6"/>
  <c r="K21" i="6"/>
  <c r="J21" i="6"/>
  <c r="I21" i="6"/>
  <c r="H21" i="6"/>
  <c r="E21" i="6"/>
  <c r="D21" i="6"/>
  <c r="C21" i="6"/>
  <c r="B21" i="6"/>
  <c r="Q20" i="6"/>
  <c r="P20" i="6"/>
  <c r="O20" i="6"/>
  <c r="N20" i="6"/>
  <c r="K20" i="6"/>
  <c r="J20" i="6"/>
  <c r="I20" i="6"/>
  <c r="H20" i="6"/>
  <c r="E20" i="6"/>
  <c r="D20" i="6"/>
  <c r="C20" i="6"/>
  <c r="B20" i="6"/>
  <c r="N129" i="5"/>
  <c r="H129" i="5"/>
  <c r="N126" i="5"/>
  <c r="H126" i="5"/>
  <c r="N125" i="5"/>
  <c r="N128" i="5" s="1"/>
  <c r="H125" i="5"/>
  <c r="H128" i="5" s="1"/>
  <c r="N124" i="5"/>
  <c r="H124" i="5"/>
  <c r="N123" i="5"/>
  <c r="H123" i="5"/>
  <c r="N122" i="5"/>
  <c r="H122" i="5"/>
  <c r="J112" i="5"/>
  <c r="I112" i="5"/>
  <c r="P110" i="5"/>
  <c r="P109" i="5"/>
  <c r="O109" i="5"/>
  <c r="J109" i="5"/>
  <c r="J108" i="5"/>
  <c r="I108" i="5"/>
  <c r="P106" i="5"/>
  <c r="P105" i="5"/>
  <c r="O105" i="5"/>
  <c r="J105" i="5"/>
  <c r="N95" i="5"/>
  <c r="H95" i="5"/>
  <c r="N92" i="5"/>
  <c r="H92" i="5"/>
  <c r="N91" i="5"/>
  <c r="N94" i="5" s="1"/>
  <c r="H91" i="5"/>
  <c r="H94" i="5" s="1"/>
  <c r="N90" i="5"/>
  <c r="H90" i="5"/>
  <c r="N89" i="5"/>
  <c r="H89" i="5"/>
  <c r="N88" i="5"/>
  <c r="H88" i="5"/>
  <c r="P78" i="5"/>
  <c r="P74" i="5"/>
  <c r="K74" i="5"/>
  <c r="J73" i="5"/>
  <c r="Q27" i="5"/>
  <c r="P27" i="5"/>
  <c r="O27" i="5"/>
  <c r="N27" i="5"/>
  <c r="K27" i="5"/>
  <c r="J27" i="5"/>
  <c r="I27" i="5"/>
  <c r="H27" i="5"/>
  <c r="E27" i="5"/>
  <c r="D27" i="5"/>
  <c r="C27" i="5"/>
  <c r="B27" i="5"/>
  <c r="Q24" i="5"/>
  <c r="P24" i="5"/>
  <c r="O24" i="5"/>
  <c r="N24" i="5"/>
  <c r="K24" i="5"/>
  <c r="J24" i="5"/>
  <c r="I24" i="5"/>
  <c r="H24" i="5"/>
  <c r="E24" i="5"/>
  <c r="D24" i="5"/>
  <c r="C24" i="5"/>
  <c r="B24" i="5"/>
  <c r="Q23" i="5"/>
  <c r="Q25" i="5" s="1"/>
  <c r="P23" i="5"/>
  <c r="O23" i="5"/>
  <c r="N23" i="5"/>
  <c r="K23" i="5"/>
  <c r="K26" i="5" s="1"/>
  <c r="J23" i="5"/>
  <c r="J26" i="5" s="1"/>
  <c r="I23" i="5"/>
  <c r="H23" i="5"/>
  <c r="E23" i="5"/>
  <c r="E26" i="5" s="1"/>
  <c r="D23" i="5"/>
  <c r="C23" i="5"/>
  <c r="B23" i="5"/>
  <c r="Q22" i="5"/>
  <c r="P22" i="5"/>
  <c r="O22" i="5"/>
  <c r="N22" i="5"/>
  <c r="K22" i="5"/>
  <c r="J22" i="5"/>
  <c r="I22" i="5"/>
  <c r="H22" i="5"/>
  <c r="E22" i="5"/>
  <c r="D22" i="5"/>
  <c r="C22" i="5"/>
  <c r="B22" i="5"/>
  <c r="Q21" i="5"/>
  <c r="P21" i="5"/>
  <c r="O21" i="5"/>
  <c r="N21" i="5"/>
  <c r="K21" i="5"/>
  <c r="J21" i="5"/>
  <c r="I21" i="5"/>
  <c r="H21" i="5"/>
  <c r="E21" i="5"/>
  <c r="D21" i="5"/>
  <c r="C21" i="5"/>
  <c r="B21" i="5"/>
  <c r="Q20" i="5"/>
  <c r="P20" i="5"/>
  <c r="O20" i="5"/>
  <c r="N20" i="5"/>
  <c r="K20" i="5"/>
  <c r="J20" i="5"/>
  <c r="I20" i="5"/>
  <c r="H20" i="5"/>
  <c r="E20" i="5"/>
  <c r="D20" i="5"/>
  <c r="C20" i="5"/>
  <c r="B20" i="5"/>
  <c r="N129" i="4"/>
  <c r="H129" i="4"/>
  <c r="N126" i="4"/>
  <c r="H126" i="4"/>
  <c r="N125" i="4"/>
  <c r="N128" i="4" s="1"/>
  <c r="H125" i="4"/>
  <c r="H128" i="4" s="1"/>
  <c r="N124" i="4"/>
  <c r="H124" i="4"/>
  <c r="N123" i="4"/>
  <c r="H123" i="4"/>
  <c r="N122" i="4"/>
  <c r="H122" i="4"/>
  <c r="N95" i="4"/>
  <c r="H95" i="4"/>
  <c r="N92" i="4"/>
  <c r="H92" i="4"/>
  <c r="N91" i="4"/>
  <c r="N93" i="4" s="1"/>
  <c r="H91" i="4"/>
  <c r="H94" i="4" s="1"/>
  <c r="N90" i="4"/>
  <c r="H90" i="4"/>
  <c r="N89" i="4"/>
  <c r="H89" i="4"/>
  <c r="N88" i="4"/>
  <c r="H88" i="4"/>
  <c r="B33" i="4"/>
  <c r="B32" i="4"/>
  <c r="B31" i="4"/>
  <c r="Q30" i="4"/>
  <c r="P30" i="4"/>
  <c r="O30" i="4"/>
  <c r="N30" i="4"/>
  <c r="K30" i="4"/>
  <c r="J30" i="4"/>
  <c r="I30" i="4"/>
  <c r="H30" i="4"/>
  <c r="B30" i="4"/>
  <c r="Q29" i="4"/>
  <c r="P29" i="4"/>
  <c r="O29" i="4"/>
  <c r="N29" i="4"/>
  <c r="K29" i="4"/>
  <c r="J29" i="4"/>
  <c r="I29" i="4"/>
  <c r="H29" i="4"/>
  <c r="Q27" i="4"/>
  <c r="P27" i="4"/>
  <c r="O27" i="4"/>
  <c r="N27" i="4"/>
  <c r="K27" i="4"/>
  <c r="J27" i="4"/>
  <c r="I27" i="4"/>
  <c r="H27" i="4"/>
  <c r="E27" i="4"/>
  <c r="D27" i="4"/>
  <c r="C27" i="4"/>
  <c r="B27" i="4"/>
  <c r="Q24" i="4"/>
  <c r="P24" i="4"/>
  <c r="O24" i="4"/>
  <c r="N24" i="4"/>
  <c r="K24" i="4"/>
  <c r="J24" i="4"/>
  <c r="I24" i="4"/>
  <c r="H24" i="4"/>
  <c r="E24" i="4"/>
  <c r="D24" i="4"/>
  <c r="C24" i="4"/>
  <c r="B24" i="4"/>
  <c r="Q23" i="4"/>
  <c r="Q26" i="4" s="1"/>
  <c r="P23" i="4"/>
  <c r="P26" i="4" s="1"/>
  <c r="O23" i="4"/>
  <c r="N23" i="4"/>
  <c r="O78" i="4" s="1"/>
  <c r="K23" i="4"/>
  <c r="K26" i="4" s="1"/>
  <c r="J23" i="4"/>
  <c r="I23" i="4"/>
  <c r="H23" i="4"/>
  <c r="E23" i="4"/>
  <c r="E26" i="4" s="1"/>
  <c r="D23" i="4"/>
  <c r="C23" i="4"/>
  <c r="B23" i="4"/>
  <c r="Q22" i="4"/>
  <c r="P22" i="4"/>
  <c r="O22" i="4"/>
  <c r="N22" i="4"/>
  <c r="K22" i="4"/>
  <c r="J22" i="4"/>
  <c r="I22" i="4"/>
  <c r="H22" i="4"/>
  <c r="E22" i="4"/>
  <c r="D22" i="4"/>
  <c r="C22" i="4"/>
  <c r="B22" i="4"/>
  <c r="Q21" i="4"/>
  <c r="P21" i="4"/>
  <c r="O21" i="4"/>
  <c r="N21" i="4"/>
  <c r="K21" i="4"/>
  <c r="J21" i="4"/>
  <c r="I21" i="4"/>
  <c r="H21" i="4"/>
  <c r="E21" i="4"/>
  <c r="D21" i="4"/>
  <c r="C21" i="4"/>
  <c r="B21" i="4"/>
  <c r="Q20" i="4"/>
  <c r="P20" i="4"/>
  <c r="O20" i="4"/>
  <c r="N20" i="4"/>
  <c r="K20" i="4"/>
  <c r="J20" i="4"/>
  <c r="I20" i="4"/>
  <c r="H20" i="4"/>
  <c r="E20" i="4"/>
  <c r="D20" i="4"/>
  <c r="C20" i="4"/>
  <c r="B20" i="4"/>
  <c r="B132" i="3"/>
  <c r="N129" i="3"/>
  <c r="H129" i="3"/>
  <c r="B129" i="3"/>
  <c r="N126" i="3"/>
  <c r="H126" i="3"/>
  <c r="B126" i="3"/>
  <c r="N125" i="3"/>
  <c r="N128" i="3" s="1"/>
  <c r="H125" i="3"/>
  <c r="H127" i="3" s="1"/>
  <c r="B125" i="3"/>
  <c r="B128" i="3" s="1"/>
  <c r="N124" i="3"/>
  <c r="H124" i="3"/>
  <c r="B124" i="3"/>
  <c r="N123" i="3"/>
  <c r="H123" i="3"/>
  <c r="B123" i="3"/>
  <c r="N122" i="3"/>
  <c r="H122" i="3"/>
  <c r="B122" i="3"/>
  <c r="B98" i="3"/>
  <c r="N95" i="3"/>
  <c r="H95" i="3"/>
  <c r="B95" i="3"/>
  <c r="N92" i="3"/>
  <c r="H92" i="3"/>
  <c r="B92" i="3"/>
  <c r="N91" i="3"/>
  <c r="N94" i="3" s="1"/>
  <c r="H91" i="3"/>
  <c r="H94" i="3" s="1"/>
  <c r="B91" i="3"/>
  <c r="B94" i="3" s="1"/>
  <c r="N90" i="3"/>
  <c r="H90" i="3"/>
  <c r="B90" i="3"/>
  <c r="N89" i="3"/>
  <c r="H89" i="3"/>
  <c r="B89" i="3"/>
  <c r="N88" i="3"/>
  <c r="H88" i="3"/>
  <c r="B88" i="3"/>
  <c r="B33" i="3"/>
  <c r="B32" i="3"/>
  <c r="B31" i="3"/>
  <c r="Q30" i="3"/>
  <c r="P30" i="3"/>
  <c r="O30" i="3"/>
  <c r="N30" i="3"/>
  <c r="K30" i="3"/>
  <c r="J30" i="3"/>
  <c r="I30" i="3"/>
  <c r="H30" i="3"/>
  <c r="B30" i="3"/>
  <c r="Q29" i="3"/>
  <c r="P29" i="3"/>
  <c r="O29" i="3"/>
  <c r="N29" i="3"/>
  <c r="K29" i="3"/>
  <c r="J29" i="3"/>
  <c r="I29" i="3"/>
  <c r="H29" i="3"/>
  <c r="Q27" i="3"/>
  <c r="P27" i="3"/>
  <c r="O27" i="3"/>
  <c r="N27" i="3"/>
  <c r="K27" i="3"/>
  <c r="J27" i="3"/>
  <c r="I27" i="3"/>
  <c r="H27" i="3"/>
  <c r="E27" i="3"/>
  <c r="D27" i="3"/>
  <c r="C27" i="3"/>
  <c r="B27" i="3"/>
  <c r="Q24" i="3"/>
  <c r="P24" i="3"/>
  <c r="O24" i="3"/>
  <c r="N24" i="3"/>
  <c r="K24" i="3"/>
  <c r="J24" i="3"/>
  <c r="I24" i="3"/>
  <c r="H24" i="3"/>
  <c r="E24" i="3"/>
  <c r="D24" i="3"/>
  <c r="C24" i="3"/>
  <c r="B24" i="3"/>
  <c r="Q23" i="3"/>
  <c r="P23" i="3"/>
  <c r="O23" i="3"/>
  <c r="N23" i="3"/>
  <c r="K23" i="3"/>
  <c r="K26" i="3" s="1"/>
  <c r="J23" i="3"/>
  <c r="J26" i="3" s="1"/>
  <c r="I23" i="3"/>
  <c r="H23" i="3"/>
  <c r="E23" i="3"/>
  <c r="D23" i="3"/>
  <c r="C23" i="3"/>
  <c r="B23" i="3"/>
  <c r="Q22" i="3"/>
  <c r="P22" i="3"/>
  <c r="O22" i="3"/>
  <c r="N22" i="3"/>
  <c r="K22" i="3"/>
  <c r="J22" i="3"/>
  <c r="I22" i="3"/>
  <c r="H22" i="3"/>
  <c r="E22" i="3"/>
  <c r="D22" i="3"/>
  <c r="C22" i="3"/>
  <c r="B22" i="3"/>
  <c r="Q21" i="3"/>
  <c r="P21" i="3"/>
  <c r="O21" i="3"/>
  <c r="N21" i="3"/>
  <c r="K21" i="3"/>
  <c r="J21" i="3"/>
  <c r="I21" i="3"/>
  <c r="H21" i="3"/>
  <c r="E21" i="3"/>
  <c r="D21" i="3"/>
  <c r="C21" i="3"/>
  <c r="B21" i="3"/>
  <c r="Q20" i="3"/>
  <c r="P20" i="3"/>
  <c r="O20" i="3"/>
  <c r="N20" i="3"/>
  <c r="K20" i="3"/>
  <c r="J20" i="3"/>
  <c r="I20" i="3"/>
  <c r="H20" i="3"/>
  <c r="E20" i="3"/>
  <c r="D20" i="3"/>
  <c r="C20" i="3"/>
  <c r="B20" i="3"/>
  <c r="N129" i="2"/>
  <c r="H129" i="2"/>
  <c r="N126" i="2"/>
  <c r="H126" i="2"/>
  <c r="N125" i="2"/>
  <c r="H125" i="2"/>
  <c r="H127" i="2" s="1"/>
  <c r="N124" i="2"/>
  <c r="H124" i="2"/>
  <c r="N123" i="2"/>
  <c r="H123" i="2"/>
  <c r="N122" i="2"/>
  <c r="H122" i="2"/>
  <c r="N95" i="2"/>
  <c r="H95" i="2"/>
  <c r="N92" i="2"/>
  <c r="H92" i="2"/>
  <c r="N91" i="2"/>
  <c r="N94" i="2" s="1"/>
  <c r="H91" i="2"/>
  <c r="H94" i="2" s="1"/>
  <c r="N90" i="2"/>
  <c r="H90" i="2"/>
  <c r="N89" i="2"/>
  <c r="H89" i="2"/>
  <c r="N88" i="2"/>
  <c r="H88" i="2"/>
  <c r="B33" i="2"/>
  <c r="B32" i="2"/>
  <c r="B31" i="2"/>
  <c r="Q30" i="2"/>
  <c r="P30" i="2"/>
  <c r="O30" i="2"/>
  <c r="N30" i="2"/>
  <c r="K30" i="2"/>
  <c r="J30" i="2"/>
  <c r="I30" i="2"/>
  <c r="H30" i="2"/>
  <c r="B30" i="2"/>
  <c r="Q29" i="2"/>
  <c r="P29" i="2"/>
  <c r="O29" i="2"/>
  <c r="N29" i="2"/>
  <c r="K29" i="2"/>
  <c r="J29" i="2"/>
  <c r="I29" i="2"/>
  <c r="H29" i="2"/>
  <c r="Q27" i="2"/>
  <c r="P27" i="2"/>
  <c r="O27" i="2"/>
  <c r="N27" i="2"/>
  <c r="K27" i="2"/>
  <c r="J27" i="2"/>
  <c r="I27" i="2"/>
  <c r="H27" i="2"/>
  <c r="E27" i="2"/>
  <c r="D27" i="2"/>
  <c r="C27" i="2"/>
  <c r="B27" i="2"/>
  <c r="Q24" i="2"/>
  <c r="P24" i="2"/>
  <c r="O24" i="2"/>
  <c r="N24" i="2"/>
  <c r="K24" i="2"/>
  <c r="J24" i="2"/>
  <c r="I24" i="2"/>
  <c r="H24" i="2"/>
  <c r="E24" i="2"/>
  <c r="D24" i="2"/>
  <c r="C24" i="2"/>
  <c r="B24" i="2"/>
  <c r="Q23" i="2"/>
  <c r="Q26" i="2" s="1"/>
  <c r="P23" i="2"/>
  <c r="O23" i="2"/>
  <c r="N23" i="2"/>
  <c r="K23" i="2"/>
  <c r="K26" i="2" s="1"/>
  <c r="J23" i="2"/>
  <c r="J26" i="2" s="1"/>
  <c r="I23" i="2"/>
  <c r="H23" i="2"/>
  <c r="E23" i="2"/>
  <c r="E26" i="2" s="1"/>
  <c r="D23" i="2"/>
  <c r="C23" i="2"/>
  <c r="B23" i="2"/>
  <c r="Q22" i="2"/>
  <c r="P22" i="2"/>
  <c r="O22" i="2"/>
  <c r="N22" i="2"/>
  <c r="K22" i="2"/>
  <c r="J22" i="2"/>
  <c r="I22" i="2"/>
  <c r="H22" i="2"/>
  <c r="E22" i="2"/>
  <c r="D22" i="2"/>
  <c r="C22" i="2"/>
  <c r="B22" i="2"/>
  <c r="Q21" i="2"/>
  <c r="P21" i="2"/>
  <c r="O21" i="2"/>
  <c r="N21" i="2"/>
  <c r="K21" i="2"/>
  <c r="J21" i="2"/>
  <c r="I21" i="2"/>
  <c r="H21" i="2"/>
  <c r="E21" i="2"/>
  <c r="D21" i="2"/>
  <c r="C21" i="2"/>
  <c r="B21" i="2"/>
  <c r="Q20" i="2"/>
  <c r="P20" i="2"/>
  <c r="O20" i="2"/>
  <c r="N20" i="2"/>
  <c r="K20" i="2"/>
  <c r="J20" i="2"/>
  <c r="I20" i="2"/>
  <c r="H20" i="2"/>
  <c r="E20" i="2"/>
  <c r="D20" i="2"/>
  <c r="C20" i="2"/>
  <c r="B20" i="2"/>
  <c r="K78" i="1"/>
  <c r="N129" i="1"/>
  <c r="N126" i="1"/>
  <c r="N125" i="1"/>
  <c r="N128" i="1" s="1"/>
  <c r="N124" i="1"/>
  <c r="N123" i="1"/>
  <c r="N122" i="1"/>
  <c r="N95" i="1"/>
  <c r="N92" i="1"/>
  <c r="N91" i="1"/>
  <c r="N94" i="1" s="1"/>
  <c r="N90" i="1"/>
  <c r="N89" i="1"/>
  <c r="N88" i="1"/>
  <c r="Q30" i="1"/>
  <c r="P30" i="1"/>
  <c r="O30" i="1"/>
  <c r="N30" i="1"/>
  <c r="Q29" i="1"/>
  <c r="P29" i="1"/>
  <c r="O29" i="1"/>
  <c r="P112" i="1" s="1"/>
  <c r="N29" i="1"/>
  <c r="O109" i="1" s="1"/>
  <c r="Q27" i="1"/>
  <c r="P27" i="1"/>
  <c r="O27" i="1"/>
  <c r="N27" i="1"/>
  <c r="Q24" i="1"/>
  <c r="P24" i="1"/>
  <c r="O24" i="1"/>
  <c r="N24" i="1"/>
  <c r="Q23" i="1"/>
  <c r="Q26" i="1" s="1"/>
  <c r="P23" i="1"/>
  <c r="P26" i="1" s="1"/>
  <c r="O23" i="1"/>
  <c r="O26" i="1" s="1"/>
  <c r="N23" i="1"/>
  <c r="Q22" i="1"/>
  <c r="P22" i="1"/>
  <c r="O22" i="1"/>
  <c r="N22" i="1"/>
  <c r="Q21" i="1"/>
  <c r="P21" i="1"/>
  <c r="O21" i="1"/>
  <c r="N21" i="1"/>
  <c r="Q20" i="1"/>
  <c r="P20" i="1"/>
  <c r="O20" i="1"/>
  <c r="N20" i="1"/>
  <c r="H129" i="1"/>
  <c r="H126" i="1"/>
  <c r="H125" i="1"/>
  <c r="H128" i="1" s="1"/>
  <c r="H124" i="1"/>
  <c r="H123" i="1"/>
  <c r="H122" i="1"/>
  <c r="H95" i="1"/>
  <c r="H92" i="1"/>
  <c r="H91" i="1"/>
  <c r="H90" i="1"/>
  <c r="H89" i="1"/>
  <c r="H88" i="1"/>
  <c r="B33" i="1"/>
  <c r="B32" i="1"/>
  <c r="B31" i="1"/>
  <c r="K30" i="1"/>
  <c r="J30" i="1"/>
  <c r="I30" i="1"/>
  <c r="H30" i="1"/>
  <c r="B30" i="1"/>
  <c r="K29" i="1"/>
  <c r="J29" i="1"/>
  <c r="K106" i="1" s="1"/>
  <c r="I29" i="1"/>
  <c r="J107" i="1" s="1"/>
  <c r="H29" i="1"/>
  <c r="K27" i="1"/>
  <c r="J27" i="1"/>
  <c r="I27" i="1"/>
  <c r="H27" i="1"/>
  <c r="E27" i="1"/>
  <c r="D27" i="1"/>
  <c r="C27" i="1"/>
  <c r="B27" i="1"/>
  <c r="K24" i="1"/>
  <c r="J24" i="1"/>
  <c r="I24" i="1"/>
  <c r="H24" i="1"/>
  <c r="E24" i="1"/>
  <c r="D24" i="1"/>
  <c r="C24" i="1"/>
  <c r="B24" i="1"/>
  <c r="K23" i="1"/>
  <c r="J23" i="1"/>
  <c r="K74" i="1" s="1"/>
  <c r="I23" i="1"/>
  <c r="J74" i="1" s="1"/>
  <c r="H23" i="1"/>
  <c r="H26" i="1" s="1"/>
  <c r="E23" i="1"/>
  <c r="D23" i="1"/>
  <c r="C23" i="1"/>
  <c r="B23" i="1"/>
  <c r="K22" i="1"/>
  <c r="J22" i="1"/>
  <c r="I22" i="1"/>
  <c r="H22" i="1"/>
  <c r="E22" i="1"/>
  <c r="D22" i="1"/>
  <c r="C22" i="1"/>
  <c r="B22" i="1"/>
  <c r="K21" i="1"/>
  <c r="J21" i="1"/>
  <c r="I21" i="1"/>
  <c r="H21" i="1"/>
  <c r="E21" i="1"/>
  <c r="D21" i="1"/>
  <c r="C21" i="1"/>
  <c r="B21" i="1"/>
  <c r="K20" i="1"/>
  <c r="J20" i="1"/>
  <c r="I20" i="1"/>
  <c r="H20" i="1"/>
  <c r="E20" i="1"/>
  <c r="D20" i="1"/>
  <c r="C20" i="1"/>
  <c r="B20" i="1"/>
  <c r="D60" i="6" l="1"/>
  <c r="C59" i="6"/>
  <c r="C60" i="5"/>
  <c r="B60" i="2"/>
  <c r="C60" i="2"/>
  <c r="B59" i="2"/>
  <c r="AB127" i="2"/>
  <c r="V128" i="2"/>
  <c r="AH127" i="2"/>
  <c r="N127" i="2"/>
  <c r="B127" i="2"/>
  <c r="AJ90" i="4"/>
  <c r="AJ89" i="4"/>
  <c r="AE95" i="4"/>
  <c r="AD129" i="6"/>
  <c r="C26" i="10"/>
  <c r="O26" i="10"/>
  <c r="D26" i="10"/>
  <c r="AK60" i="7"/>
  <c r="AK59" i="7"/>
  <c r="AH60" i="7"/>
  <c r="AH59" i="7"/>
  <c r="AC60" i="7"/>
  <c r="AC59" i="7"/>
  <c r="X59" i="7"/>
  <c r="X60" i="7"/>
  <c r="W60" i="7"/>
  <c r="W59" i="7"/>
  <c r="AJ129" i="7"/>
  <c r="AJ126" i="7"/>
  <c r="AJ125" i="7"/>
  <c r="AJ124" i="7"/>
  <c r="AJ123" i="7"/>
  <c r="AJ122" i="7"/>
  <c r="AD129" i="7"/>
  <c r="AD126" i="7"/>
  <c r="AD125" i="7"/>
  <c r="AD124" i="7"/>
  <c r="AD123" i="7"/>
  <c r="AD122" i="7"/>
  <c r="AI95" i="7"/>
  <c r="AI92" i="7"/>
  <c r="AI91" i="7"/>
  <c r="AI90" i="7"/>
  <c r="AI89" i="7"/>
  <c r="AI88" i="7"/>
  <c r="AE95" i="7"/>
  <c r="AE92" i="7"/>
  <c r="AE91" i="7"/>
  <c r="AE90" i="7"/>
  <c r="AE89" i="7"/>
  <c r="AE88" i="7"/>
  <c r="AI129" i="7"/>
  <c r="AI126" i="7"/>
  <c r="AI125" i="7"/>
  <c r="AI124" i="7"/>
  <c r="AI123" i="7"/>
  <c r="AI122" i="7"/>
  <c r="AE129" i="7"/>
  <c r="AE126" i="7"/>
  <c r="AE125" i="7"/>
  <c r="AE124" i="7"/>
  <c r="AE123" i="7"/>
  <c r="AE122" i="7"/>
  <c r="Y95" i="7"/>
  <c r="Y88" i="7"/>
  <c r="Y90" i="7"/>
  <c r="Y89" i="7"/>
  <c r="Y92" i="7"/>
  <c r="Y91" i="7"/>
  <c r="Y60" i="7"/>
  <c r="Y59" i="7"/>
  <c r="X129" i="7"/>
  <c r="X126" i="7"/>
  <c r="X125" i="7"/>
  <c r="X124" i="7"/>
  <c r="X123" i="7"/>
  <c r="X122" i="7"/>
  <c r="AJ60" i="7"/>
  <c r="AJ59" i="7"/>
  <c r="AJ92" i="7"/>
  <c r="AI60" i="7"/>
  <c r="AI59" i="7"/>
  <c r="Y129" i="7"/>
  <c r="Y126" i="7"/>
  <c r="Y125" i="7"/>
  <c r="Y124" i="7"/>
  <c r="Y123" i="7"/>
  <c r="Y122" i="7"/>
  <c r="AJ91" i="7"/>
  <c r="AD60" i="7"/>
  <c r="AD59" i="7"/>
  <c r="W95" i="7"/>
  <c r="W92" i="7"/>
  <c r="W91" i="7"/>
  <c r="W90" i="7"/>
  <c r="W89" i="7"/>
  <c r="W88" i="7"/>
  <c r="AK129" i="7"/>
  <c r="AK126" i="7"/>
  <c r="AK125" i="7"/>
  <c r="AK124" i="7"/>
  <c r="AK123" i="7"/>
  <c r="AK122" i="7"/>
  <c r="AJ90" i="7"/>
  <c r="AC95" i="7"/>
  <c r="AC92" i="7"/>
  <c r="AC91" i="7"/>
  <c r="AC90" i="7"/>
  <c r="AC89" i="7"/>
  <c r="AC88" i="7"/>
  <c r="AJ89" i="7"/>
  <c r="AB60" i="7"/>
  <c r="AB59" i="7"/>
  <c r="W129" i="7"/>
  <c r="W126" i="7"/>
  <c r="W125" i="7"/>
  <c r="W124" i="7"/>
  <c r="W123" i="7"/>
  <c r="W122" i="7"/>
  <c r="V60" i="7"/>
  <c r="V59" i="7"/>
  <c r="AE60" i="7"/>
  <c r="AE59" i="7"/>
  <c r="AK95" i="7"/>
  <c r="AK92" i="7"/>
  <c r="AK91" i="7"/>
  <c r="AK90" i="7"/>
  <c r="AK89" i="7"/>
  <c r="AK88" i="7"/>
  <c r="AD95" i="7"/>
  <c r="AD92" i="7"/>
  <c r="AD91" i="7"/>
  <c r="AD90" i="7"/>
  <c r="AD89" i="7"/>
  <c r="AD88" i="7"/>
  <c r="AC129" i="7"/>
  <c r="AC126" i="7"/>
  <c r="AC125" i="7"/>
  <c r="AC124" i="7"/>
  <c r="AC123" i="7"/>
  <c r="AC122" i="7"/>
  <c r="X95" i="7"/>
  <c r="X92" i="7"/>
  <c r="X91" i="7"/>
  <c r="X90" i="7"/>
  <c r="X89" i="7"/>
  <c r="X88" i="7"/>
  <c r="AI60" i="6"/>
  <c r="AI59" i="6"/>
  <c r="AE129" i="6"/>
  <c r="AE126" i="6"/>
  <c r="AE125" i="6"/>
  <c r="AE124" i="6"/>
  <c r="AE123" i="6"/>
  <c r="AE122" i="6"/>
  <c r="AC129" i="6"/>
  <c r="AC126" i="6"/>
  <c r="AC125" i="6"/>
  <c r="AC124" i="6"/>
  <c r="AC123" i="6"/>
  <c r="AC122" i="6"/>
  <c r="AD126" i="6"/>
  <c r="AC91" i="6"/>
  <c r="W129" i="6"/>
  <c r="W126" i="6"/>
  <c r="W125" i="6"/>
  <c r="W124" i="6"/>
  <c r="W123" i="6"/>
  <c r="W122" i="6"/>
  <c r="AD125" i="6"/>
  <c r="AC90" i="6"/>
  <c r="AI95" i="6"/>
  <c r="AI92" i="6"/>
  <c r="AI91" i="6"/>
  <c r="AI90" i="6"/>
  <c r="AI89" i="6"/>
  <c r="AI88" i="6"/>
  <c r="X95" i="6"/>
  <c r="X92" i="6"/>
  <c r="X91" i="6"/>
  <c r="X90" i="6"/>
  <c r="X89" i="6"/>
  <c r="X88" i="6"/>
  <c r="AD124" i="6"/>
  <c r="AB60" i="6"/>
  <c r="AB59" i="6"/>
  <c r="AK129" i="6"/>
  <c r="AK126" i="6"/>
  <c r="AK125" i="6"/>
  <c r="AK124" i="6"/>
  <c r="AK123" i="6"/>
  <c r="AK122" i="6"/>
  <c r="AD123" i="6"/>
  <c r="AC88" i="6"/>
  <c r="AJ60" i="6"/>
  <c r="AJ59" i="6"/>
  <c r="AI122" i="6"/>
  <c r="AI123" i="6"/>
  <c r="AI125" i="6"/>
  <c r="AI126" i="6"/>
  <c r="AI129" i="6"/>
  <c r="AI124" i="6"/>
  <c r="AC60" i="6"/>
  <c r="AC59" i="6"/>
  <c r="AD122" i="6"/>
  <c r="AK95" i="6"/>
  <c r="AK92" i="6"/>
  <c r="AK91" i="6"/>
  <c r="AK90" i="6"/>
  <c r="AK89" i="6"/>
  <c r="AK88" i="6"/>
  <c r="AE59" i="6"/>
  <c r="AE60" i="6"/>
  <c r="W60" i="6"/>
  <c r="W59" i="6"/>
  <c r="AD95" i="6"/>
  <c r="AD92" i="6"/>
  <c r="AD91" i="6"/>
  <c r="AD90" i="6"/>
  <c r="AD89" i="6"/>
  <c r="AD88" i="6"/>
  <c r="Y95" i="6"/>
  <c r="Y92" i="6"/>
  <c r="Y89" i="6"/>
  <c r="Y90" i="6"/>
  <c r="Y91" i="6"/>
  <c r="Y88" i="6"/>
  <c r="V60" i="6"/>
  <c r="V59" i="6"/>
  <c r="AJ95" i="6"/>
  <c r="AJ92" i="6"/>
  <c r="AJ91" i="6"/>
  <c r="AJ90" i="6"/>
  <c r="AJ89" i="6"/>
  <c r="AJ88" i="6"/>
  <c r="AJ129" i="6"/>
  <c r="AJ126" i="6"/>
  <c r="AJ125" i="6"/>
  <c r="AJ124" i="6"/>
  <c r="AJ123" i="6"/>
  <c r="AJ122" i="6"/>
  <c r="AH60" i="6"/>
  <c r="AH59" i="6"/>
  <c r="AD60" i="6"/>
  <c r="AD59" i="6"/>
  <c r="Y129" i="6"/>
  <c r="Y126" i="6"/>
  <c r="Y125" i="6"/>
  <c r="Y124" i="6"/>
  <c r="Y123" i="6"/>
  <c r="Y122" i="6"/>
  <c r="Y60" i="6"/>
  <c r="Y59" i="6"/>
  <c r="W95" i="6"/>
  <c r="W92" i="6"/>
  <c r="W91" i="6"/>
  <c r="W90" i="6"/>
  <c r="W89" i="6"/>
  <c r="W88" i="6"/>
  <c r="AK59" i="6"/>
  <c r="AE95" i="6"/>
  <c r="AE92" i="6"/>
  <c r="AE91" i="6"/>
  <c r="AE90" i="6"/>
  <c r="AE89" i="6"/>
  <c r="AE88" i="6"/>
  <c r="X129" i="6"/>
  <c r="X126" i="6"/>
  <c r="X125" i="6"/>
  <c r="X124" i="6"/>
  <c r="X123" i="6"/>
  <c r="X122" i="6"/>
  <c r="AJ60" i="5"/>
  <c r="AJ59" i="5"/>
  <c r="X95" i="5"/>
  <c r="X92" i="5"/>
  <c r="X91" i="5"/>
  <c r="X90" i="5"/>
  <c r="X89" i="5"/>
  <c r="X88" i="5"/>
  <c r="Y60" i="5"/>
  <c r="Y59" i="5"/>
  <c r="AH60" i="5"/>
  <c r="AH59" i="5"/>
  <c r="AK129" i="5"/>
  <c r="AK126" i="5"/>
  <c r="AK125" i="5"/>
  <c r="AK124" i="5"/>
  <c r="AK123" i="5"/>
  <c r="AK122" i="5"/>
  <c r="AC60" i="5"/>
  <c r="AC59" i="5"/>
  <c r="Y91" i="5"/>
  <c r="Y95" i="5"/>
  <c r="Y90" i="5"/>
  <c r="Y92" i="5"/>
  <c r="Y89" i="5"/>
  <c r="Y88" i="5"/>
  <c r="AC95" i="5"/>
  <c r="AK95" i="5"/>
  <c r="AK92" i="5"/>
  <c r="AK91" i="5"/>
  <c r="AK90" i="5"/>
  <c r="AK89" i="5"/>
  <c r="AK88" i="5"/>
  <c r="AJ95" i="5"/>
  <c r="AJ92" i="5"/>
  <c r="AJ91" i="5"/>
  <c r="AJ90" i="5"/>
  <c r="AJ89" i="5"/>
  <c r="AJ88" i="5"/>
  <c r="AE95" i="5"/>
  <c r="AE92" i="5"/>
  <c r="AE91" i="5"/>
  <c r="AE90" i="5"/>
  <c r="AE89" i="5"/>
  <c r="AE88" i="5"/>
  <c r="AI88" i="5"/>
  <c r="AJ129" i="5"/>
  <c r="AJ126" i="5"/>
  <c r="AJ125" i="5"/>
  <c r="AJ124" i="5"/>
  <c r="AJ123" i="5"/>
  <c r="AJ122" i="5"/>
  <c r="AE129" i="5"/>
  <c r="AE126" i="5"/>
  <c r="AE125" i="5"/>
  <c r="AE124" i="5"/>
  <c r="AE123" i="5"/>
  <c r="AE122" i="5"/>
  <c r="AD60" i="5"/>
  <c r="AD59" i="5"/>
  <c r="W95" i="5"/>
  <c r="W92" i="5"/>
  <c r="W91" i="5"/>
  <c r="W90" i="5"/>
  <c r="W89" i="5"/>
  <c r="W88" i="5"/>
  <c r="V60" i="5"/>
  <c r="V59" i="5"/>
  <c r="AK60" i="5"/>
  <c r="AK59" i="5"/>
  <c r="AI60" i="5"/>
  <c r="AI59" i="5"/>
  <c r="Y129" i="5"/>
  <c r="Y126" i="5"/>
  <c r="Y125" i="5"/>
  <c r="Y124" i="5"/>
  <c r="Y123" i="5"/>
  <c r="Y122" i="5"/>
  <c r="X129" i="5"/>
  <c r="X126" i="5"/>
  <c r="X125" i="5"/>
  <c r="X124" i="5"/>
  <c r="X123" i="5"/>
  <c r="X122" i="5"/>
  <c r="W129" i="5"/>
  <c r="W126" i="5"/>
  <c r="W125" i="5"/>
  <c r="W124" i="5"/>
  <c r="W123" i="5"/>
  <c r="W122" i="5"/>
  <c r="AC92" i="5"/>
  <c r="AB60" i="5"/>
  <c r="AB59" i="5"/>
  <c r="AI94" i="5"/>
  <c r="AI93" i="5"/>
  <c r="AC91" i="5"/>
  <c r="AD128" i="5"/>
  <c r="AD127" i="5"/>
  <c r="AC90" i="5"/>
  <c r="W60" i="5"/>
  <c r="W59" i="5"/>
  <c r="AI129" i="5"/>
  <c r="AI126" i="5"/>
  <c r="AI125" i="5"/>
  <c r="AI124" i="5"/>
  <c r="AI123" i="5"/>
  <c r="AI122" i="5"/>
  <c r="AC89" i="5"/>
  <c r="AD129" i="5"/>
  <c r="AC129" i="5"/>
  <c r="AC126" i="5"/>
  <c r="AC125" i="5"/>
  <c r="AC124" i="5"/>
  <c r="AC123" i="5"/>
  <c r="AC122" i="5"/>
  <c r="AD95" i="5"/>
  <c r="AD92" i="5"/>
  <c r="AD91" i="5"/>
  <c r="AD90" i="5"/>
  <c r="AD89" i="5"/>
  <c r="AD88" i="5"/>
  <c r="AK94" i="4"/>
  <c r="AK93" i="4"/>
  <c r="AB60" i="4"/>
  <c r="AB59" i="4"/>
  <c r="W60" i="4"/>
  <c r="W59" i="4"/>
  <c r="AK89" i="4"/>
  <c r="AJ88" i="4"/>
  <c r="AC129" i="4"/>
  <c r="AC126" i="4"/>
  <c r="AC125" i="4"/>
  <c r="AC124" i="4"/>
  <c r="AC123" i="4"/>
  <c r="AC122" i="4"/>
  <c r="V60" i="4"/>
  <c r="V59" i="4"/>
  <c r="AE60" i="4"/>
  <c r="AE59" i="4"/>
  <c r="AK88" i="4"/>
  <c r="AD95" i="4"/>
  <c r="AD92" i="4"/>
  <c r="AD91" i="4"/>
  <c r="AD90" i="4"/>
  <c r="AD89" i="4"/>
  <c r="AD88" i="4"/>
  <c r="AE88" i="4"/>
  <c r="AD129" i="4"/>
  <c r="AD126" i="4"/>
  <c r="AD125" i="4"/>
  <c r="AD124" i="4"/>
  <c r="AD123" i="4"/>
  <c r="AD122" i="4"/>
  <c r="X95" i="4"/>
  <c r="X92" i="4"/>
  <c r="X91" i="4"/>
  <c r="X90" i="4"/>
  <c r="X89" i="4"/>
  <c r="X88" i="4"/>
  <c r="AE89" i="4"/>
  <c r="AH60" i="4"/>
  <c r="AH59" i="4"/>
  <c r="X129" i="4"/>
  <c r="X126" i="4"/>
  <c r="X125" i="4"/>
  <c r="X124" i="4"/>
  <c r="X123" i="4"/>
  <c r="X122" i="4"/>
  <c r="AE90" i="4"/>
  <c r="AC60" i="4"/>
  <c r="AC59" i="4"/>
  <c r="AE91" i="4"/>
  <c r="AI95" i="4"/>
  <c r="AI92" i="4"/>
  <c r="AI91" i="4"/>
  <c r="AI90" i="4"/>
  <c r="AI89" i="4"/>
  <c r="AI88" i="4"/>
  <c r="X60" i="4"/>
  <c r="X59" i="4"/>
  <c r="AK129" i="4"/>
  <c r="AK126" i="4"/>
  <c r="AK125" i="4"/>
  <c r="AK124" i="4"/>
  <c r="AK123" i="4"/>
  <c r="AK122" i="4"/>
  <c r="Y89" i="4"/>
  <c r="Y90" i="4"/>
  <c r="Y88" i="4"/>
  <c r="Y95" i="4"/>
  <c r="Y91" i="4"/>
  <c r="Y92" i="4"/>
  <c r="Y60" i="4"/>
  <c r="Y59" i="4"/>
  <c r="AJ60" i="4"/>
  <c r="AJ59" i="4"/>
  <c r="AI129" i="4"/>
  <c r="AI126" i="4"/>
  <c r="AI125" i="4"/>
  <c r="AI124" i="4"/>
  <c r="AI123" i="4"/>
  <c r="AI122" i="4"/>
  <c r="AI60" i="4"/>
  <c r="AI59" i="4"/>
  <c r="AE129" i="4"/>
  <c r="AE126" i="4"/>
  <c r="AE125" i="4"/>
  <c r="AE124" i="4"/>
  <c r="AE123" i="4"/>
  <c r="AE122" i="4"/>
  <c r="AJ129" i="4"/>
  <c r="AJ126" i="4"/>
  <c r="AJ125" i="4"/>
  <c r="AJ124" i="4"/>
  <c r="AJ123" i="4"/>
  <c r="AJ122" i="4"/>
  <c r="AJ92" i="4"/>
  <c r="AJ94" i="4" s="1"/>
  <c r="AD60" i="4"/>
  <c r="AD59" i="4"/>
  <c r="Y129" i="4"/>
  <c r="Y126" i="4"/>
  <c r="Y125" i="4"/>
  <c r="Y124" i="4"/>
  <c r="Y123" i="4"/>
  <c r="Y122" i="4"/>
  <c r="AJ93" i="4"/>
  <c r="AC95" i="4"/>
  <c r="AC92" i="4"/>
  <c r="AC91" i="4"/>
  <c r="AC90" i="4"/>
  <c r="AC89" i="4"/>
  <c r="AC88" i="4"/>
  <c r="W95" i="4"/>
  <c r="W92" i="4"/>
  <c r="W91" i="4"/>
  <c r="W90" i="4"/>
  <c r="W89" i="4"/>
  <c r="W88" i="4"/>
  <c r="AK95" i="4"/>
  <c r="W129" i="4"/>
  <c r="W126" i="4"/>
  <c r="W125" i="4"/>
  <c r="W124" i="4"/>
  <c r="W123" i="4"/>
  <c r="W122" i="4"/>
  <c r="AI95" i="3"/>
  <c r="AI92" i="3"/>
  <c r="AI91" i="3"/>
  <c r="AI90" i="3"/>
  <c r="AI89" i="3"/>
  <c r="AI88" i="3"/>
  <c r="AB60" i="3"/>
  <c r="AB59" i="3"/>
  <c r="AE94" i="3"/>
  <c r="AE93" i="3"/>
  <c r="AJ60" i="3"/>
  <c r="AJ59" i="3"/>
  <c r="X95" i="3"/>
  <c r="X92" i="3"/>
  <c r="X91" i="3"/>
  <c r="X90" i="3"/>
  <c r="X89" i="3"/>
  <c r="X88" i="3"/>
  <c r="AE129" i="3"/>
  <c r="AE126" i="3"/>
  <c r="AE125" i="3"/>
  <c r="AE124" i="3"/>
  <c r="AE123" i="3"/>
  <c r="AE122" i="3"/>
  <c r="AC91" i="3"/>
  <c r="W129" i="3"/>
  <c r="W126" i="3"/>
  <c r="W125" i="3"/>
  <c r="W124" i="3"/>
  <c r="W123" i="3"/>
  <c r="W122" i="3"/>
  <c r="X129" i="3"/>
  <c r="X126" i="3"/>
  <c r="X125" i="3"/>
  <c r="X124" i="3"/>
  <c r="X123" i="3"/>
  <c r="X122" i="3"/>
  <c r="AD60" i="3"/>
  <c r="AD59" i="3"/>
  <c r="AC92" i="3"/>
  <c r="AD129" i="3"/>
  <c r="AD126" i="3"/>
  <c r="AD125" i="3"/>
  <c r="AD124" i="3"/>
  <c r="AD123" i="3"/>
  <c r="AD122" i="3"/>
  <c r="AC60" i="3"/>
  <c r="AC59" i="3"/>
  <c r="AC90" i="3"/>
  <c r="AI122" i="3"/>
  <c r="AI60" i="3"/>
  <c r="AI59" i="3"/>
  <c r="W92" i="3"/>
  <c r="AC126" i="3"/>
  <c r="AI123" i="3"/>
  <c r="W91" i="3"/>
  <c r="AC88" i="3"/>
  <c r="AC125" i="3"/>
  <c r="AI124" i="3"/>
  <c r="Y95" i="3"/>
  <c r="Y92" i="3"/>
  <c r="Y91" i="3"/>
  <c r="Y90" i="3"/>
  <c r="Y89" i="3"/>
  <c r="Y88" i="3"/>
  <c r="AC89" i="3"/>
  <c r="W90" i="3"/>
  <c r="AC124" i="3"/>
  <c r="AI125" i="3"/>
  <c r="AJ95" i="3"/>
  <c r="AJ92" i="3"/>
  <c r="AJ91" i="3"/>
  <c r="AJ90" i="3"/>
  <c r="AJ89" i="3"/>
  <c r="AJ88" i="3"/>
  <c r="AJ129" i="3"/>
  <c r="AJ126" i="3"/>
  <c r="AJ125" i="3"/>
  <c r="AJ124" i="3"/>
  <c r="AJ123" i="3"/>
  <c r="AJ122" i="3"/>
  <c r="AE60" i="3"/>
  <c r="AE59" i="3"/>
  <c r="AC123" i="3"/>
  <c r="AK129" i="3"/>
  <c r="AI126" i="3"/>
  <c r="AK126" i="3"/>
  <c r="AD95" i="3"/>
  <c r="AD92" i="3"/>
  <c r="AD91" i="3"/>
  <c r="AD90" i="3"/>
  <c r="AD89" i="3"/>
  <c r="AD88" i="3"/>
  <c r="AC122" i="3"/>
  <c r="V60" i="3"/>
  <c r="V59" i="3"/>
  <c r="W60" i="3"/>
  <c r="W59" i="3"/>
  <c r="AK60" i="3"/>
  <c r="AK59" i="3"/>
  <c r="AK125" i="3"/>
  <c r="Y129" i="3"/>
  <c r="Y126" i="3"/>
  <c r="Y125" i="3"/>
  <c r="Y124" i="3"/>
  <c r="Y123" i="3"/>
  <c r="Y122" i="3"/>
  <c r="AK95" i="3"/>
  <c r="AK92" i="3"/>
  <c r="AK91" i="3"/>
  <c r="AK90" i="3"/>
  <c r="AK89" i="3"/>
  <c r="AK88" i="3"/>
  <c r="AH60" i="3"/>
  <c r="AH59" i="3"/>
  <c r="Y60" i="3"/>
  <c r="Y59" i="3"/>
  <c r="AJ95" i="2"/>
  <c r="AJ92" i="2"/>
  <c r="AJ91" i="2"/>
  <c r="AJ90" i="2"/>
  <c r="AJ89" i="2"/>
  <c r="AJ88" i="2"/>
  <c r="V60" i="2"/>
  <c r="V59" i="2"/>
  <c r="AJ129" i="2"/>
  <c r="AJ126" i="2"/>
  <c r="AJ125" i="2"/>
  <c r="AJ124" i="2"/>
  <c r="AJ123" i="2"/>
  <c r="AJ122" i="2"/>
  <c r="X95" i="2"/>
  <c r="X92" i="2"/>
  <c r="X91" i="2"/>
  <c r="X90" i="2"/>
  <c r="X89" i="2"/>
  <c r="X88" i="2"/>
  <c r="AK60" i="2"/>
  <c r="AK59" i="2"/>
  <c r="AE95" i="2"/>
  <c r="AE92" i="2"/>
  <c r="AE91" i="2"/>
  <c r="AE90" i="2"/>
  <c r="AE89" i="2"/>
  <c r="AE88" i="2"/>
  <c r="AC60" i="2"/>
  <c r="AC59" i="2"/>
  <c r="X129" i="2"/>
  <c r="X126" i="2"/>
  <c r="X125" i="2"/>
  <c r="X124" i="2"/>
  <c r="X123" i="2"/>
  <c r="X122" i="2"/>
  <c r="W60" i="2"/>
  <c r="W59" i="2"/>
  <c r="AE129" i="2"/>
  <c r="AE126" i="2"/>
  <c r="AE125" i="2"/>
  <c r="AE124" i="2"/>
  <c r="AE123" i="2"/>
  <c r="AE122" i="2"/>
  <c r="Y88" i="2"/>
  <c r="Y91" i="2"/>
  <c r="Y92" i="2"/>
  <c r="Y95" i="2"/>
  <c r="Y90" i="2"/>
  <c r="Y89" i="2"/>
  <c r="AI60" i="2"/>
  <c r="AI59" i="2"/>
  <c r="AC95" i="2"/>
  <c r="AC92" i="2"/>
  <c r="AC91" i="2"/>
  <c r="AC90" i="2"/>
  <c r="AC89" i="2"/>
  <c r="AC88" i="2"/>
  <c r="AD60" i="2"/>
  <c r="AD59" i="2"/>
  <c r="Y129" i="2"/>
  <c r="Y126" i="2"/>
  <c r="Y125" i="2"/>
  <c r="Y124" i="2"/>
  <c r="Y123" i="2"/>
  <c r="Y122" i="2"/>
  <c r="Y60" i="2"/>
  <c r="Y59" i="2"/>
  <c r="AI95" i="2"/>
  <c r="AI92" i="2"/>
  <c r="AI91" i="2"/>
  <c r="AI90" i="2"/>
  <c r="AI89" i="2"/>
  <c r="AI88" i="2"/>
  <c r="AE60" i="2"/>
  <c r="AE59" i="2"/>
  <c r="AK129" i="2"/>
  <c r="AK126" i="2"/>
  <c r="AK125" i="2"/>
  <c r="AK124" i="2"/>
  <c r="AK123" i="2"/>
  <c r="AK122" i="2"/>
  <c r="AI129" i="2"/>
  <c r="AI126" i="2"/>
  <c r="AI125" i="2"/>
  <c r="AI124" i="2"/>
  <c r="AI123" i="2"/>
  <c r="AI122" i="2"/>
  <c r="W95" i="2"/>
  <c r="W92" i="2"/>
  <c r="W91" i="2"/>
  <c r="W90" i="2"/>
  <c r="W89" i="2"/>
  <c r="W88" i="2"/>
  <c r="AJ60" i="2"/>
  <c r="AJ59" i="2"/>
  <c r="AD95" i="2"/>
  <c r="AD92" i="2"/>
  <c r="AD91" i="2"/>
  <c r="AD90" i="2"/>
  <c r="AD89" i="2"/>
  <c r="AD88" i="2"/>
  <c r="AC129" i="2"/>
  <c r="AC126" i="2"/>
  <c r="AC125" i="2"/>
  <c r="AC124" i="2"/>
  <c r="AC123" i="2"/>
  <c r="AC122" i="2"/>
  <c r="AD129" i="2"/>
  <c r="AD126" i="2"/>
  <c r="AD125" i="2"/>
  <c r="AD124" i="2"/>
  <c r="AD123" i="2"/>
  <c r="AD122" i="2"/>
  <c r="AB60" i="2"/>
  <c r="AB59" i="2"/>
  <c r="W129" i="2"/>
  <c r="W126" i="2"/>
  <c r="W125" i="2"/>
  <c r="W124" i="2"/>
  <c r="W123" i="2"/>
  <c r="W122" i="2"/>
  <c r="AK95" i="2"/>
  <c r="AK92" i="2"/>
  <c r="AK91" i="2"/>
  <c r="AK90" i="2"/>
  <c r="AK89" i="2"/>
  <c r="AK88" i="2"/>
  <c r="AH60" i="2"/>
  <c r="AH59" i="2"/>
  <c r="X59" i="2"/>
  <c r="X60" i="2"/>
  <c r="AK95" i="1"/>
  <c r="AK92" i="1"/>
  <c r="AK91" i="1"/>
  <c r="AK90" i="1"/>
  <c r="AK89" i="1"/>
  <c r="AK88" i="1"/>
  <c r="AJ95" i="1"/>
  <c r="AJ92" i="1"/>
  <c r="AJ91" i="1"/>
  <c r="AJ90" i="1"/>
  <c r="AJ89" i="1"/>
  <c r="AJ88" i="1"/>
  <c r="AE95" i="1"/>
  <c r="AE92" i="1"/>
  <c r="AE91" i="1"/>
  <c r="AE90" i="1"/>
  <c r="AE89" i="1"/>
  <c r="AE88" i="1"/>
  <c r="W60" i="1"/>
  <c r="W59" i="1"/>
  <c r="AJ129" i="1"/>
  <c r="AJ126" i="1"/>
  <c r="AJ125" i="1"/>
  <c r="AJ124" i="1"/>
  <c r="AJ123" i="1"/>
  <c r="AJ122" i="1"/>
  <c r="AE129" i="1"/>
  <c r="AE126" i="1"/>
  <c r="AE125" i="1"/>
  <c r="AE124" i="1"/>
  <c r="AE123" i="1"/>
  <c r="AE122" i="1"/>
  <c r="Y95" i="1"/>
  <c r="Y90" i="1"/>
  <c r="Y92" i="1"/>
  <c r="Y88" i="1"/>
  <c r="Y91" i="1"/>
  <c r="Y89" i="1"/>
  <c r="Y60" i="1"/>
  <c r="Y59" i="1"/>
  <c r="V60" i="1"/>
  <c r="V59" i="1"/>
  <c r="AK60" i="1"/>
  <c r="AK59" i="1"/>
  <c r="AI60" i="1"/>
  <c r="AI59" i="1"/>
  <c r="Y129" i="1"/>
  <c r="Y126" i="1"/>
  <c r="Y125" i="1"/>
  <c r="Y124" i="1"/>
  <c r="Y123" i="1"/>
  <c r="Y122" i="1"/>
  <c r="AD60" i="1"/>
  <c r="AD59" i="1"/>
  <c r="X59" i="1"/>
  <c r="X60" i="1"/>
  <c r="W95" i="1"/>
  <c r="W92" i="1"/>
  <c r="W91" i="1"/>
  <c r="W90" i="1"/>
  <c r="W89" i="1"/>
  <c r="W88" i="1"/>
  <c r="AI95" i="1"/>
  <c r="AI92" i="1"/>
  <c r="AI91" i="1"/>
  <c r="AI90" i="1"/>
  <c r="AI89" i="1"/>
  <c r="AI88" i="1"/>
  <c r="AC95" i="1"/>
  <c r="AC92" i="1"/>
  <c r="AC91" i="1"/>
  <c r="AC90" i="1"/>
  <c r="AC89" i="1"/>
  <c r="AC88" i="1"/>
  <c r="W129" i="1"/>
  <c r="W126" i="1"/>
  <c r="W125" i="1"/>
  <c r="W124" i="1"/>
  <c r="W123" i="1"/>
  <c r="W122" i="1"/>
  <c r="AI129" i="1"/>
  <c r="AI126" i="1"/>
  <c r="AI125" i="1"/>
  <c r="AI124" i="1"/>
  <c r="AI123" i="1"/>
  <c r="AI122" i="1"/>
  <c r="AB60" i="1"/>
  <c r="AB59" i="1"/>
  <c r="AJ60" i="1"/>
  <c r="AJ59" i="1"/>
  <c r="AD95" i="1"/>
  <c r="AD92" i="1"/>
  <c r="AD91" i="1"/>
  <c r="AD90" i="1"/>
  <c r="AD89" i="1"/>
  <c r="AD88" i="1"/>
  <c r="AE60" i="1"/>
  <c r="AE59" i="1"/>
  <c r="AC129" i="1"/>
  <c r="AC126" i="1"/>
  <c r="AC125" i="1"/>
  <c r="AC124" i="1"/>
  <c r="AC123" i="1"/>
  <c r="AC122" i="1"/>
  <c r="AK129" i="1"/>
  <c r="AK126" i="1"/>
  <c r="AK125" i="1"/>
  <c r="AK124" i="1"/>
  <c r="AK123" i="1"/>
  <c r="AK122" i="1"/>
  <c r="X95" i="1"/>
  <c r="X92" i="1"/>
  <c r="X91" i="1"/>
  <c r="X90" i="1"/>
  <c r="X89" i="1"/>
  <c r="X88" i="1"/>
  <c r="AH60" i="1"/>
  <c r="AH59" i="1"/>
  <c r="AD129" i="1"/>
  <c r="AD126" i="1"/>
  <c r="AD125" i="1"/>
  <c r="AD124" i="1"/>
  <c r="AD123" i="1"/>
  <c r="AD122" i="1"/>
  <c r="AC60" i="1"/>
  <c r="AC59" i="1"/>
  <c r="X129" i="1"/>
  <c r="X126" i="1"/>
  <c r="X125" i="1"/>
  <c r="X124" i="1"/>
  <c r="X123" i="1"/>
  <c r="X122" i="1"/>
  <c r="D127" i="1"/>
  <c r="D128" i="1"/>
  <c r="C59" i="1"/>
  <c r="B59" i="1"/>
  <c r="C94" i="1"/>
  <c r="C93" i="1"/>
  <c r="C128" i="1"/>
  <c r="E127" i="1"/>
  <c r="E128" i="1"/>
  <c r="E59" i="1"/>
  <c r="E60" i="1"/>
  <c r="E127" i="2"/>
  <c r="E128" i="2"/>
  <c r="C94" i="2"/>
  <c r="C93" i="2"/>
  <c r="D127" i="2"/>
  <c r="D128" i="2"/>
  <c r="D59" i="2"/>
  <c r="D60" i="2"/>
  <c r="D94" i="2"/>
  <c r="D93" i="2"/>
  <c r="C127" i="2"/>
  <c r="C128" i="2"/>
  <c r="E93" i="2"/>
  <c r="E59" i="2"/>
  <c r="E60" i="2"/>
  <c r="E127" i="7"/>
  <c r="E128" i="7"/>
  <c r="C59" i="7"/>
  <c r="C94" i="7"/>
  <c r="C93" i="7"/>
  <c r="B59" i="7"/>
  <c r="D59" i="7"/>
  <c r="D127" i="7"/>
  <c r="D128" i="7"/>
  <c r="C94" i="6"/>
  <c r="C93" i="6"/>
  <c r="E127" i="6"/>
  <c r="E128" i="6"/>
  <c r="D59" i="6"/>
  <c r="B59" i="6"/>
  <c r="D94" i="6"/>
  <c r="D93" i="6"/>
  <c r="C127" i="6"/>
  <c r="C128" i="6"/>
  <c r="E59" i="6"/>
  <c r="E60" i="6"/>
  <c r="D127" i="6"/>
  <c r="D128" i="6"/>
  <c r="E93" i="6"/>
  <c r="D60" i="5"/>
  <c r="C127" i="5"/>
  <c r="C128" i="5"/>
  <c r="C94" i="5"/>
  <c r="C93" i="5"/>
  <c r="E127" i="5"/>
  <c r="E128" i="5"/>
  <c r="E59" i="5"/>
  <c r="E60" i="5"/>
  <c r="B59" i="5"/>
  <c r="D127" i="5"/>
  <c r="D128" i="5"/>
  <c r="D94" i="5"/>
  <c r="D93" i="5"/>
  <c r="D127" i="4"/>
  <c r="D128" i="4"/>
  <c r="E59" i="4"/>
  <c r="E60" i="4"/>
  <c r="C94" i="4"/>
  <c r="C93" i="4"/>
  <c r="D59" i="4"/>
  <c r="D60" i="4"/>
  <c r="E127" i="4"/>
  <c r="E128" i="4"/>
  <c r="E93" i="4"/>
  <c r="E94" i="4"/>
  <c r="D94" i="4"/>
  <c r="D93" i="4"/>
  <c r="C127" i="4"/>
  <c r="C128" i="4"/>
  <c r="Q71" i="7"/>
  <c r="Q72" i="7"/>
  <c r="Q75" i="4"/>
  <c r="Q26" i="3"/>
  <c r="N26" i="1"/>
  <c r="O78" i="1"/>
  <c r="O74" i="1"/>
  <c r="O108" i="1"/>
  <c r="Q112" i="1"/>
  <c r="Q74" i="7"/>
  <c r="Q75" i="7"/>
  <c r="Q76" i="7"/>
  <c r="Q78" i="7"/>
  <c r="P106" i="7"/>
  <c r="P110" i="7"/>
  <c r="Q71" i="6"/>
  <c r="P106" i="6"/>
  <c r="Q106" i="6"/>
  <c r="Q75" i="6"/>
  <c r="P110" i="6"/>
  <c r="Q110" i="6"/>
  <c r="Q71" i="4"/>
  <c r="O105" i="4"/>
  <c r="Q106" i="4"/>
  <c r="O109" i="4"/>
  <c r="P110" i="4"/>
  <c r="Q110" i="4"/>
  <c r="P106" i="4"/>
  <c r="Q71" i="3"/>
  <c r="N25" i="3"/>
  <c r="Q75" i="3"/>
  <c r="P106" i="3"/>
  <c r="Q106" i="3"/>
  <c r="P110" i="3"/>
  <c r="Q110" i="3"/>
  <c r="Q71" i="2"/>
  <c r="Q75" i="2"/>
  <c r="P78" i="1"/>
  <c r="P75" i="1"/>
  <c r="P111" i="1"/>
  <c r="O75" i="1"/>
  <c r="O107" i="1"/>
  <c r="P110" i="1"/>
  <c r="Q78" i="1"/>
  <c r="Q74" i="1"/>
  <c r="O106" i="1"/>
  <c r="P109" i="1"/>
  <c r="P74" i="1"/>
  <c r="Q77" i="1"/>
  <c r="P77" i="1"/>
  <c r="P73" i="1"/>
  <c r="Q109" i="1"/>
  <c r="Q110" i="1"/>
  <c r="O77" i="1"/>
  <c r="O73" i="1"/>
  <c r="Q108" i="1"/>
  <c r="P25" i="1"/>
  <c r="Q76" i="1"/>
  <c r="Q72" i="1"/>
  <c r="O112" i="1"/>
  <c r="Q107" i="1"/>
  <c r="Q73" i="1"/>
  <c r="P76" i="1"/>
  <c r="P72" i="1"/>
  <c r="O111" i="1"/>
  <c r="Q106" i="1"/>
  <c r="P108" i="1"/>
  <c r="O76" i="1"/>
  <c r="O72" i="1"/>
  <c r="O110" i="1"/>
  <c r="P107" i="1"/>
  <c r="Q111" i="1"/>
  <c r="P106" i="1"/>
  <c r="Q75" i="1"/>
  <c r="K26" i="9"/>
  <c r="J26" i="7"/>
  <c r="K111" i="7"/>
  <c r="H26" i="7"/>
  <c r="J105" i="6"/>
  <c r="K78" i="6"/>
  <c r="J109" i="6"/>
  <c r="K73" i="5"/>
  <c r="J26" i="4"/>
  <c r="K74" i="4"/>
  <c r="I71" i="3"/>
  <c r="K77" i="1"/>
  <c r="K73" i="1"/>
  <c r="J110" i="1"/>
  <c r="J106" i="1"/>
  <c r="K44" i="1"/>
  <c r="J42" i="1"/>
  <c r="J41" i="1"/>
  <c r="K40" i="1"/>
  <c r="J38" i="1"/>
  <c r="J37" i="1"/>
  <c r="J26" i="9"/>
  <c r="I77" i="7"/>
  <c r="I78" i="7"/>
  <c r="J105" i="7"/>
  <c r="I71" i="7"/>
  <c r="I90" i="7" s="1"/>
  <c r="K78" i="7"/>
  <c r="K105" i="7"/>
  <c r="P55" i="7"/>
  <c r="J106" i="7"/>
  <c r="K106" i="7"/>
  <c r="I73" i="7"/>
  <c r="K57" i="7"/>
  <c r="I74" i="7"/>
  <c r="K107" i="7"/>
  <c r="K74" i="7"/>
  <c r="J109" i="7"/>
  <c r="K109" i="7"/>
  <c r="I75" i="7"/>
  <c r="K110" i="7"/>
  <c r="K74" i="6"/>
  <c r="K105" i="6"/>
  <c r="I75" i="6"/>
  <c r="K106" i="6"/>
  <c r="I77" i="6"/>
  <c r="I78" i="6"/>
  <c r="K107" i="6"/>
  <c r="K109" i="6"/>
  <c r="K123" i="6" s="1"/>
  <c r="K110" i="6"/>
  <c r="K58" i="6"/>
  <c r="I71" i="6"/>
  <c r="K55" i="6"/>
  <c r="I73" i="6"/>
  <c r="I89" i="6" s="1"/>
  <c r="K111" i="6"/>
  <c r="J77" i="5"/>
  <c r="K77" i="5"/>
  <c r="K78" i="5"/>
  <c r="I77" i="4"/>
  <c r="J109" i="4"/>
  <c r="J77" i="4"/>
  <c r="K109" i="4"/>
  <c r="I108" i="4"/>
  <c r="K78" i="4"/>
  <c r="N55" i="4"/>
  <c r="I112" i="4"/>
  <c r="J105" i="4"/>
  <c r="K105" i="4"/>
  <c r="I73" i="4"/>
  <c r="J73" i="4"/>
  <c r="K110" i="3"/>
  <c r="I73" i="3"/>
  <c r="P58" i="3"/>
  <c r="I74" i="3"/>
  <c r="K74" i="3"/>
  <c r="K111" i="3"/>
  <c r="I75" i="3"/>
  <c r="J105" i="3"/>
  <c r="H26" i="3"/>
  <c r="K105" i="3"/>
  <c r="I77" i="3"/>
  <c r="K106" i="3"/>
  <c r="J109" i="3"/>
  <c r="K109" i="3"/>
  <c r="I78" i="3"/>
  <c r="K78" i="3"/>
  <c r="K107" i="3"/>
  <c r="I72" i="2"/>
  <c r="K74" i="2"/>
  <c r="I76" i="2"/>
  <c r="K78" i="2"/>
  <c r="I41" i="1"/>
  <c r="I37" i="1"/>
  <c r="J77" i="1"/>
  <c r="J73" i="1"/>
  <c r="I110" i="1"/>
  <c r="I106" i="1"/>
  <c r="K109" i="1"/>
  <c r="J44" i="1"/>
  <c r="J40" i="1"/>
  <c r="J54" i="1" s="1"/>
  <c r="K76" i="1"/>
  <c r="K72" i="1"/>
  <c r="I105" i="1"/>
  <c r="J109" i="1"/>
  <c r="I77" i="1"/>
  <c r="I44" i="1"/>
  <c r="I40" i="1"/>
  <c r="J92" i="1"/>
  <c r="J76" i="1"/>
  <c r="J72" i="1"/>
  <c r="K105" i="1"/>
  <c r="I109" i="1"/>
  <c r="K43" i="1"/>
  <c r="K39" i="1"/>
  <c r="I76" i="1"/>
  <c r="I72" i="1"/>
  <c r="K112" i="1"/>
  <c r="K108" i="1"/>
  <c r="J43" i="1"/>
  <c r="J39" i="1"/>
  <c r="I71" i="1"/>
  <c r="K75" i="1"/>
  <c r="J112" i="1"/>
  <c r="J108" i="1"/>
  <c r="I43" i="1"/>
  <c r="I39" i="1"/>
  <c r="J71" i="1"/>
  <c r="J75" i="1"/>
  <c r="I112" i="1"/>
  <c r="I108" i="1"/>
  <c r="I73" i="1"/>
  <c r="K42" i="1"/>
  <c r="K38" i="1"/>
  <c r="K71" i="1"/>
  <c r="I75" i="1"/>
  <c r="K111" i="1"/>
  <c r="K107" i="1"/>
  <c r="J111" i="1"/>
  <c r="I42" i="1"/>
  <c r="I38" i="1"/>
  <c r="J78" i="1"/>
  <c r="I111" i="1"/>
  <c r="I107" i="1"/>
  <c r="K41" i="1"/>
  <c r="K37" i="1"/>
  <c r="I78" i="1"/>
  <c r="I74" i="1"/>
  <c r="K110" i="1"/>
  <c r="E26" i="3"/>
  <c r="C76" i="3"/>
  <c r="D112" i="3"/>
  <c r="C77" i="3"/>
  <c r="E112" i="3"/>
  <c r="E125" i="3" s="1"/>
  <c r="C61" i="3"/>
  <c r="E77" i="3"/>
  <c r="D108" i="3"/>
  <c r="C72" i="3"/>
  <c r="E108" i="3"/>
  <c r="B65" i="3"/>
  <c r="C73" i="3"/>
  <c r="C78" i="3"/>
  <c r="E73" i="3"/>
  <c r="E105" i="3"/>
  <c r="C74" i="3"/>
  <c r="P25" i="10"/>
  <c r="N25" i="10"/>
  <c r="Q25" i="10"/>
  <c r="B25" i="10"/>
  <c r="C25" i="10"/>
  <c r="D25" i="10"/>
  <c r="E25" i="10"/>
  <c r="H25" i="10"/>
  <c r="I25" i="10"/>
  <c r="J25" i="10"/>
  <c r="K25" i="10"/>
  <c r="P25" i="9"/>
  <c r="P26" i="9"/>
  <c r="Q25" i="9"/>
  <c r="O25" i="9"/>
  <c r="B25" i="9"/>
  <c r="B26" i="9"/>
  <c r="C25" i="9"/>
  <c r="C26" i="9"/>
  <c r="N26" i="9"/>
  <c r="O26" i="9"/>
  <c r="D25" i="9"/>
  <c r="D26" i="9"/>
  <c r="E25" i="9"/>
  <c r="N25" i="9"/>
  <c r="H25" i="9"/>
  <c r="H26" i="9"/>
  <c r="I25" i="9"/>
  <c r="I26" i="9"/>
  <c r="J25" i="9"/>
  <c r="K25" i="9"/>
  <c r="O25" i="7"/>
  <c r="O26" i="7"/>
  <c r="O74" i="7"/>
  <c r="O78" i="7"/>
  <c r="Q106" i="7"/>
  <c r="Q110" i="7"/>
  <c r="H127" i="7"/>
  <c r="P25" i="7"/>
  <c r="P26" i="7"/>
  <c r="J73" i="7"/>
  <c r="P74" i="7"/>
  <c r="J77" i="7"/>
  <c r="P78" i="7"/>
  <c r="O105" i="7"/>
  <c r="I108" i="7"/>
  <c r="O109" i="7"/>
  <c r="I112" i="7"/>
  <c r="Q25" i="7"/>
  <c r="K73" i="7"/>
  <c r="K77" i="7"/>
  <c r="P105" i="7"/>
  <c r="J108" i="7"/>
  <c r="P109" i="7"/>
  <c r="J112" i="7"/>
  <c r="B25" i="7"/>
  <c r="B26" i="7"/>
  <c r="I72" i="7"/>
  <c r="O73" i="7"/>
  <c r="I76" i="7"/>
  <c r="O77" i="7"/>
  <c r="Q105" i="7"/>
  <c r="K108" i="7"/>
  <c r="Q109" i="7"/>
  <c r="K112" i="7"/>
  <c r="N127" i="7"/>
  <c r="N94" i="7"/>
  <c r="C25" i="7"/>
  <c r="C26" i="7"/>
  <c r="J72" i="7"/>
  <c r="P73" i="7"/>
  <c r="J76" i="7"/>
  <c r="P77" i="7"/>
  <c r="I107" i="7"/>
  <c r="O108" i="7"/>
  <c r="I111" i="7"/>
  <c r="O112" i="7"/>
  <c r="D25" i="7"/>
  <c r="D26" i="7"/>
  <c r="K72" i="7"/>
  <c r="Q73" i="7"/>
  <c r="K76" i="7"/>
  <c r="Q77" i="7"/>
  <c r="J107" i="7"/>
  <c r="P108" i="7"/>
  <c r="J111" i="7"/>
  <c r="P112" i="7"/>
  <c r="E25" i="7"/>
  <c r="O72" i="7"/>
  <c r="O76" i="7"/>
  <c r="Q108" i="7"/>
  <c r="Q112" i="7"/>
  <c r="N25" i="7"/>
  <c r="H25" i="7"/>
  <c r="J71" i="7"/>
  <c r="P72" i="7"/>
  <c r="J75" i="7"/>
  <c r="P76" i="7"/>
  <c r="H93" i="7"/>
  <c r="I106" i="7"/>
  <c r="O107" i="7"/>
  <c r="I110" i="7"/>
  <c r="O111" i="7"/>
  <c r="I25" i="7"/>
  <c r="I26" i="7"/>
  <c r="K71" i="7"/>
  <c r="K75" i="7"/>
  <c r="P107" i="7"/>
  <c r="J110" i="7"/>
  <c r="P111" i="7"/>
  <c r="J25" i="7"/>
  <c r="O71" i="7"/>
  <c r="O75" i="7"/>
  <c r="Q107" i="7"/>
  <c r="Q111" i="7"/>
  <c r="K25" i="7"/>
  <c r="P71" i="7"/>
  <c r="J74" i="7"/>
  <c r="P75" i="7"/>
  <c r="J78" i="7"/>
  <c r="I105" i="7"/>
  <c r="O106" i="7"/>
  <c r="I109" i="7"/>
  <c r="O110" i="7"/>
  <c r="N25" i="6"/>
  <c r="O74" i="6"/>
  <c r="P25" i="6"/>
  <c r="P26" i="6"/>
  <c r="J73" i="6"/>
  <c r="P74" i="6"/>
  <c r="J77" i="6"/>
  <c r="P78" i="6"/>
  <c r="O105" i="6"/>
  <c r="I108" i="6"/>
  <c r="O109" i="6"/>
  <c r="I112" i="6"/>
  <c r="O25" i="6"/>
  <c r="Q25" i="6"/>
  <c r="K73" i="6"/>
  <c r="Q74" i="6"/>
  <c r="K77" i="6"/>
  <c r="Q78" i="6"/>
  <c r="P105" i="6"/>
  <c r="J108" i="6"/>
  <c r="P109" i="6"/>
  <c r="J112" i="6"/>
  <c r="H128" i="6"/>
  <c r="B25" i="6"/>
  <c r="B26" i="6"/>
  <c r="I72" i="6"/>
  <c r="O73" i="6"/>
  <c r="I76" i="6"/>
  <c r="O77" i="6"/>
  <c r="Q105" i="6"/>
  <c r="K108" i="6"/>
  <c r="Q109" i="6"/>
  <c r="K112" i="6"/>
  <c r="N127" i="6"/>
  <c r="C25" i="6"/>
  <c r="C26" i="6"/>
  <c r="J72" i="6"/>
  <c r="P73" i="6"/>
  <c r="J76" i="6"/>
  <c r="P77" i="6"/>
  <c r="I107" i="6"/>
  <c r="O108" i="6"/>
  <c r="I111" i="6"/>
  <c r="O112" i="6"/>
  <c r="D25" i="6"/>
  <c r="D26" i="6"/>
  <c r="K72" i="6"/>
  <c r="Q73" i="6"/>
  <c r="K76" i="6"/>
  <c r="Q77" i="6"/>
  <c r="J107" i="6"/>
  <c r="P108" i="6"/>
  <c r="J111" i="6"/>
  <c r="P112" i="6"/>
  <c r="E25" i="6"/>
  <c r="O72" i="6"/>
  <c r="O76" i="6"/>
  <c r="Q108" i="6"/>
  <c r="Q112" i="6"/>
  <c r="N26" i="6"/>
  <c r="N93" i="6"/>
  <c r="H25" i="6"/>
  <c r="J71" i="6"/>
  <c r="P72" i="6"/>
  <c r="J75" i="6"/>
  <c r="P76" i="6"/>
  <c r="H93" i="6"/>
  <c r="I106" i="6"/>
  <c r="O107" i="6"/>
  <c r="I110" i="6"/>
  <c r="O111" i="6"/>
  <c r="I25" i="6"/>
  <c r="I26" i="6"/>
  <c r="K71" i="6"/>
  <c r="Q72" i="6"/>
  <c r="K75" i="6"/>
  <c r="Q76" i="6"/>
  <c r="J106" i="6"/>
  <c r="J125" i="6" s="1"/>
  <c r="P107" i="6"/>
  <c r="J110" i="6"/>
  <c r="P111" i="6"/>
  <c r="O26" i="6"/>
  <c r="O78" i="6"/>
  <c r="J25" i="6"/>
  <c r="O71" i="6"/>
  <c r="O75" i="6"/>
  <c r="Q107" i="6"/>
  <c r="Q111" i="6"/>
  <c r="K25" i="6"/>
  <c r="P71" i="6"/>
  <c r="J74" i="6"/>
  <c r="P75" i="6"/>
  <c r="J78" i="6"/>
  <c r="I105" i="6"/>
  <c r="O106" i="6"/>
  <c r="I109" i="6"/>
  <c r="O110" i="6"/>
  <c r="O75" i="5"/>
  <c r="O71" i="5"/>
  <c r="O76" i="5"/>
  <c r="O72" i="5"/>
  <c r="O77" i="5"/>
  <c r="O73" i="5"/>
  <c r="O78" i="5"/>
  <c r="O74" i="5"/>
  <c r="N26" i="5"/>
  <c r="N25" i="5"/>
  <c r="Q71" i="5"/>
  <c r="Q75" i="5"/>
  <c r="N93" i="5"/>
  <c r="H127" i="5"/>
  <c r="O25" i="5"/>
  <c r="O26" i="5"/>
  <c r="I73" i="5"/>
  <c r="I77" i="5"/>
  <c r="K105" i="5"/>
  <c r="Q106" i="5"/>
  <c r="K109" i="5"/>
  <c r="Q110" i="5"/>
  <c r="P25" i="5"/>
  <c r="B25" i="5"/>
  <c r="B26" i="5"/>
  <c r="B64" i="5"/>
  <c r="I72" i="5"/>
  <c r="I76" i="5"/>
  <c r="Q105" i="5"/>
  <c r="K108" i="5"/>
  <c r="Q109" i="5"/>
  <c r="K112" i="5"/>
  <c r="N127" i="5"/>
  <c r="P26" i="5"/>
  <c r="C25" i="5"/>
  <c r="C26" i="5"/>
  <c r="J72" i="5"/>
  <c r="P73" i="5"/>
  <c r="J76" i="5"/>
  <c r="P77" i="5"/>
  <c r="I107" i="5"/>
  <c r="O108" i="5"/>
  <c r="I111" i="5"/>
  <c r="O112" i="5"/>
  <c r="Q26" i="5"/>
  <c r="D25" i="5"/>
  <c r="D26" i="5"/>
  <c r="K72" i="5"/>
  <c r="Q73" i="5"/>
  <c r="K76" i="5"/>
  <c r="Q77" i="5"/>
  <c r="J107" i="5"/>
  <c r="P108" i="5"/>
  <c r="J111" i="5"/>
  <c r="P112" i="5"/>
  <c r="E25" i="5"/>
  <c r="I71" i="5"/>
  <c r="I75" i="5"/>
  <c r="K107" i="5"/>
  <c r="Q108" i="5"/>
  <c r="K111" i="5"/>
  <c r="Q112" i="5"/>
  <c r="H25" i="5"/>
  <c r="H26" i="5"/>
  <c r="J71" i="5"/>
  <c r="P72" i="5"/>
  <c r="J75" i="5"/>
  <c r="P76" i="5"/>
  <c r="H93" i="5"/>
  <c r="I106" i="5"/>
  <c r="O107" i="5"/>
  <c r="I110" i="5"/>
  <c r="O111" i="5"/>
  <c r="I25" i="5"/>
  <c r="I26" i="5"/>
  <c r="K71" i="5"/>
  <c r="Q72" i="5"/>
  <c r="K75" i="5"/>
  <c r="Q76" i="5"/>
  <c r="J106" i="5"/>
  <c r="P107" i="5"/>
  <c r="J110" i="5"/>
  <c r="P111" i="5"/>
  <c r="B134" i="5"/>
  <c r="J25" i="5"/>
  <c r="I74" i="5"/>
  <c r="I78" i="5"/>
  <c r="K106" i="5"/>
  <c r="Q107" i="5"/>
  <c r="K110" i="5"/>
  <c r="Q111" i="5"/>
  <c r="Q74" i="5"/>
  <c r="Q78" i="5"/>
  <c r="K25" i="5"/>
  <c r="P71" i="5"/>
  <c r="J74" i="5"/>
  <c r="P75" i="5"/>
  <c r="J78" i="5"/>
  <c r="I105" i="5"/>
  <c r="O106" i="5"/>
  <c r="I109" i="5"/>
  <c r="O110" i="5"/>
  <c r="O25" i="4"/>
  <c r="Q25" i="4"/>
  <c r="K73" i="4"/>
  <c r="Q74" i="4"/>
  <c r="K77" i="4"/>
  <c r="Q78" i="4"/>
  <c r="P105" i="4"/>
  <c r="J108" i="4"/>
  <c r="P109" i="4"/>
  <c r="J112" i="4"/>
  <c r="N94" i="4"/>
  <c r="B25" i="4"/>
  <c r="B26" i="4"/>
  <c r="I72" i="4"/>
  <c r="O73" i="4"/>
  <c r="I76" i="4"/>
  <c r="O77" i="4"/>
  <c r="Q105" i="4"/>
  <c r="K108" i="4"/>
  <c r="Q109" i="4"/>
  <c r="K112" i="4"/>
  <c r="N127" i="4"/>
  <c r="C25" i="4"/>
  <c r="C26" i="4"/>
  <c r="J72" i="4"/>
  <c r="P73" i="4"/>
  <c r="J76" i="4"/>
  <c r="P77" i="4"/>
  <c r="I107" i="4"/>
  <c r="O108" i="4"/>
  <c r="I111" i="4"/>
  <c r="O112" i="4"/>
  <c r="D25" i="4"/>
  <c r="D26" i="4"/>
  <c r="K72" i="4"/>
  <c r="Q73" i="4"/>
  <c r="K76" i="4"/>
  <c r="Q77" i="4"/>
  <c r="J107" i="4"/>
  <c r="P108" i="4"/>
  <c r="J111" i="4"/>
  <c r="P112" i="4"/>
  <c r="N25" i="4"/>
  <c r="P74" i="4"/>
  <c r="E25" i="4"/>
  <c r="I71" i="4"/>
  <c r="O72" i="4"/>
  <c r="I75" i="4"/>
  <c r="O76" i="4"/>
  <c r="K107" i="4"/>
  <c r="Q108" i="4"/>
  <c r="K111" i="4"/>
  <c r="Q112" i="4"/>
  <c r="H25" i="4"/>
  <c r="H26" i="4"/>
  <c r="J71" i="4"/>
  <c r="P72" i="4"/>
  <c r="J75" i="4"/>
  <c r="P76" i="4"/>
  <c r="H93" i="4"/>
  <c r="I106" i="4"/>
  <c r="O107" i="4"/>
  <c r="I110" i="4"/>
  <c r="O111" i="4"/>
  <c r="H127" i="4"/>
  <c r="O26" i="4"/>
  <c r="I25" i="4"/>
  <c r="I26" i="4"/>
  <c r="K71" i="4"/>
  <c r="Q72" i="4"/>
  <c r="K75" i="4"/>
  <c r="Q76" i="4"/>
  <c r="J106" i="4"/>
  <c r="P107" i="4"/>
  <c r="J110" i="4"/>
  <c r="P111" i="4"/>
  <c r="N26" i="4"/>
  <c r="P25" i="4"/>
  <c r="J25" i="4"/>
  <c r="O71" i="4"/>
  <c r="I74" i="4"/>
  <c r="O75" i="4"/>
  <c r="I78" i="4"/>
  <c r="K106" i="4"/>
  <c r="Q107" i="4"/>
  <c r="K110" i="4"/>
  <c r="Q111" i="4"/>
  <c r="O74" i="4"/>
  <c r="P78" i="4"/>
  <c r="K25" i="4"/>
  <c r="P71" i="4"/>
  <c r="J74" i="4"/>
  <c r="P75" i="4"/>
  <c r="J78" i="4"/>
  <c r="I105" i="4"/>
  <c r="O106" i="4"/>
  <c r="I109" i="4"/>
  <c r="O110" i="4"/>
  <c r="H128" i="3"/>
  <c r="O74" i="3"/>
  <c r="P25" i="3"/>
  <c r="P26" i="3"/>
  <c r="D72" i="3"/>
  <c r="J73" i="3"/>
  <c r="P74" i="3"/>
  <c r="D76" i="3"/>
  <c r="J77" i="3"/>
  <c r="P78" i="3"/>
  <c r="O105" i="3"/>
  <c r="C107" i="3"/>
  <c r="I108" i="3"/>
  <c r="O109" i="3"/>
  <c r="C111" i="3"/>
  <c r="I112" i="3"/>
  <c r="N26" i="3"/>
  <c r="N93" i="3"/>
  <c r="Q25" i="3"/>
  <c r="K73" i="3"/>
  <c r="Q74" i="3"/>
  <c r="K77" i="3"/>
  <c r="Q78" i="3"/>
  <c r="P105" i="3"/>
  <c r="D107" i="3"/>
  <c r="J108" i="3"/>
  <c r="P109" i="3"/>
  <c r="J112" i="3"/>
  <c r="B25" i="3"/>
  <c r="B26" i="3"/>
  <c r="C71" i="3"/>
  <c r="I72" i="3"/>
  <c r="I91" i="3" s="1"/>
  <c r="O73" i="3"/>
  <c r="C75" i="3"/>
  <c r="I76" i="3"/>
  <c r="O77" i="3"/>
  <c r="B93" i="3"/>
  <c r="Q105" i="3"/>
  <c r="E107" i="3"/>
  <c r="K108" i="3"/>
  <c r="Q109" i="3"/>
  <c r="E111" i="3"/>
  <c r="K112" i="3"/>
  <c r="N127" i="3"/>
  <c r="C25" i="3"/>
  <c r="C26" i="3"/>
  <c r="D71" i="3"/>
  <c r="J72" i="3"/>
  <c r="P73" i="3"/>
  <c r="J76" i="3"/>
  <c r="P77" i="3"/>
  <c r="C106" i="3"/>
  <c r="I107" i="3"/>
  <c r="O108" i="3"/>
  <c r="C110" i="3"/>
  <c r="I111" i="3"/>
  <c r="O112" i="3"/>
  <c r="O78" i="3"/>
  <c r="D25" i="3"/>
  <c r="D26" i="3"/>
  <c r="E71" i="3"/>
  <c r="K72" i="3"/>
  <c r="Q73" i="3"/>
  <c r="K76" i="3"/>
  <c r="Q77" i="3"/>
  <c r="D106" i="3"/>
  <c r="J107" i="3"/>
  <c r="P108" i="3"/>
  <c r="D110" i="3"/>
  <c r="J111" i="3"/>
  <c r="P112" i="3"/>
  <c r="E25" i="3"/>
  <c r="K54" i="3"/>
  <c r="K56" i="3"/>
  <c r="O72" i="3"/>
  <c r="O76" i="3"/>
  <c r="Q108" i="3"/>
  <c r="Q112" i="3"/>
  <c r="K125" i="3"/>
  <c r="H25" i="3"/>
  <c r="J71" i="3"/>
  <c r="P72" i="3"/>
  <c r="D74" i="3"/>
  <c r="J75" i="3"/>
  <c r="P76" i="3"/>
  <c r="D78" i="3"/>
  <c r="H93" i="3"/>
  <c r="C105" i="3"/>
  <c r="I106" i="3"/>
  <c r="O107" i="3"/>
  <c r="C109" i="3"/>
  <c r="I110" i="3"/>
  <c r="O111" i="3"/>
  <c r="B127" i="3"/>
  <c r="O25" i="3"/>
  <c r="I25" i="3"/>
  <c r="I26" i="3"/>
  <c r="K71" i="3"/>
  <c r="Q72" i="3"/>
  <c r="E74" i="3"/>
  <c r="K75" i="3"/>
  <c r="Q76" i="3"/>
  <c r="E78" i="3"/>
  <c r="D105" i="3"/>
  <c r="J106" i="3"/>
  <c r="P107" i="3"/>
  <c r="J110" i="3"/>
  <c r="P111" i="3"/>
  <c r="O26" i="3"/>
  <c r="J25" i="3"/>
  <c r="P54" i="3"/>
  <c r="O71" i="3"/>
  <c r="O75" i="3"/>
  <c r="Q107" i="3"/>
  <c r="Q111" i="3"/>
  <c r="K25" i="3"/>
  <c r="P71" i="3"/>
  <c r="D73" i="3"/>
  <c r="J74" i="3"/>
  <c r="P75" i="3"/>
  <c r="J78" i="3"/>
  <c r="I105" i="3"/>
  <c r="O106" i="3"/>
  <c r="C108" i="3"/>
  <c r="I109" i="3"/>
  <c r="O110" i="3"/>
  <c r="C112" i="3"/>
  <c r="E123" i="3"/>
  <c r="E124" i="3"/>
  <c r="N26" i="2"/>
  <c r="O25" i="2"/>
  <c r="O26" i="2"/>
  <c r="I73" i="2"/>
  <c r="O74" i="2"/>
  <c r="I77" i="2"/>
  <c r="O78" i="2"/>
  <c r="N93" i="2"/>
  <c r="H128" i="2"/>
  <c r="P25" i="2"/>
  <c r="P26" i="2"/>
  <c r="J73" i="2"/>
  <c r="P74" i="2"/>
  <c r="J77" i="2"/>
  <c r="P78" i="2"/>
  <c r="N25" i="2"/>
  <c r="Q25" i="2"/>
  <c r="K73" i="2"/>
  <c r="Q74" i="2"/>
  <c r="K77" i="2"/>
  <c r="Q78" i="2"/>
  <c r="O73" i="2"/>
  <c r="C25" i="2"/>
  <c r="C26" i="2"/>
  <c r="J72" i="2"/>
  <c r="P73" i="2"/>
  <c r="J76" i="2"/>
  <c r="P77" i="2"/>
  <c r="N128" i="2"/>
  <c r="D25" i="2"/>
  <c r="D26" i="2"/>
  <c r="K72" i="2"/>
  <c r="Q73" i="2"/>
  <c r="K76" i="2"/>
  <c r="Q77" i="2"/>
  <c r="E25" i="2"/>
  <c r="I71" i="2"/>
  <c r="O72" i="2"/>
  <c r="I75" i="2"/>
  <c r="O76" i="2"/>
  <c r="B25" i="2"/>
  <c r="H25" i="2"/>
  <c r="H26" i="2"/>
  <c r="J71" i="2"/>
  <c r="P72" i="2"/>
  <c r="J75" i="2"/>
  <c r="P76" i="2"/>
  <c r="H93" i="2"/>
  <c r="I25" i="2"/>
  <c r="I26" i="2"/>
  <c r="K71" i="2"/>
  <c r="Q72" i="2"/>
  <c r="K75" i="2"/>
  <c r="Q76" i="2"/>
  <c r="B26" i="2"/>
  <c r="O77" i="2"/>
  <c r="J25" i="2"/>
  <c r="O71" i="2"/>
  <c r="I74" i="2"/>
  <c r="O75" i="2"/>
  <c r="I78" i="2"/>
  <c r="K25" i="2"/>
  <c r="P71" i="2"/>
  <c r="J74" i="2"/>
  <c r="P75" i="2"/>
  <c r="J78" i="2"/>
  <c r="J26" i="1"/>
  <c r="D25" i="1"/>
  <c r="I25" i="1"/>
  <c r="H40" i="1"/>
  <c r="E26" i="1"/>
  <c r="H127" i="1"/>
  <c r="N25" i="1"/>
  <c r="O25" i="1"/>
  <c r="N127" i="1"/>
  <c r="H42" i="1"/>
  <c r="E25" i="1"/>
  <c r="H43" i="1"/>
  <c r="J25" i="1"/>
  <c r="H94" i="1"/>
  <c r="Q25" i="1"/>
  <c r="H25" i="1"/>
  <c r="K26" i="1"/>
  <c r="C26" i="1"/>
  <c r="H38" i="1"/>
  <c r="N93" i="1"/>
  <c r="I26" i="1"/>
  <c r="H44" i="1"/>
  <c r="H41" i="1"/>
  <c r="K25" i="1"/>
  <c r="B26" i="1"/>
  <c r="H93" i="1"/>
  <c r="J105" i="1"/>
  <c r="B25" i="1"/>
  <c r="D26" i="1"/>
  <c r="C25" i="1"/>
  <c r="AK128" i="7" l="1"/>
  <c r="AK127" i="7"/>
  <c r="AJ94" i="7"/>
  <c r="AJ93" i="7"/>
  <c r="X128" i="7"/>
  <c r="X127" i="7"/>
  <c r="Y128" i="7"/>
  <c r="Y127" i="7"/>
  <c r="X94" i="7"/>
  <c r="X93" i="7"/>
  <c r="AD94" i="7"/>
  <c r="AD93" i="7"/>
  <c r="AE128" i="7"/>
  <c r="AE127" i="7"/>
  <c r="AE94" i="7"/>
  <c r="AE93" i="7"/>
  <c r="AD128" i="7"/>
  <c r="AD127" i="7"/>
  <c r="AC94" i="7"/>
  <c r="AC93" i="7"/>
  <c r="W94" i="7"/>
  <c r="W93" i="7"/>
  <c r="Y93" i="7"/>
  <c r="Y94" i="7"/>
  <c r="W128" i="7"/>
  <c r="W127" i="7"/>
  <c r="AC128" i="7"/>
  <c r="AC127" i="7"/>
  <c r="AK94" i="7"/>
  <c r="AK93" i="7"/>
  <c r="AI128" i="7"/>
  <c r="AI127" i="7"/>
  <c r="AI94" i="7"/>
  <c r="AI93" i="7"/>
  <c r="AJ128" i="7"/>
  <c r="AJ127" i="7"/>
  <c r="AD94" i="6"/>
  <c r="AD93" i="6"/>
  <c r="AD128" i="6"/>
  <c r="AD127" i="6"/>
  <c r="AC128" i="6"/>
  <c r="AC127" i="6"/>
  <c r="X94" i="6"/>
  <c r="X93" i="6"/>
  <c r="AE94" i="6"/>
  <c r="AE93" i="6"/>
  <c r="AJ128" i="6"/>
  <c r="AJ127" i="6"/>
  <c r="Y93" i="6"/>
  <c r="Y94" i="6"/>
  <c r="W128" i="6"/>
  <c r="W127" i="6"/>
  <c r="AK128" i="6"/>
  <c r="AK127" i="6"/>
  <c r="Y128" i="6"/>
  <c r="Y127" i="6"/>
  <c r="AE128" i="6"/>
  <c r="AE127" i="6"/>
  <c r="AI128" i="6"/>
  <c r="AI127" i="6"/>
  <c r="AC94" i="6"/>
  <c r="AC93" i="6"/>
  <c r="AI94" i="6"/>
  <c r="AI93" i="6"/>
  <c r="X128" i="6"/>
  <c r="X127" i="6"/>
  <c r="W94" i="6"/>
  <c r="W93" i="6"/>
  <c r="AJ94" i="6"/>
  <c r="AJ93" i="6"/>
  <c r="AK94" i="6"/>
  <c r="AK93" i="6"/>
  <c r="AC94" i="5"/>
  <c r="AC93" i="5"/>
  <c r="AJ94" i="5"/>
  <c r="AJ93" i="5"/>
  <c r="AD94" i="5"/>
  <c r="AD93" i="5"/>
  <c r="X128" i="5"/>
  <c r="X127" i="5"/>
  <c r="Y93" i="5"/>
  <c r="Y94" i="5"/>
  <c r="AI128" i="5"/>
  <c r="AI127" i="5"/>
  <c r="AE128" i="5"/>
  <c r="AE127" i="5"/>
  <c r="AE94" i="5"/>
  <c r="AE93" i="5"/>
  <c r="AK94" i="5"/>
  <c r="AK93" i="5"/>
  <c r="X94" i="5"/>
  <c r="X93" i="5"/>
  <c r="AC128" i="5"/>
  <c r="AC127" i="5"/>
  <c r="W128" i="5"/>
  <c r="W127" i="5"/>
  <c r="Y128" i="5"/>
  <c r="Y127" i="5"/>
  <c r="W94" i="5"/>
  <c r="W93" i="5"/>
  <c r="AK128" i="5"/>
  <c r="AK127" i="5"/>
  <c r="AJ128" i="5"/>
  <c r="AJ127" i="5"/>
  <c r="X94" i="4"/>
  <c r="X93" i="4"/>
  <c r="AC128" i="4"/>
  <c r="AC127" i="4"/>
  <c r="Y94" i="4"/>
  <c r="Y93" i="4"/>
  <c r="AD94" i="4"/>
  <c r="AD93" i="4"/>
  <c r="AJ128" i="4"/>
  <c r="AJ127" i="4"/>
  <c r="X128" i="4"/>
  <c r="X127" i="4"/>
  <c r="W94" i="4"/>
  <c r="W93" i="4"/>
  <c r="AI128" i="4"/>
  <c r="AI127" i="4"/>
  <c r="AI94" i="4"/>
  <c r="AI93" i="4"/>
  <c r="Y128" i="4"/>
  <c r="Y127" i="4"/>
  <c r="AD128" i="4"/>
  <c r="AD127" i="4"/>
  <c r="AE94" i="4"/>
  <c r="AE93" i="4"/>
  <c r="W128" i="4"/>
  <c r="W127" i="4"/>
  <c r="AE128" i="4"/>
  <c r="AE127" i="4"/>
  <c r="AK128" i="4"/>
  <c r="AK127" i="4"/>
  <c r="AC94" i="4"/>
  <c r="AC93" i="4"/>
  <c r="AI128" i="3"/>
  <c r="AI127" i="3"/>
  <c r="AE128" i="3"/>
  <c r="AE127" i="3"/>
  <c r="Y128" i="3"/>
  <c r="Y127" i="3"/>
  <c r="W94" i="3"/>
  <c r="W93" i="3"/>
  <c r="X128" i="3"/>
  <c r="X127" i="3"/>
  <c r="AD128" i="3"/>
  <c r="AD127" i="3"/>
  <c r="AC128" i="3"/>
  <c r="AC127" i="3"/>
  <c r="AD94" i="3"/>
  <c r="AD93" i="3"/>
  <c r="AJ128" i="3"/>
  <c r="AJ127" i="3"/>
  <c r="AK128" i="3"/>
  <c r="AK127" i="3"/>
  <c r="AJ94" i="3"/>
  <c r="AJ93" i="3"/>
  <c r="W128" i="3"/>
  <c r="W127" i="3"/>
  <c r="X94" i="3"/>
  <c r="X93" i="3"/>
  <c r="AI94" i="3"/>
  <c r="AI93" i="3"/>
  <c r="AK94" i="3"/>
  <c r="AK93" i="3"/>
  <c r="Y94" i="3"/>
  <c r="Y93" i="3"/>
  <c r="AC94" i="3"/>
  <c r="AC93" i="3"/>
  <c r="W128" i="2"/>
  <c r="W127" i="2"/>
  <c r="AI94" i="2"/>
  <c r="AI93" i="2"/>
  <c r="AJ128" i="2"/>
  <c r="AJ127" i="2"/>
  <c r="Y93" i="2"/>
  <c r="Y94" i="2"/>
  <c r="AC128" i="2"/>
  <c r="AC127" i="2"/>
  <c r="X128" i="2"/>
  <c r="X127" i="2"/>
  <c r="W94" i="2"/>
  <c r="W93" i="2"/>
  <c r="AK128" i="2"/>
  <c r="AK127" i="2"/>
  <c r="AC94" i="2"/>
  <c r="AC93" i="2"/>
  <c r="AK94" i="2"/>
  <c r="AK93" i="2"/>
  <c r="AE128" i="2"/>
  <c r="AE127" i="2"/>
  <c r="X94" i="2"/>
  <c r="X93" i="2"/>
  <c r="AD128" i="2"/>
  <c r="AD127" i="2"/>
  <c r="AD94" i="2"/>
  <c r="AD93" i="2"/>
  <c r="Y128" i="2"/>
  <c r="Y127" i="2"/>
  <c r="AJ94" i="2"/>
  <c r="AJ93" i="2"/>
  <c r="AI128" i="2"/>
  <c r="AI127" i="2"/>
  <c r="AE94" i="2"/>
  <c r="AE93" i="2"/>
  <c r="AK128" i="1"/>
  <c r="AK127" i="1"/>
  <c r="AI128" i="1"/>
  <c r="AI127" i="1"/>
  <c r="AC94" i="1"/>
  <c r="AC93" i="1"/>
  <c r="W94" i="1"/>
  <c r="W93" i="1"/>
  <c r="AJ128" i="1"/>
  <c r="AJ127" i="1"/>
  <c r="X128" i="1"/>
  <c r="X127" i="1"/>
  <c r="AD94" i="1"/>
  <c r="AD93" i="1"/>
  <c r="AJ94" i="1"/>
  <c r="AJ93" i="1"/>
  <c r="X94" i="1"/>
  <c r="X93" i="1"/>
  <c r="AC128" i="1"/>
  <c r="AC127" i="1"/>
  <c r="W128" i="1"/>
  <c r="W127" i="1"/>
  <c r="AI94" i="1"/>
  <c r="AI93" i="1"/>
  <c r="AE128" i="1"/>
  <c r="AE127" i="1"/>
  <c r="AE94" i="1"/>
  <c r="AE93" i="1"/>
  <c r="AK94" i="1"/>
  <c r="AK93" i="1"/>
  <c r="AD128" i="1"/>
  <c r="AD127" i="1"/>
  <c r="Y128" i="1"/>
  <c r="Y127" i="1"/>
  <c r="Y93" i="1"/>
  <c r="Y94" i="1"/>
  <c r="B135" i="5"/>
  <c r="B133" i="5"/>
  <c r="J125" i="5"/>
  <c r="B65" i="5"/>
  <c r="B66" i="5"/>
  <c r="B67" i="5"/>
  <c r="Q95" i="7"/>
  <c r="Q89" i="7"/>
  <c r="Q89" i="6"/>
  <c r="Q92" i="6"/>
  <c r="P123" i="5"/>
  <c r="N54" i="4"/>
  <c r="Q90" i="4"/>
  <c r="O123" i="4"/>
  <c r="N56" i="4"/>
  <c r="P57" i="3"/>
  <c r="P59" i="3" s="1"/>
  <c r="P56" i="3"/>
  <c r="P55" i="3"/>
  <c r="Q88" i="3"/>
  <c r="P61" i="3"/>
  <c r="Q123" i="2"/>
  <c r="Q88" i="2"/>
  <c r="Q88" i="1"/>
  <c r="O92" i="1"/>
  <c r="P54" i="1"/>
  <c r="Q92" i="7"/>
  <c r="Q94" i="7" s="1"/>
  <c r="P57" i="7"/>
  <c r="Q91" i="7"/>
  <c r="Q90" i="7"/>
  <c r="Q88" i="7"/>
  <c r="P56" i="7"/>
  <c r="Q91" i="6"/>
  <c r="Q93" i="6" s="1"/>
  <c r="Q90" i="6"/>
  <c r="Q88" i="6"/>
  <c r="P55" i="6"/>
  <c r="Q95" i="6"/>
  <c r="O126" i="4"/>
  <c r="O125" i="4"/>
  <c r="O122" i="4"/>
  <c r="O124" i="4"/>
  <c r="O129" i="4"/>
  <c r="Q95" i="4"/>
  <c r="Q89" i="4"/>
  <c r="Q92" i="4"/>
  <c r="Q91" i="4"/>
  <c r="Q94" i="4" s="1"/>
  <c r="Q88" i="4"/>
  <c r="Q92" i="3"/>
  <c r="Q91" i="3"/>
  <c r="Q93" i="3" s="1"/>
  <c r="Q90" i="3"/>
  <c r="Q89" i="3"/>
  <c r="Q95" i="3"/>
  <c r="Q126" i="2"/>
  <c r="Q125" i="2"/>
  <c r="Q124" i="2"/>
  <c r="Q92" i="2"/>
  <c r="Q91" i="2"/>
  <c r="Q93" i="2" s="1"/>
  <c r="Q90" i="2"/>
  <c r="Q89" i="2"/>
  <c r="Q122" i="2"/>
  <c r="Q95" i="2"/>
  <c r="Q129" i="2"/>
  <c r="Q91" i="1"/>
  <c r="P92" i="1"/>
  <c r="P88" i="1"/>
  <c r="P91" i="1"/>
  <c r="P90" i="1"/>
  <c r="P89" i="1"/>
  <c r="P95" i="1"/>
  <c r="O90" i="1"/>
  <c r="O91" i="1"/>
  <c r="O89" i="1"/>
  <c r="O95" i="1"/>
  <c r="P58" i="1"/>
  <c r="Q92" i="1"/>
  <c r="Q90" i="1"/>
  <c r="Q95" i="1"/>
  <c r="Q89" i="1"/>
  <c r="O88" i="1"/>
  <c r="K58" i="7"/>
  <c r="K122" i="7"/>
  <c r="I91" i="7"/>
  <c r="I94" i="7" s="1"/>
  <c r="J129" i="7"/>
  <c r="O55" i="7"/>
  <c r="K56" i="7"/>
  <c r="Q55" i="7"/>
  <c r="I54" i="7"/>
  <c r="P61" i="7"/>
  <c r="K126" i="6"/>
  <c r="K128" i="6" s="1"/>
  <c r="I90" i="6"/>
  <c r="J123" i="6"/>
  <c r="K57" i="6"/>
  <c r="K59" i="6" s="1"/>
  <c r="P61" i="6"/>
  <c r="J125" i="4"/>
  <c r="P55" i="4"/>
  <c r="J129" i="4"/>
  <c r="K126" i="4"/>
  <c r="N58" i="4"/>
  <c r="K125" i="4"/>
  <c r="N57" i="4"/>
  <c r="N59" i="4" s="1"/>
  <c r="K124" i="4"/>
  <c r="K55" i="3"/>
  <c r="J122" i="3"/>
  <c r="J125" i="3"/>
  <c r="J128" i="3" s="1"/>
  <c r="I90" i="3"/>
  <c r="K126" i="3"/>
  <c r="J124" i="2"/>
  <c r="J61" i="1"/>
  <c r="K54" i="1"/>
  <c r="J56" i="1"/>
  <c r="P56" i="1"/>
  <c r="J55" i="1"/>
  <c r="J57" i="1"/>
  <c r="J58" i="1"/>
  <c r="J60" i="1" s="1"/>
  <c r="J90" i="1"/>
  <c r="Q58" i="1"/>
  <c r="P54" i="7"/>
  <c r="O54" i="7"/>
  <c r="K55" i="7"/>
  <c r="Q58" i="7"/>
  <c r="K129" i="7"/>
  <c r="Q57" i="7"/>
  <c r="Q60" i="7" s="1"/>
  <c r="I58" i="7"/>
  <c r="I60" i="7" s="1"/>
  <c r="K61" i="7"/>
  <c r="Q56" i="7"/>
  <c r="O58" i="7"/>
  <c r="I57" i="7"/>
  <c r="K126" i="7"/>
  <c r="O57" i="7"/>
  <c r="I56" i="7"/>
  <c r="K125" i="7"/>
  <c r="I95" i="7"/>
  <c r="O56" i="7"/>
  <c r="I55" i="7"/>
  <c r="K124" i="7"/>
  <c r="J122" i="7"/>
  <c r="J126" i="7"/>
  <c r="I89" i="7"/>
  <c r="K123" i="7"/>
  <c r="J125" i="7"/>
  <c r="Q61" i="7"/>
  <c r="I92" i="7"/>
  <c r="I88" i="7"/>
  <c r="J124" i="7"/>
  <c r="O61" i="7"/>
  <c r="Q54" i="7"/>
  <c r="P58" i="7"/>
  <c r="J123" i="7"/>
  <c r="I61" i="7"/>
  <c r="I88" i="6"/>
  <c r="J124" i="6"/>
  <c r="K56" i="6"/>
  <c r="I95" i="6"/>
  <c r="P54" i="6"/>
  <c r="J122" i="6"/>
  <c r="P58" i="6"/>
  <c r="J129" i="6"/>
  <c r="P57" i="6"/>
  <c r="I92" i="6"/>
  <c r="I94" i="6" s="1"/>
  <c r="K61" i="6"/>
  <c r="K129" i="6"/>
  <c r="P56" i="6"/>
  <c r="I91" i="6"/>
  <c r="K122" i="6"/>
  <c r="K125" i="6"/>
  <c r="K54" i="6"/>
  <c r="K124" i="6"/>
  <c r="J126" i="6"/>
  <c r="J128" i="6" s="1"/>
  <c r="K123" i="4"/>
  <c r="J126" i="4"/>
  <c r="J127" i="4" s="1"/>
  <c r="J122" i="4"/>
  <c r="N61" i="4"/>
  <c r="P58" i="4"/>
  <c r="P57" i="4"/>
  <c r="P59" i="4" s="1"/>
  <c r="P54" i="4"/>
  <c r="P56" i="4"/>
  <c r="K122" i="4"/>
  <c r="J123" i="4"/>
  <c r="K129" i="4"/>
  <c r="J124" i="4"/>
  <c r="P61" i="4"/>
  <c r="I89" i="3"/>
  <c r="I95" i="3"/>
  <c r="K58" i="3"/>
  <c r="K122" i="3"/>
  <c r="K124" i="3"/>
  <c r="I88" i="3"/>
  <c r="K57" i="3"/>
  <c r="K123" i="3"/>
  <c r="J126" i="3"/>
  <c r="K129" i="3"/>
  <c r="K61" i="3"/>
  <c r="J124" i="3"/>
  <c r="J123" i="3"/>
  <c r="J129" i="3"/>
  <c r="I92" i="3"/>
  <c r="I93" i="3" s="1"/>
  <c r="B101" i="3"/>
  <c r="J129" i="2"/>
  <c r="J123" i="2"/>
  <c r="J122" i="2"/>
  <c r="J126" i="2"/>
  <c r="J125" i="2"/>
  <c r="O61" i="1"/>
  <c r="O55" i="1"/>
  <c r="O58" i="1"/>
  <c r="O56" i="1"/>
  <c r="O57" i="1"/>
  <c r="J95" i="1"/>
  <c r="J89" i="1"/>
  <c r="J88" i="1"/>
  <c r="J91" i="1"/>
  <c r="I55" i="1"/>
  <c r="I57" i="1"/>
  <c r="I61" i="1"/>
  <c r="I58" i="1"/>
  <c r="I56" i="1"/>
  <c r="I95" i="1"/>
  <c r="I90" i="1"/>
  <c r="I92" i="1"/>
  <c r="I89" i="1"/>
  <c r="I91" i="1"/>
  <c r="K95" i="1"/>
  <c r="K90" i="1"/>
  <c r="K92" i="1"/>
  <c r="K89" i="1"/>
  <c r="K88" i="1"/>
  <c r="K91" i="1"/>
  <c r="I88" i="1"/>
  <c r="P55" i="1"/>
  <c r="P61" i="1"/>
  <c r="Q54" i="1"/>
  <c r="Q55" i="1"/>
  <c r="O54" i="1"/>
  <c r="Q61" i="1"/>
  <c r="P57" i="1"/>
  <c r="Q56" i="1"/>
  <c r="K56" i="1"/>
  <c r="K61" i="1"/>
  <c r="K58" i="1"/>
  <c r="K57" i="1"/>
  <c r="K55" i="1"/>
  <c r="Q57" i="1"/>
  <c r="I54" i="1"/>
  <c r="O122" i="5"/>
  <c r="P126" i="5"/>
  <c r="P128" i="5" s="1"/>
  <c r="O126" i="5"/>
  <c r="O128" i="5" s="1"/>
  <c r="P125" i="5"/>
  <c r="O125" i="5"/>
  <c r="P129" i="5"/>
  <c r="P124" i="5"/>
  <c r="O124" i="5"/>
  <c r="O129" i="5"/>
  <c r="O123" i="5"/>
  <c r="J129" i="5"/>
  <c r="J124" i="5"/>
  <c r="P122" i="5"/>
  <c r="J126" i="5"/>
  <c r="J128" i="5" s="1"/>
  <c r="J123" i="5"/>
  <c r="B54" i="3"/>
  <c r="B135" i="3"/>
  <c r="B133" i="3"/>
  <c r="B56" i="3"/>
  <c r="B134" i="3"/>
  <c r="B99" i="3"/>
  <c r="E122" i="3"/>
  <c r="B55" i="3"/>
  <c r="B57" i="3"/>
  <c r="B59" i="3" s="1"/>
  <c r="B64" i="3"/>
  <c r="B100" i="3"/>
  <c r="C54" i="3"/>
  <c r="C58" i="3"/>
  <c r="E126" i="3"/>
  <c r="E128" i="3" s="1"/>
  <c r="C55" i="3"/>
  <c r="B61" i="3"/>
  <c r="C56" i="3"/>
  <c r="C57" i="3"/>
  <c r="B58" i="3"/>
  <c r="E129" i="3"/>
  <c r="N61" i="7"/>
  <c r="N58" i="7"/>
  <c r="N57" i="7"/>
  <c r="N56" i="7"/>
  <c r="N55" i="7"/>
  <c r="N54" i="7"/>
  <c r="I129" i="7"/>
  <c r="I126" i="7"/>
  <c r="I125" i="7"/>
  <c r="I124" i="7"/>
  <c r="I123" i="7"/>
  <c r="I122" i="7"/>
  <c r="K60" i="7"/>
  <c r="K59" i="7"/>
  <c r="Q129" i="7"/>
  <c r="Q126" i="7"/>
  <c r="Q125" i="7"/>
  <c r="Q124" i="7"/>
  <c r="Q123" i="7"/>
  <c r="Q122" i="7"/>
  <c r="K95" i="7"/>
  <c r="K92" i="7"/>
  <c r="K91" i="7"/>
  <c r="K90" i="7"/>
  <c r="K89" i="7"/>
  <c r="K88" i="7"/>
  <c r="P129" i="7"/>
  <c r="P126" i="7"/>
  <c r="P125" i="7"/>
  <c r="P124" i="7"/>
  <c r="P123" i="7"/>
  <c r="P122" i="7"/>
  <c r="K54" i="7"/>
  <c r="J61" i="7"/>
  <c r="J58" i="7"/>
  <c r="J57" i="7"/>
  <c r="J56" i="7"/>
  <c r="J55" i="7"/>
  <c r="J54" i="7"/>
  <c r="H61" i="7"/>
  <c r="H58" i="7"/>
  <c r="H57" i="7"/>
  <c r="H56" i="7"/>
  <c r="H55" i="7"/>
  <c r="H54" i="7"/>
  <c r="O95" i="7"/>
  <c r="O92" i="7"/>
  <c r="O91" i="7"/>
  <c r="O90" i="7"/>
  <c r="O89" i="7"/>
  <c r="O88" i="7"/>
  <c r="J95" i="7"/>
  <c r="J92" i="7"/>
  <c r="J91" i="7"/>
  <c r="J90" i="7"/>
  <c r="J89" i="7"/>
  <c r="J88" i="7"/>
  <c r="P95" i="7"/>
  <c r="P92" i="7"/>
  <c r="P91" i="7"/>
  <c r="P90" i="7"/>
  <c r="P89" i="7"/>
  <c r="P88" i="7"/>
  <c r="O129" i="7"/>
  <c r="O126" i="7"/>
  <c r="O125" i="7"/>
  <c r="O124" i="7"/>
  <c r="O123" i="7"/>
  <c r="O122" i="7"/>
  <c r="N61" i="6"/>
  <c r="N58" i="6"/>
  <c r="N57" i="6"/>
  <c r="N56" i="6"/>
  <c r="N55" i="6"/>
  <c r="N54" i="6"/>
  <c r="P95" i="6"/>
  <c r="P92" i="6"/>
  <c r="P91" i="6"/>
  <c r="P90" i="6"/>
  <c r="P89" i="6"/>
  <c r="P88" i="6"/>
  <c r="Q129" i="6"/>
  <c r="Q126" i="6"/>
  <c r="Q125" i="6"/>
  <c r="Q124" i="6"/>
  <c r="Q123" i="6"/>
  <c r="Q122" i="6"/>
  <c r="O91" i="6"/>
  <c r="O92" i="6"/>
  <c r="O88" i="6"/>
  <c r="O90" i="6"/>
  <c r="O95" i="6"/>
  <c r="O89" i="6"/>
  <c r="K60" i="6"/>
  <c r="P129" i="6"/>
  <c r="P126" i="6"/>
  <c r="P125" i="6"/>
  <c r="P124" i="6"/>
  <c r="P123" i="6"/>
  <c r="P122" i="6"/>
  <c r="I122" i="6"/>
  <c r="I123" i="6"/>
  <c r="I124" i="6"/>
  <c r="I125" i="6"/>
  <c r="I126" i="6"/>
  <c r="I129" i="6"/>
  <c r="Q61" i="6"/>
  <c r="Q58" i="6"/>
  <c r="Q57" i="6"/>
  <c r="Q56" i="6"/>
  <c r="Q55" i="6"/>
  <c r="Q54" i="6"/>
  <c r="J61" i="6"/>
  <c r="J58" i="6"/>
  <c r="J57" i="6"/>
  <c r="J56" i="6"/>
  <c r="J55" i="6"/>
  <c r="J54" i="6"/>
  <c r="H61" i="6"/>
  <c r="H58" i="6"/>
  <c r="H57" i="6"/>
  <c r="H56" i="6"/>
  <c r="H55" i="6"/>
  <c r="H54" i="6"/>
  <c r="O61" i="6"/>
  <c r="O58" i="6"/>
  <c r="O57" i="6"/>
  <c r="O56" i="6"/>
  <c r="O55" i="6"/>
  <c r="O54" i="6"/>
  <c r="J95" i="6"/>
  <c r="J92" i="6"/>
  <c r="J91" i="6"/>
  <c r="J90" i="6"/>
  <c r="J89" i="6"/>
  <c r="J88" i="6"/>
  <c r="K95" i="6"/>
  <c r="K92" i="6"/>
  <c r="K91" i="6"/>
  <c r="K90" i="6"/>
  <c r="K89" i="6"/>
  <c r="K88" i="6"/>
  <c r="O129" i="6"/>
  <c r="O126" i="6"/>
  <c r="O125" i="6"/>
  <c r="O124" i="6"/>
  <c r="O123" i="6"/>
  <c r="O122" i="6"/>
  <c r="I61" i="6"/>
  <c r="I58" i="6"/>
  <c r="I57" i="6"/>
  <c r="I56" i="6"/>
  <c r="I55" i="6"/>
  <c r="I54" i="6"/>
  <c r="O61" i="5"/>
  <c r="O58" i="5"/>
  <c r="O57" i="5"/>
  <c r="O56" i="5"/>
  <c r="O55" i="5"/>
  <c r="O54" i="5"/>
  <c r="J61" i="5"/>
  <c r="J58" i="5"/>
  <c r="J57" i="5"/>
  <c r="J56" i="5"/>
  <c r="J55" i="5"/>
  <c r="J54" i="5"/>
  <c r="P92" i="5"/>
  <c r="P88" i="5"/>
  <c r="P89" i="5"/>
  <c r="P91" i="5"/>
  <c r="P95" i="5"/>
  <c r="P90" i="5"/>
  <c r="J95" i="5"/>
  <c r="J92" i="5"/>
  <c r="J91" i="5"/>
  <c r="J90" i="5"/>
  <c r="J89" i="5"/>
  <c r="J88" i="5"/>
  <c r="K123" i="5"/>
  <c r="K125" i="5"/>
  <c r="K124" i="5"/>
  <c r="K122" i="5"/>
  <c r="K126" i="5"/>
  <c r="K129" i="5"/>
  <c r="P61" i="5"/>
  <c r="P58" i="5"/>
  <c r="P57" i="5"/>
  <c r="P56" i="5"/>
  <c r="P55" i="5"/>
  <c r="P54" i="5"/>
  <c r="J122" i="5"/>
  <c r="I129" i="5"/>
  <c r="I126" i="5"/>
  <c r="I125" i="5"/>
  <c r="I124" i="5"/>
  <c r="I123" i="5"/>
  <c r="I122" i="5"/>
  <c r="Q61" i="5"/>
  <c r="Q58" i="5"/>
  <c r="Q57" i="5"/>
  <c r="Q56" i="5"/>
  <c r="Q55" i="5"/>
  <c r="Q54" i="5"/>
  <c r="K95" i="5"/>
  <c r="K92" i="5"/>
  <c r="K91" i="5"/>
  <c r="K90" i="5"/>
  <c r="K89" i="5"/>
  <c r="K88" i="5"/>
  <c r="Q129" i="5"/>
  <c r="Q126" i="5"/>
  <c r="Q125" i="5"/>
  <c r="Q124" i="5"/>
  <c r="Q123" i="5"/>
  <c r="Q122" i="5"/>
  <c r="O95" i="5"/>
  <c r="O92" i="5"/>
  <c r="O91" i="5"/>
  <c r="O90" i="5"/>
  <c r="O89" i="5"/>
  <c r="O88" i="5"/>
  <c r="N61" i="5"/>
  <c r="N58" i="5"/>
  <c r="N57" i="5"/>
  <c r="N56" i="5"/>
  <c r="N55" i="5"/>
  <c r="N54" i="5"/>
  <c r="H61" i="5"/>
  <c r="H58" i="5"/>
  <c r="H57" i="5"/>
  <c r="H56" i="5"/>
  <c r="H55" i="5"/>
  <c r="H54" i="5"/>
  <c r="I95" i="5"/>
  <c r="I92" i="5"/>
  <c r="I91" i="5"/>
  <c r="I90" i="5"/>
  <c r="I89" i="5"/>
  <c r="I88" i="5"/>
  <c r="Q92" i="5"/>
  <c r="Q95" i="5"/>
  <c r="Q88" i="5"/>
  <c r="Q89" i="5"/>
  <c r="Q90" i="5"/>
  <c r="Q91" i="5"/>
  <c r="K61" i="5"/>
  <c r="K58" i="5"/>
  <c r="K57" i="5"/>
  <c r="K56" i="5"/>
  <c r="K55" i="5"/>
  <c r="K54" i="5"/>
  <c r="I61" i="5"/>
  <c r="I58" i="5"/>
  <c r="I57" i="5"/>
  <c r="I56" i="5"/>
  <c r="I55" i="5"/>
  <c r="I54" i="5"/>
  <c r="I129" i="4"/>
  <c r="I126" i="4"/>
  <c r="I125" i="4"/>
  <c r="I122" i="4"/>
  <c r="I123" i="4"/>
  <c r="I124" i="4"/>
  <c r="K95" i="4"/>
  <c r="K92" i="4"/>
  <c r="K91" i="4"/>
  <c r="K90" i="4"/>
  <c r="K89" i="4"/>
  <c r="K88" i="4"/>
  <c r="I95" i="4"/>
  <c r="I92" i="4"/>
  <c r="I91" i="4"/>
  <c r="I90" i="4"/>
  <c r="I89" i="4"/>
  <c r="I88" i="4"/>
  <c r="J61" i="4"/>
  <c r="J58" i="4"/>
  <c r="J57" i="4"/>
  <c r="J56" i="4"/>
  <c r="J55" i="4"/>
  <c r="J54" i="4"/>
  <c r="I61" i="4"/>
  <c r="I58" i="4"/>
  <c r="I57" i="4"/>
  <c r="I56" i="4"/>
  <c r="I55" i="4"/>
  <c r="I54" i="4"/>
  <c r="Q61" i="4"/>
  <c r="Q58" i="4"/>
  <c r="Q57" i="4"/>
  <c r="Q56" i="4"/>
  <c r="Q55" i="4"/>
  <c r="Q54" i="4"/>
  <c r="O61" i="4"/>
  <c r="O58" i="4"/>
  <c r="O57" i="4"/>
  <c r="O56" i="4"/>
  <c r="O55" i="4"/>
  <c r="O54" i="4"/>
  <c r="J95" i="4"/>
  <c r="J92" i="4"/>
  <c r="J91" i="4"/>
  <c r="J90" i="4"/>
  <c r="J89" i="4"/>
  <c r="J88" i="4"/>
  <c r="K61" i="4"/>
  <c r="K58" i="4"/>
  <c r="K57" i="4"/>
  <c r="K56" i="4"/>
  <c r="K55" i="4"/>
  <c r="K54" i="4"/>
  <c r="P91" i="4"/>
  <c r="P89" i="4"/>
  <c r="P88" i="4"/>
  <c r="P92" i="4"/>
  <c r="P90" i="4"/>
  <c r="P95" i="4"/>
  <c r="Q129" i="4"/>
  <c r="Q126" i="4"/>
  <c r="Q125" i="4"/>
  <c r="Q124" i="4"/>
  <c r="Q123" i="4"/>
  <c r="Q122" i="4"/>
  <c r="K128" i="4"/>
  <c r="K127" i="4"/>
  <c r="P129" i="4"/>
  <c r="P126" i="4"/>
  <c r="P125" i="4"/>
  <c r="P124" i="4"/>
  <c r="P123" i="4"/>
  <c r="P122" i="4"/>
  <c r="H61" i="4"/>
  <c r="H58" i="4"/>
  <c r="H57" i="4"/>
  <c r="H56" i="4"/>
  <c r="H55" i="4"/>
  <c r="H54" i="4"/>
  <c r="O89" i="4"/>
  <c r="O95" i="4"/>
  <c r="O88" i="4"/>
  <c r="O92" i="4"/>
  <c r="O90" i="4"/>
  <c r="O91" i="4"/>
  <c r="O128" i="4"/>
  <c r="O127" i="4"/>
  <c r="C129" i="3"/>
  <c r="C126" i="3"/>
  <c r="C125" i="3"/>
  <c r="C124" i="3"/>
  <c r="C123" i="3"/>
  <c r="C122" i="3"/>
  <c r="J95" i="3"/>
  <c r="J92" i="3"/>
  <c r="J91" i="3"/>
  <c r="J90" i="3"/>
  <c r="J89" i="3"/>
  <c r="J88" i="3"/>
  <c r="Q61" i="3"/>
  <c r="Q58" i="3"/>
  <c r="Q57" i="3"/>
  <c r="Q56" i="3"/>
  <c r="Q55" i="3"/>
  <c r="Q54" i="3"/>
  <c r="I61" i="3"/>
  <c r="I58" i="3"/>
  <c r="I57" i="3"/>
  <c r="I56" i="3"/>
  <c r="I55" i="3"/>
  <c r="I54" i="3"/>
  <c r="O129" i="3"/>
  <c r="O126" i="3"/>
  <c r="O125" i="3"/>
  <c r="O124" i="3"/>
  <c r="O123" i="3"/>
  <c r="O122" i="3"/>
  <c r="J61" i="3"/>
  <c r="J58" i="3"/>
  <c r="J57" i="3"/>
  <c r="J56" i="3"/>
  <c r="J55" i="3"/>
  <c r="J54" i="3"/>
  <c r="I123" i="3"/>
  <c r="I124" i="3"/>
  <c r="I122" i="3"/>
  <c r="I126" i="3"/>
  <c r="I125" i="3"/>
  <c r="I129" i="3"/>
  <c r="K95" i="3"/>
  <c r="K92" i="3"/>
  <c r="K91" i="3"/>
  <c r="K90" i="3"/>
  <c r="K89" i="3"/>
  <c r="K88" i="3"/>
  <c r="Q129" i="3"/>
  <c r="Q126" i="3"/>
  <c r="Q125" i="3"/>
  <c r="Q124" i="3"/>
  <c r="Q123" i="3"/>
  <c r="Q122" i="3"/>
  <c r="P129" i="3"/>
  <c r="P126" i="3"/>
  <c r="P125" i="3"/>
  <c r="P124" i="3"/>
  <c r="P123" i="3"/>
  <c r="P122" i="3"/>
  <c r="D61" i="3"/>
  <c r="D58" i="3"/>
  <c r="D57" i="3"/>
  <c r="D56" i="3"/>
  <c r="D55" i="3"/>
  <c r="D54" i="3"/>
  <c r="K128" i="3"/>
  <c r="K127" i="3"/>
  <c r="C95" i="3"/>
  <c r="C92" i="3"/>
  <c r="C91" i="3"/>
  <c r="C90" i="3"/>
  <c r="C89" i="3"/>
  <c r="C88" i="3"/>
  <c r="B67" i="3"/>
  <c r="E61" i="3"/>
  <c r="E58" i="3"/>
  <c r="E57" i="3"/>
  <c r="E56" i="3"/>
  <c r="E55" i="3"/>
  <c r="E54" i="3"/>
  <c r="N61" i="3"/>
  <c r="N58" i="3"/>
  <c r="N57" i="3"/>
  <c r="N56" i="3"/>
  <c r="N55" i="3"/>
  <c r="N54" i="3"/>
  <c r="Q94" i="3"/>
  <c r="O61" i="3"/>
  <c r="O58" i="3"/>
  <c r="O57" i="3"/>
  <c r="O56" i="3"/>
  <c r="O55" i="3"/>
  <c r="O54" i="3"/>
  <c r="D95" i="3"/>
  <c r="D92" i="3"/>
  <c r="D91" i="3"/>
  <c r="D90" i="3"/>
  <c r="D89" i="3"/>
  <c r="D88" i="3"/>
  <c r="B66" i="3"/>
  <c r="P95" i="3"/>
  <c r="P92" i="3"/>
  <c r="P91" i="3"/>
  <c r="P90" i="3"/>
  <c r="P89" i="3"/>
  <c r="P88" i="3"/>
  <c r="H61" i="3"/>
  <c r="H58" i="3"/>
  <c r="H57" i="3"/>
  <c r="H56" i="3"/>
  <c r="H55" i="3"/>
  <c r="H54" i="3"/>
  <c r="O92" i="3"/>
  <c r="O90" i="3"/>
  <c r="O91" i="3"/>
  <c r="O88" i="3"/>
  <c r="O95" i="3"/>
  <c r="O89" i="3"/>
  <c r="D129" i="3"/>
  <c r="D126" i="3"/>
  <c r="D125" i="3"/>
  <c r="D124" i="3"/>
  <c r="D123" i="3"/>
  <c r="D122" i="3"/>
  <c r="E95" i="3"/>
  <c r="E92" i="3"/>
  <c r="E91" i="3"/>
  <c r="E90" i="3"/>
  <c r="E89" i="3"/>
  <c r="E88" i="3"/>
  <c r="P95" i="2"/>
  <c r="P92" i="2"/>
  <c r="P91" i="2"/>
  <c r="P90" i="2"/>
  <c r="P89" i="2"/>
  <c r="P88" i="2"/>
  <c r="I61" i="2"/>
  <c r="I58" i="2"/>
  <c r="I57" i="2"/>
  <c r="I56" i="2"/>
  <c r="I55" i="2"/>
  <c r="I54" i="2"/>
  <c r="O129" i="2"/>
  <c r="O126" i="2"/>
  <c r="O125" i="2"/>
  <c r="O124" i="2"/>
  <c r="O123" i="2"/>
  <c r="O122" i="2"/>
  <c r="O95" i="2"/>
  <c r="O92" i="2"/>
  <c r="O91" i="2"/>
  <c r="O90" i="2"/>
  <c r="O89" i="2"/>
  <c r="O88" i="2"/>
  <c r="I129" i="2"/>
  <c r="I126" i="2"/>
  <c r="I125" i="2"/>
  <c r="I124" i="2"/>
  <c r="I123" i="2"/>
  <c r="I122" i="2"/>
  <c r="Q61" i="2"/>
  <c r="Q58" i="2"/>
  <c r="Q57" i="2"/>
  <c r="Q56" i="2"/>
  <c r="Q55" i="2"/>
  <c r="Q54" i="2"/>
  <c r="H54" i="2"/>
  <c r="H57" i="2"/>
  <c r="H55" i="2"/>
  <c r="H61" i="2"/>
  <c r="H58" i="2"/>
  <c r="H56" i="2"/>
  <c r="J95" i="2"/>
  <c r="J92" i="2"/>
  <c r="J91" i="2"/>
  <c r="J90" i="2"/>
  <c r="J89" i="2"/>
  <c r="J88" i="2"/>
  <c r="Q127" i="2"/>
  <c r="K61" i="2"/>
  <c r="K58" i="2"/>
  <c r="K57" i="2"/>
  <c r="K56" i="2"/>
  <c r="K55" i="2"/>
  <c r="K54" i="2"/>
  <c r="K95" i="2"/>
  <c r="K92" i="2"/>
  <c r="K91" i="2"/>
  <c r="K90" i="2"/>
  <c r="K89" i="2"/>
  <c r="K88" i="2"/>
  <c r="J61" i="2"/>
  <c r="J58" i="2"/>
  <c r="J57" i="2"/>
  <c r="J56" i="2"/>
  <c r="J55" i="2"/>
  <c r="J54" i="2"/>
  <c r="I95" i="2"/>
  <c r="I92" i="2"/>
  <c r="I91" i="2"/>
  <c r="I90" i="2"/>
  <c r="I89" i="2"/>
  <c r="I88" i="2"/>
  <c r="N61" i="2"/>
  <c r="N58" i="2"/>
  <c r="N57" i="2"/>
  <c r="N56" i="2"/>
  <c r="N55" i="2"/>
  <c r="N54" i="2"/>
  <c r="P129" i="2"/>
  <c r="P126" i="2"/>
  <c r="P125" i="2"/>
  <c r="P124" i="2"/>
  <c r="P123" i="2"/>
  <c r="P122" i="2"/>
  <c r="P61" i="2"/>
  <c r="P58" i="2"/>
  <c r="P57" i="2"/>
  <c r="P56" i="2"/>
  <c r="P55" i="2"/>
  <c r="P54" i="2"/>
  <c r="O61" i="2"/>
  <c r="O58" i="2"/>
  <c r="O57" i="2"/>
  <c r="O56" i="2"/>
  <c r="O55" i="2"/>
  <c r="O54" i="2"/>
  <c r="K129" i="2"/>
  <c r="K126" i="2"/>
  <c r="K125" i="2"/>
  <c r="K124" i="2"/>
  <c r="K123" i="2"/>
  <c r="K122" i="2"/>
  <c r="Q94" i="1"/>
  <c r="Q126" i="1"/>
  <c r="Q129" i="1"/>
  <c r="H58" i="1"/>
  <c r="Q124" i="1"/>
  <c r="Q123" i="1"/>
  <c r="H57" i="1"/>
  <c r="H60" i="1" s="1"/>
  <c r="H55" i="1"/>
  <c r="I124" i="1"/>
  <c r="Q125" i="1"/>
  <c r="O129" i="1"/>
  <c r="O126" i="1"/>
  <c r="O123" i="1"/>
  <c r="O125" i="1"/>
  <c r="O122" i="1"/>
  <c r="O124" i="1"/>
  <c r="Q122" i="1"/>
  <c r="N56" i="1"/>
  <c r="N61" i="1"/>
  <c r="N58" i="1"/>
  <c r="N55" i="1"/>
  <c r="N57" i="1"/>
  <c r="N54" i="1"/>
  <c r="P129" i="1"/>
  <c r="P126" i="1"/>
  <c r="P123" i="1"/>
  <c r="P125" i="1"/>
  <c r="P122" i="1"/>
  <c r="P124" i="1"/>
  <c r="I129" i="1"/>
  <c r="H61" i="1"/>
  <c r="I126" i="1"/>
  <c r="I123" i="1"/>
  <c r="H54" i="1"/>
  <c r="H56" i="1"/>
  <c r="I122" i="1"/>
  <c r="K125" i="1"/>
  <c r="K122" i="1"/>
  <c r="K129" i="1"/>
  <c r="K126" i="1"/>
  <c r="K123" i="1"/>
  <c r="K124" i="1"/>
  <c r="J125" i="1"/>
  <c r="J122" i="1"/>
  <c r="J129" i="1"/>
  <c r="J126" i="1"/>
  <c r="J123" i="1"/>
  <c r="J124" i="1"/>
  <c r="I125" i="1"/>
  <c r="P60" i="7" l="1"/>
  <c r="P60" i="6"/>
  <c r="N60" i="4"/>
  <c r="J128" i="2"/>
  <c r="Q128" i="2"/>
  <c r="I93" i="7"/>
  <c r="I59" i="7"/>
  <c r="K127" i="6"/>
  <c r="J127" i="6"/>
  <c r="P127" i="5"/>
  <c r="O127" i="5"/>
  <c r="J128" i="4"/>
  <c r="P60" i="4"/>
  <c r="O93" i="1"/>
  <c r="J127" i="3"/>
  <c r="P60" i="3"/>
  <c r="K59" i="3"/>
  <c r="O59" i="7"/>
  <c r="Q94" i="6"/>
  <c r="Q93" i="4"/>
  <c r="Q94" i="2"/>
  <c r="Q59" i="7"/>
  <c r="P59" i="7"/>
  <c r="Q93" i="7"/>
  <c r="O60" i="7"/>
  <c r="P94" i="1"/>
  <c r="P93" i="1"/>
  <c r="Q93" i="1"/>
  <c r="O94" i="1"/>
  <c r="J128" i="7"/>
  <c r="K128" i="7"/>
  <c r="I93" i="6"/>
  <c r="K60" i="3"/>
  <c r="I94" i="3"/>
  <c r="J127" i="2"/>
  <c r="J59" i="1"/>
  <c r="K127" i="7"/>
  <c r="J127" i="7"/>
  <c r="P59" i="6"/>
  <c r="I59" i="1"/>
  <c r="I60" i="1"/>
  <c r="J93" i="1"/>
  <c r="J94" i="1"/>
  <c r="I93" i="1"/>
  <c r="I94" i="1"/>
  <c r="P60" i="1"/>
  <c r="P59" i="1"/>
  <c r="O60" i="1"/>
  <c r="O59" i="1"/>
  <c r="Q60" i="1"/>
  <c r="Q59" i="1"/>
  <c r="H59" i="1"/>
  <c r="K60" i="1"/>
  <c r="K59" i="1"/>
  <c r="K94" i="1"/>
  <c r="K93" i="1"/>
  <c r="J127" i="5"/>
  <c r="C60" i="3"/>
  <c r="B60" i="3"/>
  <c r="E127" i="3"/>
  <c r="C59" i="3"/>
  <c r="P94" i="7"/>
  <c r="P93" i="7"/>
  <c r="J94" i="7"/>
  <c r="J93" i="7"/>
  <c r="K94" i="7"/>
  <c r="K93" i="7"/>
  <c r="J60" i="7"/>
  <c r="J59" i="7"/>
  <c r="P128" i="7"/>
  <c r="P127" i="7"/>
  <c r="I128" i="7"/>
  <c r="I127" i="7"/>
  <c r="H60" i="7"/>
  <c r="H59" i="7"/>
  <c r="O128" i="7"/>
  <c r="O127" i="7"/>
  <c r="N60" i="7"/>
  <c r="N59" i="7"/>
  <c r="Q128" i="7"/>
  <c r="Q127" i="7"/>
  <c r="O94" i="7"/>
  <c r="O93" i="7"/>
  <c r="I60" i="6"/>
  <c r="I59" i="6"/>
  <c r="K94" i="6"/>
  <c r="K93" i="6"/>
  <c r="I127" i="6"/>
  <c r="I128" i="6"/>
  <c r="J60" i="6"/>
  <c r="J59" i="6"/>
  <c r="Q128" i="6"/>
  <c r="Q127" i="6"/>
  <c r="O60" i="6"/>
  <c r="O59" i="6"/>
  <c r="P128" i="6"/>
  <c r="P127" i="6"/>
  <c r="O128" i="6"/>
  <c r="O127" i="6"/>
  <c r="J94" i="6"/>
  <c r="J93" i="6"/>
  <c r="Q60" i="6"/>
  <c r="Q59" i="6"/>
  <c r="P94" i="6"/>
  <c r="P93" i="6"/>
  <c r="N60" i="6"/>
  <c r="N59" i="6"/>
  <c r="H60" i="6"/>
  <c r="H59" i="6"/>
  <c r="O94" i="6"/>
  <c r="O93" i="6"/>
  <c r="K60" i="5"/>
  <c r="K59" i="5"/>
  <c r="I94" i="5"/>
  <c r="I93" i="5"/>
  <c r="O94" i="5"/>
  <c r="O93" i="5"/>
  <c r="K94" i="5"/>
  <c r="K93" i="5"/>
  <c r="I128" i="5"/>
  <c r="I127" i="5"/>
  <c r="J94" i="5"/>
  <c r="J93" i="5"/>
  <c r="Q94" i="5"/>
  <c r="Q93" i="5"/>
  <c r="P60" i="5"/>
  <c r="P59" i="5"/>
  <c r="K127" i="5"/>
  <c r="K128" i="5"/>
  <c r="I60" i="5"/>
  <c r="I59" i="5"/>
  <c r="H60" i="5"/>
  <c r="H59" i="5"/>
  <c r="N60" i="5"/>
  <c r="N59" i="5"/>
  <c r="Q128" i="5"/>
  <c r="Q127" i="5"/>
  <c r="O60" i="5"/>
  <c r="O59" i="5"/>
  <c r="P94" i="5"/>
  <c r="P93" i="5"/>
  <c r="Q60" i="5"/>
  <c r="Q59" i="5"/>
  <c r="J60" i="5"/>
  <c r="J59" i="5"/>
  <c r="H60" i="4"/>
  <c r="H59" i="4"/>
  <c r="K94" i="4"/>
  <c r="K93" i="4"/>
  <c r="O93" i="4"/>
  <c r="O94" i="4"/>
  <c r="Q128" i="4"/>
  <c r="Q127" i="4"/>
  <c r="K60" i="4"/>
  <c r="K59" i="4"/>
  <c r="O60" i="4"/>
  <c r="O59" i="4"/>
  <c r="I60" i="4"/>
  <c r="I59" i="4"/>
  <c r="J60" i="4"/>
  <c r="J59" i="4"/>
  <c r="I94" i="4"/>
  <c r="I93" i="4"/>
  <c r="P128" i="4"/>
  <c r="P127" i="4"/>
  <c r="I127" i="4"/>
  <c r="I128" i="4"/>
  <c r="P93" i="4"/>
  <c r="P94" i="4"/>
  <c r="J94" i="4"/>
  <c r="J93" i="4"/>
  <c r="Q60" i="4"/>
  <c r="Q59" i="4"/>
  <c r="J94" i="3"/>
  <c r="J93" i="3"/>
  <c r="D94" i="3"/>
  <c r="D93" i="3"/>
  <c r="O93" i="3"/>
  <c r="O94" i="3"/>
  <c r="I127" i="3"/>
  <c r="I128" i="3"/>
  <c r="E60" i="3"/>
  <c r="E59" i="3"/>
  <c r="E94" i="3"/>
  <c r="E93" i="3"/>
  <c r="D60" i="3"/>
  <c r="D59" i="3"/>
  <c r="Q128" i="3"/>
  <c r="Q127" i="3"/>
  <c r="O128" i="3"/>
  <c r="O127" i="3"/>
  <c r="N60" i="3"/>
  <c r="N59" i="3"/>
  <c r="P94" i="3"/>
  <c r="P93" i="3"/>
  <c r="C94" i="3"/>
  <c r="C93" i="3"/>
  <c r="Q60" i="3"/>
  <c r="Q59" i="3"/>
  <c r="O60" i="3"/>
  <c r="O59" i="3"/>
  <c r="D128" i="3"/>
  <c r="D127" i="3"/>
  <c r="C128" i="3"/>
  <c r="C127" i="3"/>
  <c r="H60" i="3"/>
  <c r="H59" i="3"/>
  <c r="P128" i="3"/>
  <c r="P127" i="3"/>
  <c r="K94" i="3"/>
  <c r="K93" i="3"/>
  <c r="J60" i="3"/>
  <c r="J59" i="3"/>
  <c r="I60" i="3"/>
  <c r="I59" i="3"/>
  <c r="I94" i="2"/>
  <c r="I93" i="2"/>
  <c r="K60" i="2"/>
  <c r="K59" i="2"/>
  <c r="J60" i="2"/>
  <c r="J59" i="2"/>
  <c r="I128" i="2"/>
  <c r="I127" i="2"/>
  <c r="O128" i="2"/>
  <c r="O127" i="2"/>
  <c r="O60" i="2"/>
  <c r="O59" i="2"/>
  <c r="K128" i="2"/>
  <c r="K127" i="2"/>
  <c r="P60" i="2"/>
  <c r="P59" i="2"/>
  <c r="N60" i="2"/>
  <c r="N59" i="2"/>
  <c r="K94" i="2"/>
  <c r="K93" i="2"/>
  <c r="J94" i="2"/>
  <c r="J93" i="2"/>
  <c r="Q60" i="2"/>
  <c r="Q59" i="2"/>
  <c r="O94" i="2"/>
  <c r="O93" i="2"/>
  <c r="I60" i="2"/>
  <c r="I59" i="2"/>
  <c r="P94" i="2"/>
  <c r="P93" i="2"/>
  <c r="P128" i="2"/>
  <c r="P127" i="2"/>
  <c r="H60" i="2"/>
  <c r="H59" i="2"/>
  <c r="O128" i="1"/>
  <c r="O127" i="1"/>
  <c r="N59" i="1"/>
  <c r="N60" i="1"/>
  <c r="Q128" i="1"/>
  <c r="Q127" i="1"/>
  <c r="P128" i="1"/>
  <c r="P127" i="1"/>
  <c r="J128" i="1"/>
  <c r="J127" i="1"/>
  <c r="I128" i="1"/>
  <c r="I127" i="1"/>
  <c r="K128" i="1"/>
  <c r="K127" i="1"/>
</calcChain>
</file>

<file path=xl/sharedStrings.xml><?xml version="1.0" encoding="utf-8"?>
<sst xmlns="http://schemas.openxmlformats.org/spreadsheetml/2006/main" count="6962" uniqueCount="66">
  <si>
    <t>values</t>
  </si>
  <si>
    <t>Day 0</t>
  </si>
  <si>
    <t>Day 7</t>
  </si>
  <si>
    <t>Day 14</t>
  </si>
  <si>
    <t>Day 21</t>
  </si>
  <si>
    <t>A</t>
  </si>
  <si>
    <t/>
  </si>
  <si>
    <t>B</t>
  </si>
  <si>
    <t>C</t>
  </si>
  <si>
    <t>D</t>
  </si>
  <si>
    <t>E</t>
  </si>
  <si>
    <t>F</t>
  </si>
  <si>
    <t>G</t>
  </si>
  <si>
    <t>H</t>
  </si>
  <si>
    <t>Count</t>
  </si>
  <si>
    <t>Max</t>
  </si>
  <si>
    <t>Min</t>
  </si>
  <si>
    <t>Average</t>
  </si>
  <si>
    <t>Std</t>
  </si>
  <si>
    <t>Upper 2SD</t>
  </si>
  <si>
    <t>Lower 2SD</t>
  </si>
  <si>
    <t>Variance</t>
  </si>
  <si>
    <t>B6 v MRL</t>
  </si>
  <si>
    <t>avg MRL 1 +2</t>
  </si>
  <si>
    <t>avg MRL 4 +5</t>
  </si>
  <si>
    <t>Percent Cleared</t>
  </si>
  <si>
    <t>Percent Cleared from previous time point</t>
  </si>
  <si>
    <t>Rate Change previous time point</t>
  </si>
  <si>
    <t>Outliers removed</t>
  </si>
  <si>
    <t>2mJ</t>
  </si>
  <si>
    <t>5mJ</t>
  </si>
  <si>
    <t>10mJ</t>
  </si>
  <si>
    <t>uninjured Day 0</t>
  </si>
  <si>
    <t>CHP</t>
  </si>
  <si>
    <t>SHG</t>
  </si>
  <si>
    <t>Day0</t>
  </si>
  <si>
    <t>Cleared or closed</t>
  </si>
  <si>
    <t>Greater than 50% cleared and closed</t>
  </si>
  <si>
    <t>Notes</t>
  </si>
  <si>
    <t>no CHP but small hole remains</t>
  </si>
  <si>
    <t>no SHG image</t>
  </si>
  <si>
    <t>Degraded</t>
  </si>
  <si>
    <t>Closed</t>
  </si>
  <si>
    <t xml:space="preserve">Cleared </t>
  </si>
  <si>
    <t>Cleared and closed</t>
  </si>
  <si>
    <t>Greater than 75% cleared and closed</t>
  </si>
  <si>
    <t>Greater than 90% cleared and closed</t>
  </si>
  <si>
    <t>Percent Closed</t>
  </si>
  <si>
    <t>Day 6</t>
  </si>
  <si>
    <t>Day 20</t>
  </si>
  <si>
    <t>Days</t>
  </si>
  <si>
    <t>Mean</t>
  </si>
  <si>
    <t>N</t>
  </si>
  <si>
    <t>% cleared volume</t>
  </si>
  <si>
    <t>%clear ROI sum intensity</t>
  </si>
  <si>
    <t>Cells in ROI</t>
  </si>
  <si>
    <t>Nuclear Area</t>
  </si>
  <si>
    <t>% Closure (SHG)</t>
  </si>
  <si>
    <t>Cell values</t>
  </si>
  <si>
    <t>Rate clearance Volme</t>
  </si>
  <si>
    <t>cells</t>
  </si>
  <si>
    <t>Clearance Volume</t>
  </si>
  <si>
    <t>2 mJ</t>
  </si>
  <si>
    <t>5 mJ</t>
  </si>
  <si>
    <t>10 mJ</t>
  </si>
  <si>
    <t>otlier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</si>
</sst>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5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5720034995625547E-2"/>
                  <c:y val="-0.257320282881306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'CHP v SHG Volume'!$P$3:$P$26</c:f>
              <c:numCache>
                <c:formatCode>General</c:formatCode>
                <c:ptCount val="24"/>
                <c:pt idx="0">
                  <c:v>96133.766555786104</c:v>
                </c:pt>
                <c:pt idx="1">
                  <c:v>82930.819702148394</c:v>
                </c:pt>
                <c:pt idx="2">
                  <c:v>69740.0470733642</c:v>
                </c:pt>
                <c:pt idx="3">
                  <c:v>109184.535598755</c:v>
                </c:pt>
                <c:pt idx="4">
                  <c:v>42646.309661865198</c:v>
                </c:pt>
                <c:pt idx="5">
                  <c:v>22631.8840026855</c:v>
                </c:pt>
                <c:pt idx="6">
                  <c:v>34282.6171875</c:v>
                </c:pt>
                <c:pt idx="7">
                  <c:v>9173.2784271240198</c:v>
                </c:pt>
                <c:pt idx="8">
                  <c:v>166671.22535705601</c:v>
                </c:pt>
                <c:pt idx="9">
                  <c:v>266049.422836304</c:v>
                </c:pt>
                <c:pt idx="10">
                  <c:v>436744.229507446</c:v>
                </c:pt>
                <c:pt idx="11">
                  <c:v>276348.81706237799</c:v>
                </c:pt>
                <c:pt idx="12">
                  <c:v>161491.092681885</c:v>
                </c:pt>
                <c:pt idx="13">
                  <c:v>93589.353561401396</c:v>
                </c:pt>
                <c:pt idx="14">
                  <c:v>76703.703689575195</c:v>
                </c:pt>
                <c:pt idx="15">
                  <c:v>76728.052139282197</c:v>
                </c:pt>
                <c:pt idx="16">
                  <c:v>281096.76475524902</c:v>
                </c:pt>
                <c:pt idx="17">
                  <c:v>278412.348175049</c:v>
                </c:pt>
                <c:pt idx="18">
                  <c:v>353722.10311889602</c:v>
                </c:pt>
                <c:pt idx="19">
                  <c:v>373146.07887268101</c:v>
                </c:pt>
                <c:pt idx="20">
                  <c:v>74634.085464477495</c:v>
                </c:pt>
                <c:pt idx="21">
                  <c:v>176928.00979614299</c:v>
                </c:pt>
                <c:pt idx="22">
                  <c:v>121711.812973022</c:v>
                </c:pt>
                <c:pt idx="23">
                  <c:v>214966.375350952</c:v>
                </c:pt>
              </c:numCache>
            </c:numRef>
          </c:xVal>
          <c:yVal>
            <c:numRef>
              <c:f>'CHP v SHG Volume'!$Q$3:$Q$26</c:f>
              <c:numCache>
                <c:formatCode>General</c:formatCode>
                <c:ptCount val="24"/>
                <c:pt idx="0">
                  <c:v>212219.72806954099</c:v>
                </c:pt>
                <c:pt idx="1">
                  <c:v>174373.541937934</c:v>
                </c:pt>
                <c:pt idx="2">
                  <c:v>135887.38382598499</c:v>
                </c:pt>
                <c:pt idx="3">
                  <c:v>58064.908745847999</c:v>
                </c:pt>
                <c:pt idx="4">
                  <c:v>157975.82850044101</c:v>
                </c:pt>
                <c:pt idx="5">
                  <c:v>130704.865632234</c:v>
                </c:pt>
                <c:pt idx="6">
                  <c:v>71959.202377884401</c:v>
                </c:pt>
                <c:pt idx="7">
                  <c:v>6983.2236678511899</c:v>
                </c:pt>
                <c:pt idx="8">
                  <c:v>340703.51447588101</c:v>
                </c:pt>
                <c:pt idx="9">
                  <c:v>230857.34343823101</c:v>
                </c:pt>
                <c:pt idx="10">
                  <c:v>429333.35951816803</c:v>
                </c:pt>
                <c:pt idx="11">
                  <c:v>465281.58953160403</c:v>
                </c:pt>
                <c:pt idx="12">
                  <c:v>166088.41448654301</c:v>
                </c:pt>
                <c:pt idx="13">
                  <c:v>217104.22009597599</c:v>
                </c:pt>
                <c:pt idx="14">
                  <c:v>270017.981823579</c:v>
                </c:pt>
                <c:pt idx="15">
                  <c:v>112355.86507820799</c:v>
                </c:pt>
                <c:pt idx="16">
                  <c:v>302713.02093694202</c:v>
                </c:pt>
                <c:pt idx="17">
                  <c:v>330410.63179204502</c:v>
                </c:pt>
                <c:pt idx="18">
                  <c:v>818862.97155309503</c:v>
                </c:pt>
                <c:pt idx="19">
                  <c:v>622968.80321738101</c:v>
                </c:pt>
                <c:pt idx="20">
                  <c:v>522800.63982362999</c:v>
                </c:pt>
                <c:pt idx="21">
                  <c:v>286723.13278103998</c:v>
                </c:pt>
                <c:pt idx="22">
                  <c:v>158706.77688975399</c:v>
                </c:pt>
                <c:pt idx="23">
                  <c:v>276135.361047438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D-48B4-B14D-C041E1360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375768"/>
        <c:axId val="579377568"/>
      </c:scatterChart>
      <c:valAx>
        <c:axId val="579375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CHP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377568"/>
        <c:crosses val="autoZero"/>
        <c:crossBetween val="midCat"/>
      </c:valAx>
      <c:valAx>
        <c:axId val="57937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SHG</a:t>
                </a:r>
                <a:r>
                  <a:rPr lang="en-US" baseline="0"/>
                  <a:t> Volume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375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5720034995625547E-2"/>
                  <c:y val="-0.257320282881306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'CHP v SHG Volume'!$P$30:$P$49</c:f>
              <c:numCache>
                <c:formatCode>General</c:formatCode>
                <c:ptCount val="20"/>
                <c:pt idx="0">
                  <c:v>0</c:v>
                </c:pt>
                <c:pt idx="1">
                  <c:v>66233.8703155517</c:v>
                </c:pt>
                <c:pt idx="2">
                  <c:v>9873.2963562011701</c:v>
                </c:pt>
                <c:pt idx="3">
                  <c:v>4875.7770538330096</c:v>
                </c:pt>
                <c:pt idx="4">
                  <c:v>5898.4119415283203</c:v>
                </c:pt>
                <c:pt idx="5">
                  <c:v>132072.078323364</c:v>
                </c:pt>
                <c:pt idx="6">
                  <c:v>55258.8066101074</c:v>
                </c:pt>
                <c:pt idx="7">
                  <c:v>83673.447418212905</c:v>
                </c:pt>
                <c:pt idx="8">
                  <c:v>23782.348251342799</c:v>
                </c:pt>
                <c:pt idx="9">
                  <c:v>47637.741851806597</c:v>
                </c:pt>
                <c:pt idx="10">
                  <c:v>26929.385375976599</c:v>
                </c:pt>
                <c:pt idx="11">
                  <c:v>78968.109512329102</c:v>
                </c:pt>
                <c:pt idx="12">
                  <c:v>18967.4423217773</c:v>
                </c:pt>
                <c:pt idx="13">
                  <c:v>159896.26922607399</c:v>
                </c:pt>
                <c:pt idx="14">
                  <c:v>134786.93046569801</c:v>
                </c:pt>
                <c:pt idx="15">
                  <c:v>142907.13844299299</c:v>
                </c:pt>
                <c:pt idx="16">
                  <c:v>74147.1164703369</c:v>
                </c:pt>
                <c:pt idx="17">
                  <c:v>60773.73046875</c:v>
                </c:pt>
                <c:pt idx="18">
                  <c:v>82535.157394409194</c:v>
                </c:pt>
                <c:pt idx="19">
                  <c:v>136320.88279724101</c:v>
                </c:pt>
              </c:numCache>
            </c:numRef>
          </c:xVal>
          <c:yVal>
            <c:numRef>
              <c:f>'CHP v SHG Volume'!$Q$30:$Q$49</c:f>
              <c:numCache>
                <c:formatCode>General</c:formatCode>
                <c:ptCount val="20"/>
                <c:pt idx="0">
                  <c:v>14427.6036156548</c:v>
                </c:pt>
                <c:pt idx="1">
                  <c:v>319035.44355321798</c:v>
                </c:pt>
                <c:pt idx="2">
                  <c:v>145712.835994767</c:v>
                </c:pt>
                <c:pt idx="3">
                  <c:v>21445.335576563699</c:v>
                </c:pt>
                <c:pt idx="4">
                  <c:v>16956.1203615165</c:v>
                </c:pt>
                <c:pt idx="5">
                  <c:v>523566.09650599997</c:v>
                </c:pt>
                <c:pt idx="6">
                  <c:v>278274.87521701399</c:v>
                </c:pt>
                <c:pt idx="7">
                  <c:v>635222.38437040302</c:v>
                </c:pt>
                <c:pt idx="8">
                  <c:v>116914.09687937</c:v>
                </c:pt>
                <c:pt idx="9">
                  <c:v>66092.792558081303</c:v>
                </c:pt>
                <c:pt idx="10">
                  <c:v>171305.440973352</c:v>
                </c:pt>
                <c:pt idx="11">
                  <c:v>88736.507039011194</c:v>
                </c:pt>
                <c:pt idx="12">
                  <c:v>12529.6474974832</c:v>
                </c:pt>
                <c:pt idx="13">
                  <c:v>371491.18611841998</c:v>
                </c:pt>
                <c:pt idx="14">
                  <c:v>561864.02756490698</c:v>
                </c:pt>
                <c:pt idx="15">
                  <c:v>383926.72008938203</c:v>
                </c:pt>
                <c:pt idx="16">
                  <c:v>407486.47289511497</c:v>
                </c:pt>
                <c:pt idx="17">
                  <c:v>29181.467456582101</c:v>
                </c:pt>
                <c:pt idx="18">
                  <c:v>91707.357359521106</c:v>
                </c:pt>
                <c:pt idx="19">
                  <c:v>388557.10559421103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55-4740-867B-C531891D3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375768"/>
        <c:axId val="579377568"/>
      </c:scatterChart>
      <c:valAx>
        <c:axId val="579375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CHP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377568"/>
        <c:crosses val="autoZero"/>
        <c:crossBetween val="midCat"/>
      </c:valAx>
      <c:valAx>
        <c:axId val="57937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SHG</a:t>
                </a:r>
                <a:r>
                  <a:rPr lang="en-US" baseline="0"/>
                  <a:t> Volume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375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617454068241468E-2"/>
                  <c:y val="-0.211287426651286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'CHP %Clearance v %Closure'!$C$14:$C$33</c:f>
              <c:numCache>
                <c:formatCode>General</c:formatCode>
                <c:ptCount val="20"/>
                <c:pt idx="0">
                  <c:v>100</c:v>
                </c:pt>
                <c:pt idx="1">
                  <c:v>-13.530010172939907</c:v>
                </c:pt>
                <c:pt idx="2">
                  <c:v>83.076401387693338</c:v>
                </c:pt>
                <c:pt idx="3">
                  <c:v>91.642538539791843</c:v>
                </c:pt>
                <c:pt idx="4">
                  <c:v>89.889662727912977</c:v>
                </c:pt>
                <c:pt idx="5">
                  <c:v>32.023481771863551</c:v>
                </c:pt>
                <c:pt idx="6">
                  <c:v>71.558702471538766</c:v>
                </c:pt>
                <c:pt idx="7">
                  <c:v>56.933897793982311</c:v>
                </c:pt>
                <c:pt idx="8">
                  <c:v>87.7594019119081</c:v>
                </c:pt>
                <c:pt idx="9">
                  <c:v>75.481207924902222</c:v>
                </c:pt>
                <c:pt idx="10">
                  <c:v>86.139645267028769</c:v>
                </c:pt>
                <c:pt idx="11">
                  <c:v>59.355700282360878</c:v>
                </c:pt>
                <c:pt idx="12">
                  <c:v>91.9055736853214</c:v>
                </c:pt>
                <c:pt idx="13">
                  <c:v>31.763674443524518</c:v>
                </c:pt>
                <c:pt idx="14">
                  <c:v>42.479177828649448</c:v>
                </c:pt>
                <c:pt idx="15">
                  <c:v>39.013848976344782</c:v>
                </c:pt>
                <c:pt idx="16">
                  <c:v>68.357443215949871</c:v>
                </c:pt>
                <c:pt idx="17">
                  <c:v>74.06458526131216</c:v>
                </c:pt>
                <c:pt idx="18">
                  <c:v>64.777815660870544</c:v>
                </c:pt>
                <c:pt idx="19">
                  <c:v>41.824557985485441</c:v>
                </c:pt>
              </c:numCache>
            </c:numRef>
          </c:xVal>
          <c:yVal>
            <c:numRef>
              <c:f>'CHP %Clearance v %Closure'!$D$14:$D$33</c:f>
              <c:numCache>
                <c:formatCode>General</c:formatCode>
                <c:ptCount val="20"/>
                <c:pt idx="0">
                  <c:v>87.82697308779062</c:v>
                </c:pt>
                <c:pt idx="1">
                  <c:v>-61.862348713944428</c:v>
                </c:pt>
                <c:pt idx="2">
                  <c:v>-22.942542730659127</c:v>
                </c:pt>
                <c:pt idx="3">
                  <c:v>81.905889982199696</c:v>
                </c:pt>
                <c:pt idx="4">
                  <c:v>85.693583287564266</c:v>
                </c:pt>
                <c:pt idx="5">
                  <c:v>-87.679769018511209</c:v>
                </c:pt>
                <c:pt idx="6">
                  <c:v>0.24838381836340173</c:v>
                </c:pt>
                <c:pt idx="7">
                  <c:v>-127.70456522992023</c:v>
                </c:pt>
                <c:pt idx="8">
                  <c:v>58.090466812576459</c:v>
                </c:pt>
                <c:pt idx="9">
                  <c:v>76.308091521073266</c:v>
                </c:pt>
                <c:pt idx="10">
                  <c:v>38.593110195544398</c:v>
                </c:pt>
                <c:pt idx="11">
                  <c:v>68.1911276231763</c:v>
                </c:pt>
                <c:pt idx="12">
                  <c:v>96.980190533797071</c:v>
                </c:pt>
                <c:pt idx="13">
                  <c:v>10.465749281717789</c:v>
                </c:pt>
                <c:pt idx="14">
                  <c:v>-35.416603659458502</c:v>
                </c:pt>
                <c:pt idx="15">
                  <c:v>7.4686224104037757</c:v>
                </c:pt>
                <c:pt idx="16">
                  <c:v>1.7904128232271019</c:v>
                </c:pt>
                <c:pt idx="17">
                  <c:v>92.966883411462277</c:v>
                </c:pt>
                <c:pt idx="18">
                  <c:v>77.897323453803111</c:v>
                </c:pt>
                <c:pt idx="19">
                  <c:v>6.3526387418719885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DE-449B-BB9E-EFF2E556E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773896"/>
        <c:axId val="965772456"/>
      </c:scatterChart>
      <c:valAx>
        <c:axId val="965773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Denatured</a:t>
                </a:r>
                <a:r>
                  <a:rPr lang="en-US" baseline="0"/>
                  <a:t> Collagen Clearance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772456"/>
        <c:crosses val="autoZero"/>
        <c:crossBetween val="midCat"/>
      </c:valAx>
      <c:valAx>
        <c:axId val="96577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SHG</a:t>
                </a:r>
                <a:r>
                  <a:rPr lang="en-US" baseline="0"/>
                  <a:t> Hole Closure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333333333333332E-3"/>
              <c:y val="0.35766454352441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773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v rate</a:t>
            </a:r>
            <a:endParaRPr lang="en-US"/>
          </a:p>
        </c:rich>
      </c:tx>
      <c:layout>
        <c:manualLayout>
          <c:xMode val="edge"/>
          <c:yMode val="edge"/>
          <c:x val="0.3757567804024496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548337707786527E-2"/>
                  <c:y val="-0.386885389326334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'Cells v Clearance rate'!$C$37:$C$108</c:f>
              <c:strCache>
                <c:ptCount val="72"/>
                <c:pt idx="0">
                  <c:v>10</c:v>
                </c:pt>
                <c:pt idx="1">
                  <c:v>10</c:v>
                </c:pt>
                <c:pt idx="2">
                  <c:v>3</c:v>
                </c:pt>
                <c:pt idx="3">
                  <c:v>11</c:v>
                </c:pt>
                <c:pt idx="4">
                  <c:v>24</c:v>
                </c:pt>
                <c:pt idx="5">
                  <c:v>17</c:v>
                </c:pt>
                <c:pt idx="6">
                  <c:v>18</c:v>
                </c:pt>
                <c:pt idx="7">
                  <c:v>3</c:v>
                </c:pt>
                <c:pt idx="8">
                  <c:v>6</c:v>
                </c:pt>
                <c:pt idx="9">
                  <c:v>2</c:v>
                </c:pt>
                <c:pt idx="10">
                  <c:v>2</c:v>
                </c:pt>
                <c:pt idx="11">
                  <c:v>9</c:v>
                </c:pt>
                <c:pt idx="13">
                  <c:v>0</c:v>
                </c:pt>
                <c:pt idx="15">
                  <c:v>1</c:v>
                </c:pt>
                <c:pt idx="16">
                  <c:v>2</c:v>
                </c:pt>
                <c:pt idx="18">
                  <c:v>1</c:v>
                </c:pt>
                <c:pt idx="19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9</c:v>
                </c:pt>
                <c:pt idx="29">
                  <c:v>12</c:v>
                </c:pt>
                <c:pt idx="30">
                  <c:v>23</c:v>
                </c:pt>
                <c:pt idx="31">
                  <c:v>8</c:v>
                </c:pt>
                <c:pt idx="32">
                  <c:v>2</c:v>
                </c:pt>
                <c:pt idx="33">
                  <c:v>4</c:v>
                </c:pt>
                <c:pt idx="34">
                  <c:v>0</c:v>
                </c:pt>
                <c:pt idx="35">
                  <c:v>3</c:v>
                </c:pt>
                <c:pt idx="36">
                  <c:v>8</c:v>
                </c:pt>
                <c:pt idx="37">
                  <c:v>2</c:v>
                </c:pt>
                <c:pt idx="38">
                  <c:v>5</c:v>
                </c:pt>
                <c:pt idx="39">
                  <c:v>4</c:v>
                </c:pt>
                <c:pt idx="40">
                  <c:v>9</c:v>
                </c:pt>
                <c:pt idx="41">
                  <c:v>8</c:v>
                </c:pt>
                <c:pt idx="42">
                  <c:v>8</c:v>
                </c:pt>
                <c:pt idx="43">
                  <c:v>0</c:v>
                </c:pt>
                <c:pt idx="44">
                  <c:v>10</c:v>
                </c:pt>
                <c:pt idx="45">
                  <c:v>3</c:v>
                </c:pt>
                <c:pt idx="46">
                  <c:v>10</c:v>
                </c:pt>
                <c:pt idx="47">
                  <c:v>16</c:v>
                </c:pt>
                <c:pt idx="48">
                  <c:v>4</c:v>
                </c:pt>
                <c:pt idx="49">
                  <c:v>4</c:v>
                </c:pt>
                <c:pt idx="50">
                  <c:v>2</c:v>
                </c:pt>
                <c:pt idx="51">
                  <c:v>1</c:v>
                </c:pt>
                <c:pt idx="52">
                  <c:v>25</c:v>
                </c:pt>
                <c:pt idx="53">
                  <c:v>1</c:v>
                </c:pt>
                <c:pt idx="54">
                  <c:v>1</c:v>
                </c:pt>
                <c:pt idx="55">
                  <c:v>40</c:v>
                </c:pt>
                <c:pt idx="56">
                  <c:v>6</c:v>
                </c:pt>
                <c:pt idx="57">
                  <c:v>6</c:v>
                </c:pt>
                <c:pt idx="58">
                  <c:v>3</c:v>
                </c:pt>
                <c:pt idx="59">
                  <c:v>0</c:v>
                </c:pt>
                <c:pt idx="60">
                  <c:v>7</c:v>
                </c:pt>
                <c:pt idx="61">
                  <c:v>23</c:v>
                </c:pt>
                <c:pt idx="62">
                  <c:v>14</c:v>
                </c:pt>
                <c:pt idx="63">
                  <c:v>1</c:v>
                </c:pt>
                <c:pt idx="64">
                  <c:v>0</c:v>
                </c:pt>
                <c:pt idx="65">
                  <c:v>2</c:v>
                </c:pt>
                <c:pt idx="66">
                  <c:v>16</c:v>
                </c:pt>
                <c:pt idx="67">
                  <c:v>5</c:v>
                </c:pt>
                <c:pt idx="68">
                  <c:v>7</c:v>
                </c:pt>
                <c:pt idx="69">
                  <c:v>2</c:v>
                </c:pt>
                <c:pt idx="70">
                  <c:v>14</c:v>
                </c:pt>
                <c:pt idx="71">
                  <c:v>1</c:v>
                </c:pt>
              </c:strCache>
            </c:strRef>
          </c:xVal>
          <c:yVal>
            <c:numRef>
              <c:f>'Cells v Clearance rate'!$D$37:$D$108</c:f>
              <c:numCache>
                <c:formatCode>General</c:formatCode>
                <c:ptCount val="72"/>
                <c:pt idx="0">
                  <c:v>5516.8804304940359</c:v>
                </c:pt>
                <c:pt idx="1">
                  <c:v>1809.828962598521</c:v>
                </c:pt>
                <c:pt idx="2">
                  <c:v>-8826.0956219264935</c:v>
                </c:pt>
                <c:pt idx="3">
                  <c:v>-7653.0220985412079</c:v>
                </c:pt>
                <c:pt idx="4">
                  <c:v>-481.53407233102189</c:v>
                </c:pt>
                <c:pt idx="5">
                  <c:v>3284.6493448529923</c:v>
                </c:pt>
                <c:pt idx="6">
                  <c:v>4424.6785436357786</c:v>
                </c:pt>
                <c:pt idx="7">
                  <c:v>4581.2042917524068</c:v>
                </c:pt>
                <c:pt idx="8">
                  <c:v>3920.4264981406036</c:v>
                </c:pt>
                <c:pt idx="9">
                  <c:v>3085.6225081852463</c:v>
                </c:pt>
                <c:pt idx="10">
                  <c:v>-97.067703519553888</c:v>
                </c:pt>
                <c:pt idx="11">
                  <c:v>-3169.3203040531685</c:v>
                </c:pt>
                <c:pt idx="13">
                  <c:v>-7019.8537077222263</c:v>
                </c:pt>
                <c:pt idx="15">
                  <c:v>5586.5561280931743</c:v>
                </c:pt>
                <c:pt idx="16">
                  <c:v>-595.37756783621444</c:v>
                </c:pt>
                <c:pt idx="18">
                  <c:v>-1844.1052028110996</c:v>
                </c:pt>
                <c:pt idx="19">
                  <c:v>6207.4053628104039</c:v>
                </c:pt>
                <c:pt idx="22">
                  <c:v>6921.336691720142</c:v>
                </c:pt>
                <c:pt idx="23">
                  <c:v>6775.2459934779545</c:v>
                </c:pt>
                <c:pt idx="24">
                  <c:v>-5880.6940964290034</c:v>
                </c:pt>
                <c:pt idx="25">
                  <c:v>10380.591957909712</c:v>
                </c:pt>
                <c:pt idx="26">
                  <c:v>472.5121021271417</c:v>
                </c:pt>
                <c:pt idx="27">
                  <c:v>2050.8133956364263</c:v>
                </c:pt>
                <c:pt idx="28">
                  <c:v>15990.300852911825</c:v>
                </c:pt>
                <c:pt idx="29">
                  <c:v>23752.238784517569</c:v>
                </c:pt>
                <c:pt idx="30">
                  <c:v>7797.0475264958559</c:v>
                </c:pt>
                <c:pt idx="31">
                  <c:v>14816.357742037111</c:v>
                </c:pt>
                <c:pt idx="32">
                  <c:v>-1965.8112185342595</c:v>
                </c:pt>
                <c:pt idx="33">
                  <c:v>-1531.0174737658319</c:v>
                </c:pt>
                <c:pt idx="34">
                  <c:v>1602.1062510354532</c:v>
                </c:pt>
                <c:pt idx="35">
                  <c:v>-6091.1342688969744</c:v>
                </c:pt>
                <c:pt idx="36">
                  <c:v>3936.9486604417389</c:v>
                </c:pt>
                <c:pt idx="37">
                  <c:v>10731.905303682595</c:v>
                </c:pt>
                <c:pt idx="38">
                  <c:v>9561.440542766024</c:v>
                </c:pt>
                <c:pt idx="39">
                  <c:v>7825.7439136505109</c:v>
                </c:pt>
                <c:pt idx="40">
                  <c:v>5350.0283309391771</c:v>
                </c:pt>
                <c:pt idx="41">
                  <c:v>-2792.7889210836647</c:v>
                </c:pt>
                <c:pt idx="42">
                  <c:v>8180.5356093815635</c:v>
                </c:pt>
                <c:pt idx="43">
                  <c:v>4121.3012082236337</c:v>
                </c:pt>
                <c:pt idx="44">
                  <c:v>12677.172517776506</c:v>
                </c:pt>
                <c:pt idx="45">
                  <c:v>9269.2591462816781</c:v>
                </c:pt>
                <c:pt idx="46">
                  <c:v>12227.595785685964</c:v>
                </c:pt>
                <c:pt idx="47">
                  <c:v>4793.4923376356064</c:v>
                </c:pt>
                <c:pt idx="48">
                  <c:v>-13698.068230492758</c:v>
                </c:pt>
                <c:pt idx="49">
                  <c:v>5509.3802383968141</c:v>
                </c:pt>
                <c:pt idx="50">
                  <c:v>-5726.5597139086167</c:v>
                </c:pt>
                <c:pt idx="51">
                  <c:v>-3425.6312165941886</c:v>
                </c:pt>
                <c:pt idx="52">
                  <c:v>12837.394012723671</c:v>
                </c:pt>
                <c:pt idx="53">
                  <c:v>10514.725828170815</c:v>
                </c:pt>
                <c:pt idx="54">
                  <c:v>18965.377051489668</c:v>
                </c:pt>
                <c:pt idx="55">
                  <c:v>7537.2582639966695</c:v>
                </c:pt>
                <c:pt idx="56">
                  <c:v>466.85978344505668</c:v>
                </c:pt>
                <c:pt idx="57">
                  <c:v>-19481.477226529802</c:v>
                </c:pt>
                <c:pt idx="58">
                  <c:v>16546.40205247061</c:v>
                </c:pt>
                <c:pt idx="59">
                  <c:v>19103.858859198441</c:v>
                </c:pt>
                <c:pt idx="60">
                  <c:v>23457.883419309343</c:v>
                </c:pt>
                <c:pt idx="61">
                  <c:v>7817.4828324999125</c:v>
                </c:pt>
                <c:pt idx="62">
                  <c:v>1012.9607268741986</c:v>
                </c:pt>
                <c:pt idx="63">
                  <c:v>14578.525563648771</c:v>
                </c:pt>
                <c:pt idx="64">
                  <c:v>18763.632753917165</c:v>
                </c:pt>
                <c:pt idx="65">
                  <c:v>-1369.0568038395056</c:v>
                </c:pt>
                <c:pt idx="66">
                  <c:v>2217.9915904999193</c:v>
                </c:pt>
                <c:pt idx="67">
                  <c:v>1057.9618794577796</c:v>
                </c:pt>
                <c:pt idx="68">
                  <c:v>10880.822161265793</c:v>
                </c:pt>
                <c:pt idx="69">
                  <c:v>12791.305875778207</c:v>
                </c:pt>
                <c:pt idx="70">
                  <c:v>9682.5306006840365</c:v>
                </c:pt>
                <c:pt idx="71">
                  <c:v>1998.8555431366342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3-4188-B9C6-645E55AEB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554664"/>
        <c:axId val="703555024"/>
      </c:scatterChart>
      <c:valAx>
        <c:axId val="703554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55024"/>
        <c:crosses val="autoZero"/>
        <c:crossBetween val="midCat"/>
      </c:valAx>
      <c:valAx>
        <c:axId val="70355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54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v percent</a:t>
            </a:r>
            <a:endParaRPr lang="en-US"/>
          </a:p>
        </c:rich>
      </c:tx>
      <c:layout>
        <c:manualLayout>
          <c:xMode val="edge"/>
          <c:yMode val="edge"/>
          <c:x val="0.3757567804024496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548337707786527E-2"/>
                  <c:y val="-0.386885389326334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'Cells v Clearance rate'!$C$37:$C$108</c:f>
              <c:strCache>
                <c:ptCount val="72"/>
                <c:pt idx="0">
                  <c:v>10</c:v>
                </c:pt>
                <c:pt idx="1">
                  <c:v>10</c:v>
                </c:pt>
                <c:pt idx="2">
                  <c:v>3</c:v>
                </c:pt>
                <c:pt idx="3">
                  <c:v>11</c:v>
                </c:pt>
                <c:pt idx="4">
                  <c:v>24</c:v>
                </c:pt>
                <c:pt idx="5">
                  <c:v>17</c:v>
                </c:pt>
                <c:pt idx="6">
                  <c:v>18</c:v>
                </c:pt>
                <c:pt idx="7">
                  <c:v>3</c:v>
                </c:pt>
                <c:pt idx="8">
                  <c:v>6</c:v>
                </c:pt>
                <c:pt idx="9">
                  <c:v>2</c:v>
                </c:pt>
                <c:pt idx="10">
                  <c:v>2</c:v>
                </c:pt>
                <c:pt idx="11">
                  <c:v>9</c:v>
                </c:pt>
                <c:pt idx="13">
                  <c:v>0</c:v>
                </c:pt>
                <c:pt idx="15">
                  <c:v>1</c:v>
                </c:pt>
                <c:pt idx="16">
                  <c:v>2</c:v>
                </c:pt>
                <c:pt idx="18">
                  <c:v>1</c:v>
                </c:pt>
                <c:pt idx="19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9</c:v>
                </c:pt>
                <c:pt idx="29">
                  <c:v>12</c:v>
                </c:pt>
                <c:pt idx="30">
                  <c:v>23</c:v>
                </c:pt>
                <c:pt idx="31">
                  <c:v>8</c:v>
                </c:pt>
                <c:pt idx="32">
                  <c:v>2</c:v>
                </c:pt>
                <c:pt idx="33">
                  <c:v>4</c:v>
                </c:pt>
                <c:pt idx="34">
                  <c:v>0</c:v>
                </c:pt>
                <c:pt idx="35">
                  <c:v>3</c:v>
                </c:pt>
                <c:pt idx="36">
                  <c:v>8</c:v>
                </c:pt>
                <c:pt idx="37">
                  <c:v>2</c:v>
                </c:pt>
                <c:pt idx="38">
                  <c:v>5</c:v>
                </c:pt>
                <c:pt idx="39">
                  <c:v>4</c:v>
                </c:pt>
                <c:pt idx="40">
                  <c:v>9</c:v>
                </c:pt>
                <c:pt idx="41">
                  <c:v>8</c:v>
                </c:pt>
                <c:pt idx="42">
                  <c:v>8</c:v>
                </c:pt>
                <c:pt idx="43">
                  <c:v>0</c:v>
                </c:pt>
                <c:pt idx="44">
                  <c:v>10</c:v>
                </c:pt>
                <c:pt idx="45">
                  <c:v>3</c:v>
                </c:pt>
                <c:pt idx="46">
                  <c:v>10</c:v>
                </c:pt>
                <c:pt idx="47">
                  <c:v>16</c:v>
                </c:pt>
                <c:pt idx="48">
                  <c:v>4</c:v>
                </c:pt>
                <c:pt idx="49">
                  <c:v>4</c:v>
                </c:pt>
                <c:pt idx="50">
                  <c:v>2</c:v>
                </c:pt>
                <c:pt idx="51">
                  <c:v>1</c:v>
                </c:pt>
                <c:pt idx="52">
                  <c:v>25</c:v>
                </c:pt>
                <c:pt idx="53">
                  <c:v>1</c:v>
                </c:pt>
                <c:pt idx="54">
                  <c:v>1</c:v>
                </c:pt>
                <c:pt idx="55">
                  <c:v>40</c:v>
                </c:pt>
                <c:pt idx="56">
                  <c:v>6</c:v>
                </c:pt>
                <c:pt idx="57">
                  <c:v>6</c:v>
                </c:pt>
                <c:pt idx="58">
                  <c:v>3</c:v>
                </c:pt>
                <c:pt idx="59">
                  <c:v>0</c:v>
                </c:pt>
                <c:pt idx="60">
                  <c:v>7</c:v>
                </c:pt>
                <c:pt idx="61">
                  <c:v>23</c:v>
                </c:pt>
                <c:pt idx="62">
                  <c:v>14</c:v>
                </c:pt>
                <c:pt idx="63">
                  <c:v>1</c:v>
                </c:pt>
                <c:pt idx="64">
                  <c:v>0</c:v>
                </c:pt>
                <c:pt idx="65">
                  <c:v>2</c:v>
                </c:pt>
                <c:pt idx="66">
                  <c:v>16</c:v>
                </c:pt>
                <c:pt idx="67">
                  <c:v>5</c:v>
                </c:pt>
                <c:pt idx="68">
                  <c:v>7</c:v>
                </c:pt>
                <c:pt idx="69">
                  <c:v>2</c:v>
                </c:pt>
                <c:pt idx="70">
                  <c:v>14</c:v>
                </c:pt>
                <c:pt idx="71">
                  <c:v>1</c:v>
                </c:pt>
              </c:strCache>
            </c:strRef>
          </c:xVal>
          <c:yVal>
            <c:numRef>
              <c:f>'Cells v Clearance rate'!$E$37:$E$108</c:f>
              <c:numCache>
                <c:formatCode>General</c:formatCode>
                <c:ptCount val="72"/>
                <c:pt idx="0">
                  <c:v>66.19453791376479</c:v>
                </c:pt>
                <c:pt idx="1">
                  <c:v>21.715314187338521</c:v>
                </c:pt>
                <c:pt idx="2">
                  <c:v>-105.90030518820002</c:v>
                </c:pt>
                <c:pt idx="3">
                  <c:v>-91.825129770195289</c:v>
                </c:pt>
                <c:pt idx="4">
                  <c:v>-5.7777082192138414</c:v>
                </c:pt>
                <c:pt idx="5">
                  <c:v>39.41101285963952</c:v>
                </c:pt>
                <c:pt idx="6">
                  <c:v>53.08970446305139</c:v>
                </c:pt>
                <c:pt idx="7">
                  <c:v>54.967785690064453</c:v>
                </c:pt>
                <c:pt idx="8">
                  <c:v>51.023815113336923</c:v>
                </c:pt>
                <c:pt idx="9">
                  <c:v>41.007381902600557</c:v>
                </c:pt>
                <c:pt idx="10">
                  <c:v>2.8197302866681451</c:v>
                </c:pt>
                <c:pt idx="11">
                  <c:v>-34.042830685760499</c:v>
                </c:pt>
                <c:pt idx="13">
                  <c:v>-80.243628870281668</c:v>
                </c:pt>
                <c:pt idx="15">
                  <c:v>71.01494639643164</c:v>
                </c:pt>
                <c:pt idx="16">
                  <c:v>1.4529045047865365</c:v>
                </c:pt>
                <c:pt idx="18">
                  <c:v>-13.530010172939907</c:v>
                </c:pt>
                <c:pt idx="19">
                  <c:v>83.076401387693338</c:v>
                </c:pt>
                <c:pt idx="22">
                  <c:v>91.642538539791843</c:v>
                </c:pt>
                <c:pt idx="23">
                  <c:v>89.889662727912977</c:v>
                </c:pt>
                <c:pt idx="24">
                  <c:v>-21.18724715778918</c:v>
                </c:pt>
                <c:pt idx="25">
                  <c:v>37.399695316569172</c:v>
                </c:pt>
                <c:pt idx="26">
                  <c:v>1.7023892977010149</c:v>
                </c:pt>
                <c:pt idx="27">
                  <c:v>7.3887690084473405</c:v>
                </c:pt>
                <c:pt idx="28">
                  <c:v>57.610623974434802</c:v>
                </c:pt>
                <c:pt idx="29">
                  <c:v>85.575706783318367</c:v>
                </c:pt>
                <c:pt idx="30">
                  <c:v>28.091577343771611</c:v>
                </c:pt>
                <c:pt idx="31">
                  <c:v>53.381085346606817</c:v>
                </c:pt>
                <c:pt idx="32">
                  <c:v>24.162805907255454</c:v>
                </c:pt>
                <c:pt idx="33">
                  <c:v>25.729301695339952</c:v>
                </c:pt>
                <c:pt idx="34">
                  <c:v>37.017470344276795</c:v>
                </c:pt>
                <c:pt idx="35">
                  <c:v>9.2998938699102336</c:v>
                </c:pt>
                <c:pt idx="36">
                  <c:v>45.429552726289913</c:v>
                </c:pt>
                <c:pt idx="37">
                  <c:v>69.910748902473912</c:v>
                </c:pt>
                <c:pt idx="38">
                  <c:v>65.693742240950598</c:v>
                </c:pt>
                <c:pt idx="39">
                  <c:v>59.440291054917473</c:v>
                </c:pt>
                <c:pt idx="40">
                  <c:v>61.360814891108987</c:v>
                </c:pt>
                <c:pt idx="41">
                  <c:v>32.023481771863551</c:v>
                </c:pt>
                <c:pt idx="42">
                  <c:v>71.558702471538766</c:v>
                </c:pt>
                <c:pt idx="43">
                  <c:v>56.933897793982311</c:v>
                </c:pt>
                <c:pt idx="44">
                  <c:v>87.7594019119081</c:v>
                </c:pt>
                <c:pt idx="45">
                  <c:v>75.481207924902222</c:v>
                </c:pt>
                <c:pt idx="46">
                  <c:v>86.139645267028769</c:v>
                </c:pt>
                <c:pt idx="47">
                  <c:v>59.355700282360878</c:v>
                </c:pt>
                <c:pt idx="48">
                  <c:v>-40.919909730001876</c:v>
                </c:pt>
                <c:pt idx="49">
                  <c:v>16.458039062880623</c:v>
                </c:pt>
                <c:pt idx="50">
                  <c:v>-17.106814086016307</c:v>
                </c:pt>
                <c:pt idx="51">
                  <c:v>-10.233305732794424</c:v>
                </c:pt>
                <c:pt idx="52">
                  <c:v>38.348838342019455</c:v>
                </c:pt>
                <c:pt idx="53">
                  <c:v>31.41038754403921</c:v>
                </c:pt>
                <c:pt idx="54">
                  <c:v>56.654814670498197</c:v>
                </c:pt>
                <c:pt idx="55">
                  <c:v>22.515870309937821</c:v>
                </c:pt>
                <c:pt idx="56">
                  <c:v>13.535629048755442</c:v>
                </c:pt>
                <c:pt idx="57">
                  <c:v>-46.055558261490773</c:v>
                </c:pt>
                <c:pt idx="58">
                  <c:v>61.569658889808885</c:v>
                </c:pt>
                <c:pt idx="59">
                  <c:v>69.20948809117921</c:v>
                </c:pt>
                <c:pt idx="60">
                  <c:v>82.216160927378098</c:v>
                </c:pt>
                <c:pt idx="61">
                  <c:v>35.493968470443058</c:v>
                </c:pt>
                <c:pt idx="62">
                  <c:v>15.166983261084804</c:v>
                </c:pt>
                <c:pt idx="63">
                  <c:v>55.691068790284618</c:v>
                </c:pt>
                <c:pt idx="64">
                  <c:v>91.9055736853214</c:v>
                </c:pt>
                <c:pt idx="65">
                  <c:v>31.763674443524518</c:v>
                </c:pt>
                <c:pt idx="66">
                  <c:v>42.479177828649448</c:v>
                </c:pt>
                <c:pt idx="67">
                  <c:v>39.013848976344782</c:v>
                </c:pt>
                <c:pt idx="68">
                  <c:v>68.357443215949871</c:v>
                </c:pt>
                <c:pt idx="69">
                  <c:v>74.06458526131216</c:v>
                </c:pt>
                <c:pt idx="70">
                  <c:v>64.777815660870544</c:v>
                </c:pt>
                <c:pt idx="71">
                  <c:v>41.824557985485441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9E-470A-82EE-17A7AF50C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554664"/>
        <c:axId val="703555024"/>
      </c:scatterChart>
      <c:valAx>
        <c:axId val="703554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55024"/>
        <c:crosses val="autoZero"/>
        <c:crossBetween val="midCat"/>
      </c:valAx>
      <c:valAx>
        <c:axId val="70355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54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442912</xdr:colOff>
      <xdr:row>2</xdr:row>
      <xdr:rowOff>157162</xdr:rowOff>
    </xdr:from>
    <xdr:to>
      <xdr:col>25</xdr:col>
      <xdr:colOff>138112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C16E8-5B68-FD82-1A8D-338DEA873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523875</xdr:colOff>
      <xdr:row>30</xdr:row>
      <xdr:rowOff>171450</xdr:rowOff>
    </xdr:from>
    <xdr:to>
      <xdr:col>25</xdr:col>
      <xdr:colOff>219075</xdr:colOff>
      <xdr:row>45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192F90-8E7A-49C9-860F-1BEAC50BA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12</xdr:row>
      <xdr:rowOff>133350</xdr:rowOff>
    </xdr:from>
    <xdr:to>
      <xdr:col>15</xdr:col>
      <xdr:colOff>66675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ED230-7EA7-46E7-8550-36F3C550E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509587</xdr:colOff>
      <xdr:row>34</xdr:row>
      <xdr:rowOff>90487</xdr:rowOff>
    </xdr:from>
    <xdr:to>
      <xdr:col>16</xdr:col>
      <xdr:colOff>204787</xdr:colOff>
      <xdr:row>48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6EDC6-302D-A1E5-76E6-7E9E6C6C7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561975</xdr:colOff>
      <xdr:row>49</xdr:row>
      <xdr:rowOff>123825</xdr:rowOff>
    </xdr:from>
    <xdr:to>
      <xdr:col>16</xdr:col>
      <xdr:colOff>257175</xdr:colOff>
      <xdr:row>64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707B7F-C503-4812-B770-F8FDF7C64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6617-4A70-4EDA-B1C8-44EB8367B739}">
  <sheetPr codeName="Sheet1"/>
  <dimension ref="A1:AK135"/>
  <sheetViews>
    <sheetView topLeftCell="R1" workbookViewId="0">
      <selection activeCell="AH7" sqref="AH7:AH10"/>
    </sheetView>
  </sheetViews>
  <sheetFormatPr defaultRowHeight="15" x14ac:dyDescent="0.25"/>
  <sheetData>
    <row r="1" spans="1:37" x14ac:dyDescent="0.25">
      <c r="A1" t="s">
        <v>0</v>
      </c>
      <c r="S1" s="4"/>
      <c r="U1" t="s">
        <v>0</v>
      </c>
    </row>
    <row r="2" spans="1:3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  <c r="R2" s="1"/>
      <c r="S2" s="4"/>
      <c r="U2" s="1" t="s">
        <v>29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30</v>
      </c>
      <c r="AB2" s="1" t="s">
        <v>1</v>
      </c>
      <c r="AC2" s="1" t="s">
        <v>2</v>
      </c>
      <c r="AD2" s="1" t="s">
        <v>3</v>
      </c>
      <c r="AE2" s="1" t="s">
        <v>4</v>
      </c>
      <c r="AG2" s="1" t="s">
        <v>31</v>
      </c>
      <c r="AH2" s="1" t="s">
        <v>1</v>
      </c>
      <c r="AI2" s="1" t="s">
        <v>2</v>
      </c>
      <c r="AJ2" s="1" t="s">
        <v>3</v>
      </c>
      <c r="AK2" s="1" t="s">
        <v>4</v>
      </c>
    </row>
    <row r="3" spans="1:37" x14ac:dyDescent="0.25">
      <c r="A3" t="s">
        <v>5</v>
      </c>
      <c r="B3">
        <v>82.035435161095506</v>
      </c>
      <c r="C3">
        <v>41.017717580547803</v>
      </c>
      <c r="D3">
        <v>55.9332512462015</v>
      </c>
      <c r="E3">
        <v>54.690290107396997</v>
      </c>
      <c r="G3" t="s">
        <v>5</v>
      </c>
      <c r="H3">
        <v>96.950968826749303</v>
      </c>
      <c r="I3">
        <v>128.02499729686099</v>
      </c>
      <c r="J3">
        <v>121.810191602839</v>
      </c>
      <c r="K3">
        <v>79.549512883486599</v>
      </c>
      <c r="M3" t="s">
        <v>5</v>
      </c>
      <c r="N3">
        <v>140.45460868490599</v>
      </c>
      <c r="O3">
        <v>145.426453240124</v>
      </c>
      <c r="P3">
        <v>129.267958435666</v>
      </c>
      <c r="Q3">
        <v>48.475484413374602</v>
      </c>
      <c r="S3" s="4"/>
      <c r="U3" t="s">
        <v>5</v>
      </c>
      <c r="V3">
        <v>82.035435161095506</v>
      </c>
      <c r="W3">
        <v>41.017717580547803</v>
      </c>
      <c r="X3">
        <v>55.9332512462015</v>
      </c>
      <c r="Y3">
        <v>54.690290107396997</v>
      </c>
      <c r="AA3" t="s">
        <v>5</v>
      </c>
      <c r="AB3">
        <v>96.950968826749303</v>
      </c>
      <c r="AC3">
        <v>128.02499729686099</v>
      </c>
      <c r="AD3">
        <v>121.810191602839</v>
      </c>
      <c r="AE3">
        <v>79.549512883486599</v>
      </c>
      <c r="AG3" t="s">
        <v>5</v>
      </c>
      <c r="AH3">
        <v>140.45460868490599</v>
      </c>
      <c r="AI3">
        <v>145.426453240124</v>
      </c>
      <c r="AJ3">
        <v>129.267958435666</v>
      </c>
      <c r="AK3">
        <v>48.475484413374602</v>
      </c>
    </row>
    <row r="4" spans="1:37" x14ac:dyDescent="0.25">
      <c r="A4" t="s">
        <v>7</v>
      </c>
      <c r="B4">
        <v>59.662134662614903</v>
      </c>
      <c r="C4">
        <v>45.989562135765702</v>
      </c>
      <c r="D4">
        <v>74.5776683282687</v>
      </c>
      <c r="G4" t="s">
        <v>7</v>
      </c>
      <c r="H4">
        <v>114.35242477001199</v>
      </c>
      <c r="I4">
        <v>96.950968826749303</v>
      </c>
      <c r="J4">
        <v>115.595385908816</v>
      </c>
      <c r="K4">
        <v>131.75388071327501</v>
      </c>
      <c r="M4" t="s">
        <v>7</v>
      </c>
      <c r="N4">
        <v>140.45460868490599</v>
      </c>
      <c r="O4">
        <v>110.62354135359899</v>
      </c>
      <c r="P4">
        <v>152.884220072951</v>
      </c>
      <c r="Q4">
        <v>119.32426932523001</v>
      </c>
      <c r="S4" s="4"/>
      <c r="U4" t="s">
        <v>7</v>
      </c>
      <c r="V4">
        <v>59.662134662614903</v>
      </c>
      <c r="W4">
        <v>45.989562135765702</v>
      </c>
      <c r="X4">
        <v>74.5776683282687</v>
      </c>
      <c r="AA4" t="s">
        <v>7</v>
      </c>
      <c r="AB4">
        <v>114.35242477001199</v>
      </c>
      <c r="AC4">
        <v>96.950968826749303</v>
      </c>
      <c r="AD4">
        <v>115.595385908816</v>
      </c>
      <c r="AE4">
        <v>131.75388071327501</v>
      </c>
      <c r="AG4" t="s">
        <v>7</v>
      </c>
      <c r="AH4">
        <v>140.45460868490599</v>
      </c>
      <c r="AI4">
        <v>110.62354135359899</v>
      </c>
      <c r="AJ4">
        <v>152.884220072951</v>
      </c>
      <c r="AK4">
        <v>119.32426932523001</v>
      </c>
    </row>
    <row r="5" spans="1:37" x14ac:dyDescent="0.25">
      <c r="A5" t="s">
        <v>8</v>
      </c>
      <c r="B5">
        <v>60.905095801419399</v>
      </c>
      <c r="C5">
        <v>74.5776683282687</v>
      </c>
      <c r="D5">
        <v>85.764318577509002</v>
      </c>
      <c r="E5">
        <v>62.148056940223903</v>
      </c>
      <c r="G5" t="s">
        <v>8</v>
      </c>
      <c r="H5">
        <v>183.95824854306301</v>
      </c>
      <c r="I5">
        <v>98.193929965553707</v>
      </c>
      <c r="J5">
        <v>103.165774520772</v>
      </c>
      <c r="K5">
        <v>109.38058021479399</v>
      </c>
      <c r="M5" t="s">
        <v>8</v>
      </c>
      <c r="N5">
        <v>129.267958435666</v>
      </c>
      <c r="O5">
        <v>119.32426932523001</v>
      </c>
      <c r="P5">
        <v>85.764318577509002</v>
      </c>
      <c r="Q5">
        <v>129.267958435666</v>
      </c>
      <c r="S5" s="4"/>
      <c r="U5" t="s">
        <v>8</v>
      </c>
      <c r="V5">
        <v>60.905095801419399</v>
      </c>
      <c r="W5">
        <v>74.5776683282687</v>
      </c>
      <c r="X5">
        <v>85.764318577509002</v>
      </c>
      <c r="Y5">
        <v>62.148056940223903</v>
      </c>
      <c r="AA5" t="s">
        <v>8</v>
      </c>
      <c r="AC5">
        <v>98.193929965553707</v>
      </c>
      <c r="AD5">
        <v>103.165774520772</v>
      </c>
      <c r="AE5">
        <v>109.38058021479399</v>
      </c>
      <c r="AG5" t="s">
        <v>8</v>
      </c>
      <c r="AH5">
        <v>129.267958435666</v>
      </c>
      <c r="AI5">
        <v>119.32426932523001</v>
      </c>
      <c r="AJ5">
        <v>85.764318577509002</v>
      </c>
      <c r="AK5">
        <v>129.267958435666</v>
      </c>
    </row>
    <row r="6" spans="1:37" x14ac:dyDescent="0.25">
      <c r="A6" t="s">
        <v>9</v>
      </c>
      <c r="B6">
        <v>91.979124271531404</v>
      </c>
      <c r="C6">
        <v>101.922813381967</v>
      </c>
      <c r="D6">
        <v>100.679852243163</v>
      </c>
      <c r="E6">
        <v>41.017717580547803</v>
      </c>
      <c r="G6" t="s">
        <v>9</v>
      </c>
      <c r="H6">
        <v>93.222085410335794</v>
      </c>
      <c r="I6">
        <v>128.02499729686099</v>
      </c>
      <c r="J6">
        <v>125.539075019252</v>
      </c>
      <c r="K6">
        <v>79.549512883486599</v>
      </c>
      <c r="M6" t="s">
        <v>9</v>
      </c>
      <c r="N6">
        <v>187.68713195947601</v>
      </c>
      <c r="O6">
        <v>128.02499729686099</v>
      </c>
      <c r="P6">
        <v>84.521357438704499</v>
      </c>
      <c r="Q6">
        <v>115.595385908816</v>
      </c>
      <c r="S6" s="4"/>
      <c r="U6" t="s">
        <v>9</v>
      </c>
      <c r="V6">
        <v>91.979124271531404</v>
      </c>
      <c r="W6">
        <v>101.922813381967</v>
      </c>
      <c r="X6">
        <v>100.679852243163</v>
      </c>
      <c r="Y6">
        <v>41.017717580547803</v>
      </c>
      <c r="AA6" t="s">
        <v>9</v>
      </c>
      <c r="AB6">
        <v>93.222085410335794</v>
      </c>
      <c r="AC6">
        <v>128.02499729686099</v>
      </c>
      <c r="AD6">
        <v>125.539075019252</v>
      </c>
      <c r="AE6">
        <v>79.549512883486599</v>
      </c>
      <c r="AG6" t="s">
        <v>9</v>
      </c>
      <c r="AH6">
        <v>187.68713195947601</v>
      </c>
      <c r="AI6">
        <v>128.02499729686099</v>
      </c>
      <c r="AJ6">
        <v>84.521357438704499</v>
      </c>
      <c r="AK6">
        <v>115.595385908816</v>
      </c>
    </row>
    <row r="7" spans="1:37" x14ac:dyDescent="0.25">
      <c r="A7" t="s">
        <v>10</v>
      </c>
      <c r="B7">
        <v>57.176212385005996</v>
      </c>
      <c r="C7">
        <v>75.820629467073104</v>
      </c>
      <c r="D7" t="s">
        <v>6</v>
      </c>
      <c r="E7" t="s">
        <v>6</v>
      </c>
      <c r="G7" t="s">
        <v>10</v>
      </c>
      <c r="H7">
        <v>103.165774520772</v>
      </c>
      <c r="I7">
        <v>83.278396299899995</v>
      </c>
      <c r="J7">
        <v>74.5776683282687</v>
      </c>
      <c r="K7">
        <v>70.848784911855205</v>
      </c>
      <c r="M7" t="s">
        <v>10</v>
      </c>
      <c r="N7">
        <v>90.736163132726901</v>
      </c>
      <c r="O7">
        <v>93.222085410335794</v>
      </c>
      <c r="P7">
        <v>77.063590605877593</v>
      </c>
      <c r="Q7">
        <v>120.567230464034</v>
      </c>
      <c r="S7" s="4"/>
      <c r="U7" t="s">
        <v>10</v>
      </c>
      <c r="V7">
        <v>57.176212385005996</v>
      </c>
      <c r="W7">
        <v>75.820629467073104</v>
      </c>
      <c r="X7" t="s">
        <v>6</v>
      </c>
      <c r="Y7" t="s">
        <v>6</v>
      </c>
      <c r="AA7" t="s">
        <v>10</v>
      </c>
      <c r="AB7">
        <v>103.165774520772</v>
      </c>
      <c r="AC7">
        <v>83.278396299899995</v>
      </c>
      <c r="AD7">
        <v>74.5776683282687</v>
      </c>
      <c r="AE7">
        <v>70.848784911855205</v>
      </c>
      <c r="AG7" t="s">
        <v>10</v>
      </c>
      <c r="AH7">
        <v>90.736163132726901</v>
      </c>
      <c r="AI7">
        <v>93.222085410335794</v>
      </c>
      <c r="AJ7">
        <v>77.063590605877593</v>
      </c>
      <c r="AK7">
        <v>120.567230464034</v>
      </c>
    </row>
    <row r="8" spans="1:37" x14ac:dyDescent="0.25">
      <c r="A8" t="s">
        <v>11</v>
      </c>
      <c r="B8">
        <v>50.961406690983601</v>
      </c>
      <c r="C8">
        <v>48.475484413374602</v>
      </c>
      <c r="D8">
        <v>99.436891104358196</v>
      </c>
      <c r="E8" t="s">
        <v>6</v>
      </c>
      <c r="G8" t="s">
        <v>11</v>
      </c>
      <c r="H8">
        <v>87.007279716313406</v>
      </c>
      <c r="I8">
        <v>41.017717580547803</v>
      </c>
      <c r="J8">
        <v>73.334707189464197</v>
      </c>
      <c r="K8">
        <v>69.605823773050801</v>
      </c>
      <c r="M8" t="s">
        <v>11</v>
      </c>
      <c r="N8">
        <v>98.193929965553707</v>
      </c>
      <c r="O8">
        <v>89.493201993922398</v>
      </c>
      <c r="P8">
        <v>115.595385908816</v>
      </c>
      <c r="Q8">
        <v>63.391018079028399</v>
      </c>
      <c r="S8" s="4"/>
      <c r="U8" t="s">
        <v>11</v>
      </c>
      <c r="V8">
        <v>50.961406690983601</v>
      </c>
      <c r="W8">
        <v>48.475484413374602</v>
      </c>
      <c r="X8">
        <v>99.436891104358196</v>
      </c>
      <c r="Y8" t="s">
        <v>6</v>
      </c>
      <c r="AA8" t="s">
        <v>11</v>
      </c>
      <c r="AB8">
        <v>87.007279716313406</v>
      </c>
      <c r="AC8">
        <v>41.017717580547803</v>
      </c>
      <c r="AD8">
        <v>73.334707189464197</v>
      </c>
      <c r="AE8">
        <v>69.605823773050801</v>
      </c>
      <c r="AG8" t="s">
        <v>11</v>
      </c>
      <c r="AH8">
        <v>98.193929965553707</v>
      </c>
      <c r="AI8">
        <v>89.493201993922398</v>
      </c>
      <c r="AJ8">
        <v>115.595385908816</v>
      </c>
      <c r="AK8">
        <v>63.391018079028399</v>
      </c>
    </row>
    <row r="9" spans="1:37" x14ac:dyDescent="0.25">
      <c r="A9" t="s">
        <v>12</v>
      </c>
      <c r="B9">
        <v>65.876940356637306</v>
      </c>
      <c r="C9">
        <v>50.961406690983601</v>
      </c>
      <c r="D9" t="s">
        <v>6</v>
      </c>
      <c r="E9">
        <v>39.7747564417433</v>
      </c>
      <c r="G9" t="s">
        <v>12</v>
      </c>
      <c r="H9">
        <v>78.306551744682096</v>
      </c>
      <c r="I9">
        <v>95.7080076879448</v>
      </c>
      <c r="J9">
        <v>68.362862634246298</v>
      </c>
      <c r="K9">
        <v>82.035435161095506</v>
      </c>
      <c r="M9" t="s">
        <v>12</v>
      </c>
      <c r="N9">
        <v>82.035435161095506</v>
      </c>
      <c r="O9">
        <v>90.736163132726901</v>
      </c>
      <c r="P9">
        <v>108.13761907599</v>
      </c>
      <c r="Q9">
        <v>106.894657937185</v>
      </c>
      <c r="S9" s="4"/>
      <c r="U9" t="s">
        <v>12</v>
      </c>
      <c r="V9">
        <v>65.876940356637306</v>
      </c>
      <c r="W9">
        <v>50.961406690983601</v>
      </c>
      <c r="X9" t="s">
        <v>6</v>
      </c>
      <c r="Y9">
        <v>39.7747564417433</v>
      </c>
      <c r="AA9" t="s">
        <v>12</v>
      </c>
      <c r="AB9">
        <v>78.306551744682096</v>
      </c>
      <c r="AC9">
        <v>95.7080076879448</v>
      </c>
      <c r="AD9">
        <v>68.362862634246298</v>
      </c>
      <c r="AE9">
        <v>82.035435161095506</v>
      </c>
      <c r="AG9" t="s">
        <v>12</v>
      </c>
      <c r="AH9">
        <v>82.035435161095506</v>
      </c>
      <c r="AI9">
        <v>90.736163132726901</v>
      </c>
      <c r="AJ9">
        <v>108.13761907599</v>
      </c>
      <c r="AK9">
        <v>106.894657937185</v>
      </c>
    </row>
    <row r="10" spans="1:37" x14ac:dyDescent="0.25">
      <c r="A10" t="s">
        <v>13</v>
      </c>
      <c r="B10">
        <v>31.074028470111902</v>
      </c>
      <c r="C10">
        <v>49.718445552179098</v>
      </c>
      <c r="D10">
        <v>34.802911886525401</v>
      </c>
      <c r="E10">
        <v>28.588106192502998</v>
      </c>
      <c r="G10" t="s">
        <v>13</v>
      </c>
      <c r="H10">
        <v>69.605823773050801</v>
      </c>
      <c r="I10">
        <v>94.465046549140297</v>
      </c>
      <c r="J10">
        <v>83.278396299899995</v>
      </c>
      <c r="K10">
        <v>103.165774520772</v>
      </c>
      <c r="M10" t="s">
        <v>13</v>
      </c>
      <c r="N10">
        <v>105.651696798381</v>
      </c>
      <c r="O10">
        <v>111.866502492403</v>
      </c>
      <c r="P10">
        <v>72.091746050659694</v>
      </c>
      <c r="Q10">
        <v>101.922813381967</v>
      </c>
      <c r="S10" s="4"/>
      <c r="U10" t="s">
        <v>13</v>
      </c>
      <c r="V10">
        <v>31.074028470111902</v>
      </c>
      <c r="W10">
        <v>49.718445552179098</v>
      </c>
      <c r="X10">
        <v>34.802911886525401</v>
      </c>
      <c r="Y10">
        <v>28.588106192502998</v>
      </c>
      <c r="AA10" t="s">
        <v>13</v>
      </c>
      <c r="AB10">
        <v>69.605823773050801</v>
      </c>
      <c r="AC10">
        <v>94.465046549140297</v>
      </c>
      <c r="AD10">
        <v>83.278396299899995</v>
      </c>
      <c r="AE10">
        <v>103.165774520772</v>
      </c>
      <c r="AG10" t="s">
        <v>13</v>
      </c>
      <c r="AH10">
        <v>105.651696798381</v>
      </c>
      <c r="AI10">
        <v>111.866502492403</v>
      </c>
      <c r="AJ10">
        <v>72.091746050659694</v>
      </c>
      <c r="AK10">
        <v>101.922813381967</v>
      </c>
    </row>
    <row r="11" spans="1:37" x14ac:dyDescent="0.25">
      <c r="A11" t="s">
        <v>5</v>
      </c>
      <c r="G11" t="s">
        <v>5</v>
      </c>
      <c r="M11" t="s">
        <v>5</v>
      </c>
      <c r="S11" s="4"/>
      <c r="U11" t="s">
        <v>5</v>
      </c>
      <c r="AA11" t="s">
        <v>5</v>
      </c>
      <c r="AG11" t="s">
        <v>5</v>
      </c>
    </row>
    <row r="12" spans="1:37" x14ac:dyDescent="0.25">
      <c r="A12" t="s">
        <v>7</v>
      </c>
      <c r="G12" t="s">
        <v>7</v>
      </c>
      <c r="M12" t="s">
        <v>7</v>
      </c>
      <c r="S12" s="4"/>
      <c r="U12" t="s">
        <v>7</v>
      </c>
      <c r="AA12" t="s">
        <v>7</v>
      </c>
      <c r="AG12" t="s">
        <v>7</v>
      </c>
    </row>
    <row r="13" spans="1:37" x14ac:dyDescent="0.25">
      <c r="A13" t="s">
        <v>8</v>
      </c>
      <c r="G13" t="s">
        <v>8</v>
      </c>
      <c r="M13" t="s">
        <v>8</v>
      </c>
      <c r="S13" s="4"/>
      <c r="U13" t="s">
        <v>8</v>
      </c>
      <c r="AA13" t="s">
        <v>8</v>
      </c>
      <c r="AG13" t="s">
        <v>8</v>
      </c>
    </row>
    <row r="14" spans="1:37" x14ac:dyDescent="0.25">
      <c r="A14" t="s">
        <v>9</v>
      </c>
      <c r="G14" t="s">
        <v>9</v>
      </c>
      <c r="M14" t="s">
        <v>9</v>
      </c>
      <c r="S14" s="4"/>
      <c r="U14" t="s">
        <v>9</v>
      </c>
      <c r="AA14" t="s">
        <v>9</v>
      </c>
      <c r="AG14" t="s">
        <v>9</v>
      </c>
    </row>
    <row r="15" spans="1:37" x14ac:dyDescent="0.25">
      <c r="A15" t="s">
        <v>10</v>
      </c>
      <c r="G15" t="s">
        <v>10</v>
      </c>
      <c r="M15" t="s">
        <v>10</v>
      </c>
      <c r="S15" s="4"/>
      <c r="U15" t="s">
        <v>10</v>
      </c>
      <c r="AA15" t="s">
        <v>10</v>
      </c>
      <c r="AG15" t="s">
        <v>10</v>
      </c>
    </row>
    <row r="16" spans="1:37" x14ac:dyDescent="0.25">
      <c r="A16" t="s">
        <v>11</v>
      </c>
      <c r="G16" t="s">
        <v>11</v>
      </c>
      <c r="M16" t="s">
        <v>11</v>
      </c>
      <c r="S16" s="4"/>
      <c r="U16" t="s">
        <v>11</v>
      </c>
      <c r="AA16" t="s">
        <v>11</v>
      </c>
      <c r="AG16" t="s">
        <v>11</v>
      </c>
    </row>
    <row r="17" spans="1:37" x14ac:dyDescent="0.25">
      <c r="A17" t="s">
        <v>12</v>
      </c>
      <c r="G17" t="s">
        <v>12</v>
      </c>
      <c r="M17" t="s">
        <v>12</v>
      </c>
      <c r="S17" s="4"/>
      <c r="U17" t="s">
        <v>12</v>
      </c>
      <c r="AA17" t="s">
        <v>12</v>
      </c>
      <c r="AG17" t="s">
        <v>12</v>
      </c>
    </row>
    <row r="18" spans="1:37" x14ac:dyDescent="0.25">
      <c r="A18" t="s">
        <v>13</v>
      </c>
      <c r="G18" t="s">
        <v>13</v>
      </c>
      <c r="M18" t="s">
        <v>13</v>
      </c>
      <c r="S18" s="4"/>
      <c r="U18" t="s">
        <v>13</v>
      </c>
      <c r="AA18" t="s">
        <v>13</v>
      </c>
      <c r="AG18" t="s">
        <v>13</v>
      </c>
    </row>
    <row r="19" spans="1:3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  <c r="S19" s="4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</row>
    <row r="20" spans="1:37" x14ac:dyDescent="0.25">
      <c r="A20" t="s">
        <v>14</v>
      </c>
      <c r="B20">
        <f>COUNT(B3:B18)</f>
        <v>8</v>
      </c>
      <c r="C20">
        <f t="shared" ref="C20:E20" si="0">COUNT(C3:C18)</f>
        <v>8</v>
      </c>
      <c r="D20">
        <f t="shared" si="0"/>
        <v>6</v>
      </c>
      <c r="E20">
        <f t="shared" si="0"/>
        <v>5</v>
      </c>
      <c r="G20" t="s">
        <v>14</v>
      </c>
      <c r="H20">
        <f>COUNT(H3:H18)</f>
        <v>8</v>
      </c>
      <c r="I20">
        <f t="shared" ref="I20:K20" si="1">COUNT(I3:I18)</f>
        <v>8</v>
      </c>
      <c r="J20">
        <f t="shared" si="1"/>
        <v>8</v>
      </c>
      <c r="K20">
        <f t="shared" si="1"/>
        <v>8</v>
      </c>
      <c r="M20" t="s">
        <v>14</v>
      </c>
      <c r="N20">
        <f>COUNT(N3:N18)</f>
        <v>8</v>
      </c>
      <c r="O20">
        <f t="shared" ref="O20:Q20" si="2">COUNT(O3:O18)</f>
        <v>8</v>
      </c>
      <c r="P20">
        <f t="shared" si="2"/>
        <v>8</v>
      </c>
      <c r="Q20">
        <f t="shared" si="2"/>
        <v>8</v>
      </c>
      <c r="S20" s="4"/>
      <c r="U20" t="s">
        <v>14</v>
      </c>
      <c r="V20">
        <f>COUNT(V3:V18)</f>
        <v>8</v>
      </c>
      <c r="W20">
        <f t="shared" ref="W20:Y20" si="3">COUNT(W3:W18)</f>
        <v>8</v>
      </c>
      <c r="X20">
        <f t="shared" si="3"/>
        <v>6</v>
      </c>
      <c r="Y20">
        <f t="shared" si="3"/>
        <v>5</v>
      </c>
      <c r="AA20" t="s">
        <v>14</v>
      </c>
      <c r="AB20">
        <f>COUNT(AB3:AB18)</f>
        <v>7</v>
      </c>
      <c r="AC20">
        <f t="shared" ref="AC20:AE20" si="4">COUNT(AC3:AC18)</f>
        <v>8</v>
      </c>
      <c r="AD20">
        <f t="shared" si="4"/>
        <v>8</v>
      </c>
      <c r="AE20">
        <f t="shared" si="4"/>
        <v>8</v>
      </c>
      <c r="AG20" t="s">
        <v>14</v>
      </c>
      <c r="AH20">
        <f>COUNT(AH3:AH18)</f>
        <v>8</v>
      </c>
      <c r="AI20">
        <f t="shared" ref="AI20:AK20" si="5">COUNT(AI3:AI18)</f>
        <v>8</v>
      </c>
      <c r="AJ20">
        <f t="shared" si="5"/>
        <v>8</v>
      </c>
      <c r="AK20">
        <f t="shared" si="5"/>
        <v>8</v>
      </c>
    </row>
    <row r="21" spans="1:37" x14ac:dyDescent="0.25">
      <c r="A21" t="s">
        <v>15</v>
      </c>
      <c r="B21">
        <f>MAX(B3:B18)</f>
        <v>91.979124271531404</v>
      </c>
      <c r="C21">
        <f t="shared" ref="C21:E21" si="6">MAX(C3:C18)</f>
        <v>101.922813381967</v>
      </c>
      <c r="D21">
        <f t="shared" si="6"/>
        <v>100.679852243163</v>
      </c>
      <c r="E21">
        <f t="shared" si="6"/>
        <v>62.148056940223903</v>
      </c>
      <c r="G21" t="s">
        <v>15</v>
      </c>
      <c r="H21">
        <f>MAX(H3:H18)</f>
        <v>183.95824854306301</v>
      </c>
      <c r="I21">
        <f t="shared" ref="I21:K21" si="7">MAX(I3:I18)</f>
        <v>128.02499729686099</v>
      </c>
      <c r="J21">
        <f t="shared" si="7"/>
        <v>125.539075019252</v>
      </c>
      <c r="K21">
        <f t="shared" si="7"/>
        <v>131.75388071327501</v>
      </c>
      <c r="M21" t="s">
        <v>15</v>
      </c>
      <c r="N21">
        <f>MAX(N3:N18)</f>
        <v>187.68713195947601</v>
      </c>
      <c r="O21">
        <f t="shared" ref="O21:Q21" si="8">MAX(O3:O18)</f>
        <v>145.426453240124</v>
      </c>
      <c r="P21">
        <f t="shared" si="8"/>
        <v>152.884220072951</v>
      </c>
      <c r="Q21">
        <f t="shared" si="8"/>
        <v>129.267958435666</v>
      </c>
      <c r="S21" s="4"/>
      <c r="U21" t="s">
        <v>15</v>
      </c>
      <c r="V21">
        <f>MAX(V3:V18)</f>
        <v>91.979124271531404</v>
      </c>
      <c r="W21">
        <f t="shared" ref="W21:Y21" si="9">MAX(W3:W18)</f>
        <v>101.922813381967</v>
      </c>
      <c r="X21">
        <f t="shared" si="9"/>
        <v>100.679852243163</v>
      </c>
      <c r="Y21">
        <f t="shared" si="9"/>
        <v>62.148056940223903</v>
      </c>
      <c r="AA21" t="s">
        <v>15</v>
      </c>
      <c r="AB21">
        <f>MAX(AB3:AB18)</f>
        <v>114.35242477001199</v>
      </c>
      <c r="AC21">
        <f t="shared" ref="AC21:AE21" si="10">MAX(AC3:AC18)</f>
        <v>128.02499729686099</v>
      </c>
      <c r="AD21">
        <f t="shared" si="10"/>
        <v>125.539075019252</v>
      </c>
      <c r="AE21">
        <f t="shared" si="10"/>
        <v>131.75388071327501</v>
      </c>
      <c r="AG21" t="s">
        <v>15</v>
      </c>
      <c r="AH21">
        <f>MAX(AH3:AH18)</f>
        <v>187.68713195947601</v>
      </c>
      <c r="AI21">
        <f t="shared" ref="AI21:AK21" si="11">MAX(AI3:AI18)</f>
        <v>145.426453240124</v>
      </c>
      <c r="AJ21">
        <f t="shared" si="11"/>
        <v>152.884220072951</v>
      </c>
      <c r="AK21">
        <f t="shared" si="11"/>
        <v>129.267958435666</v>
      </c>
    </row>
    <row r="22" spans="1:37" x14ac:dyDescent="0.25">
      <c r="A22" t="s">
        <v>16</v>
      </c>
      <c r="B22">
        <f>MIN(B3:B18)</f>
        <v>31.074028470111902</v>
      </c>
      <c r="C22">
        <f t="shared" ref="C22:E22" si="12">MIN(C3:C18)</f>
        <v>41.017717580547803</v>
      </c>
      <c r="D22">
        <f t="shared" si="12"/>
        <v>34.802911886525401</v>
      </c>
      <c r="E22">
        <f t="shared" si="12"/>
        <v>28.588106192502998</v>
      </c>
      <c r="G22" t="s">
        <v>16</v>
      </c>
      <c r="H22">
        <f>MIN(H3:H18)</f>
        <v>69.605823773050801</v>
      </c>
      <c r="I22">
        <f t="shared" ref="I22:K22" si="13">MIN(I3:I18)</f>
        <v>41.017717580547803</v>
      </c>
      <c r="J22">
        <f t="shared" si="13"/>
        <v>68.362862634246298</v>
      </c>
      <c r="K22">
        <f t="shared" si="13"/>
        <v>69.605823773050801</v>
      </c>
      <c r="M22" t="s">
        <v>16</v>
      </c>
      <c r="N22">
        <f>MIN(N3:N18)</f>
        <v>82.035435161095506</v>
      </c>
      <c r="O22">
        <f t="shared" ref="O22:Q22" si="14">MIN(O3:O18)</f>
        <v>89.493201993922398</v>
      </c>
      <c r="P22">
        <f t="shared" si="14"/>
        <v>72.091746050659694</v>
      </c>
      <c r="Q22">
        <f t="shared" si="14"/>
        <v>48.475484413374602</v>
      </c>
      <c r="S22" s="4"/>
      <c r="U22" t="s">
        <v>16</v>
      </c>
      <c r="V22">
        <f>MIN(V3:V18)</f>
        <v>31.074028470111902</v>
      </c>
      <c r="W22">
        <f t="shared" ref="W22:Y22" si="15">MIN(W3:W18)</f>
        <v>41.017717580547803</v>
      </c>
      <c r="X22">
        <f t="shared" si="15"/>
        <v>34.802911886525401</v>
      </c>
      <c r="Y22">
        <f t="shared" si="15"/>
        <v>28.588106192502998</v>
      </c>
      <c r="AA22" t="s">
        <v>16</v>
      </c>
      <c r="AB22">
        <f>MIN(AB3:AB18)</f>
        <v>69.605823773050801</v>
      </c>
      <c r="AC22">
        <f t="shared" ref="AC22:AE22" si="16">MIN(AC3:AC18)</f>
        <v>41.017717580547803</v>
      </c>
      <c r="AD22">
        <f t="shared" si="16"/>
        <v>68.362862634246298</v>
      </c>
      <c r="AE22">
        <f t="shared" si="16"/>
        <v>69.605823773050801</v>
      </c>
      <c r="AG22" t="s">
        <v>16</v>
      </c>
      <c r="AH22">
        <f>MIN(AH3:AH18)</f>
        <v>82.035435161095506</v>
      </c>
      <c r="AI22">
        <f t="shared" ref="AI22:AK22" si="17">MIN(AI3:AI18)</f>
        <v>89.493201993922398</v>
      </c>
      <c r="AJ22">
        <f t="shared" si="17"/>
        <v>72.091746050659694</v>
      </c>
      <c r="AK22">
        <f t="shared" si="17"/>
        <v>48.475484413374602</v>
      </c>
    </row>
    <row r="23" spans="1:37" x14ac:dyDescent="0.25">
      <c r="A23" t="s">
        <v>17</v>
      </c>
      <c r="B23">
        <f>AVERAGE(B3:B18)</f>
        <v>62.458797224925007</v>
      </c>
      <c r="C23">
        <f t="shared" ref="C23:E23" si="18">AVERAGE(C3:C18)</f>
        <v>61.060465943769955</v>
      </c>
      <c r="D23">
        <f t="shared" si="18"/>
        <v>75.199148897670966</v>
      </c>
      <c r="E23">
        <f t="shared" si="18"/>
        <v>45.243785452483003</v>
      </c>
      <c r="G23" t="s">
        <v>17</v>
      </c>
      <c r="H23">
        <f>AVERAGE(H3:H18)</f>
        <v>103.32114466312231</v>
      </c>
      <c r="I23">
        <f t="shared" ref="I23:K23" si="19">AVERAGE(I3:I18)</f>
        <v>95.708007687944743</v>
      </c>
      <c r="J23">
        <f t="shared" si="19"/>
        <v>95.708007687944772</v>
      </c>
      <c r="K23">
        <f t="shared" si="19"/>
        <v>90.736163132726972</v>
      </c>
      <c r="M23" t="s">
        <v>17</v>
      </c>
      <c r="N23">
        <f>AVERAGE(N3:N18)</f>
        <v>121.81019160283888</v>
      </c>
      <c r="O23">
        <f t="shared" ref="O23:Q23" si="20">AVERAGE(O3:O18)</f>
        <v>111.08965178065027</v>
      </c>
      <c r="P23">
        <f t="shared" si="20"/>
        <v>103.16577452077172</v>
      </c>
      <c r="Q23">
        <f t="shared" si="20"/>
        <v>100.67985224316263</v>
      </c>
      <c r="S23" s="4"/>
      <c r="U23" t="s">
        <v>17</v>
      </c>
      <c r="V23">
        <f>AVERAGE(V3:V18)</f>
        <v>62.458797224925007</v>
      </c>
      <c r="W23">
        <f t="shared" ref="W23:Y23" si="21">AVERAGE(W3:W18)</f>
        <v>61.060465943769955</v>
      </c>
      <c r="X23">
        <f t="shared" si="21"/>
        <v>75.199148897670966</v>
      </c>
      <c r="Y23">
        <f t="shared" si="21"/>
        <v>45.243785452483003</v>
      </c>
      <c r="AA23" t="s">
        <v>17</v>
      </c>
      <c r="AB23">
        <f>AVERAGE(AB3:AB18)</f>
        <v>91.801558394559351</v>
      </c>
      <c r="AC23">
        <f t="shared" ref="AC23:AE23" si="22">AVERAGE(AC3:AC18)</f>
        <v>95.708007687944743</v>
      </c>
      <c r="AD23">
        <f t="shared" si="22"/>
        <v>95.708007687944772</v>
      </c>
      <c r="AE23">
        <f t="shared" si="22"/>
        <v>90.736163132726972</v>
      </c>
      <c r="AG23" t="s">
        <v>17</v>
      </c>
      <c r="AH23">
        <f>AVERAGE(AH3:AH18)</f>
        <v>121.81019160283888</v>
      </c>
      <c r="AI23">
        <f t="shared" ref="AI23:AK23" si="23">AVERAGE(AI3:AI18)</f>
        <v>111.08965178065027</v>
      </c>
      <c r="AJ23">
        <f t="shared" si="23"/>
        <v>103.16577452077172</v>
      </c>
      <c r="AK23">
        <f t="shared" si="23"/>
        <v>100.67985224316263</v>
      </c>
    </row>
    <row r="24" spans="1:37" x14ac:dyDescent="0.25">
      <c r="A24" t="s">
        <v>18</v>
      </c>
      <c r="B24">
        <f>STDEV(B3:B18)</f>
        <v>18.599972639635066</v>
      </c>
      <c r="C24">
        <f t="shared" ref="C24:E24" si="24">STDEV(C3:C18)</f>
        <v>21.003968039106251</v>
      </c>
      <c r="D24">
        <f t="shared" si="24"/>
        <v>25.891211697015098</v>
      </c>
      <c r="E24">
        <f t="shared" si="24"/>
        <v>13.230385711652593</v>
      </c>
      <c r="G24" t="s">
        <v>18</v>
      </c>
      <c r="H24">
        <f>STDEV(H3:H18)</f>
        <v>35.446581241351694</v>
      </c>
      <c r="I24">
        <f t="shared" ref="I24:K24" si="25">STDEV(I3:I18)</f>
        <v>27.369347871583024</v>
      </c>
      <c r="J24">
        <f t="shared" si="25"/>
        <v>23.517928406706329</v>
      </c>
      <c r="K24">
        <f t="shared" si="25"/>
        <v>21.884589137089662</v>
      </c>
      <c r="M24" t="s">
        <v>18</v>
      </c>
      <c r="N24">
        <f>STDEV(N3:N18)</f>
        <v>34.758492070227838</v>
      </c>
      <c r="O24">
        <f t="shared" ref="O24:Q24" si="26">STDEV(O3:O18)</f>
        <v>19.764226759527677</v>
      </c>
      <c r="P24">
        <f t="shared" si="26"/>
        <v>28.359444177896808</v>
      </c>
      <c r="Q24">
        <f t="shared" si="26"/>
        <v>29.127299411549341</v>
      </c>
      <c r="S24" s="4"/>
      <c r="U24" t="s">
        <v>18</v>
      </c>
      <c r="V24">
        <f>STDEV(V3:V18)</f>
        <v>18.599972639635066</v>
      </c>
      <c r="W24">
        <f t="shared" ref="W24:Y24" si="27">STDEV(W3:W18)</f>
        <v>21.003968039106251</v>
      </c>
      <c r="X24">
        <f t="shared" si="27"/>
        <v>25.891211697015098</v>
      </c>
      <c r="Y24">
        <f t="shared" si="27"/>
        <v>13.230385711652593</v>
      </c>
      <c r="AA24" t="s">
        <v>18</v>
      </c>
      <c r="AB24">
        <f>STDEV(AB3:AB18)</f>
        <v>15.077423824832859</v>
      </c>
      <c r="AC24">
        <f t="shared" ref="AC24:AE24" si="28">STDEV(AC3:AC18)</f>
        <v>27.369347871583024</v>
      </c>
      <c r="AD24">
        <f t="shared" si="28"/>
        <v>23.517928406706329</v>
      </c>
      <c r="AE24">
        <f t="shared" si="28"/>
        <v>21.884589137089662</v>
      </c>
      <c r="AG24" t="s">
        <v>18</v>
      </c>
      <c r="AH24">
        <f>STDEV(AH3:AH18)</f>
        <v>34.758492070227838</v>
      </c>
      <c r="AI24">
        <f t="shared" ref="AI24:AK24" si="29">STDEV(AI3:AI18)</f>
        <v>19.764226759527677</v>
      </c>
      <c r="AJ24">
        <f t="shared" si="29"/>
        <v>28.359444177896808</v>
      </c>
      <c r="AK24">
        <f t="shared" si="29"/>
        <v>29.127299411549341</v>
      </c>
    </row>
    <row r="25" spans="1:37" x14ac:dyDescent="0.25">
      <c r="A25" t="s">
        <v>19</v>
      </c>
      <c r="B25">
        <f>B23+2*B24</f>
        <v>99.658742504195146</v>
      </c>
      <c r="C25">
        <f t="shared" ref="C25:E25" si="30">C23+2*C24</f>
        <v>103.06840202198245</v>
      </c>
      <c r="D25">
        <f t="shared" si="30"/>
        <v>126.98157229170116</v>
      </c>
      <c r="E25">
        <f t="shared" si="30"/>
        <v>71.704556875788185</v>
      </c>
      <c r="G25" t="s">
        <v>19</v>
      </c>
      <c r="H25">
        <f>H23+2*H24</f>
        <v>174.2143071458257</v>
      </c>
      <c r="I25">
        <f t="shared" ref="I25:K25" si="31">I23+2*I24</f>
        <v>150.44670343111079</v>
      </c>
      <c r="J25">
        <f t="shared" si="31"/>
        <v>142.74386450135742</v>
      </c>
      <c r="K25">
        <f t="shared" si="31"/>
        <v>134.5053414069063</v>
      </c>
      <c r="M25" t="s">
        <v>19</v>
      </c>
      <c r="N25">
        <f>N23+2*N24</f>
        <v>191.32717574329456</v>
      </c>
      <c r="O25">
        <f t="shared" ref="O25:Q25" si="32">O23+2*O24</f>
        <v>150.61810529970563</v>
      </c>
      <c r="P25">
        <f t="shared" si="32"/>
        <v>159.88466287656533</v>
      </c>
      <c r="Q25">
        <f t="shared" si="32"/>
        <v>158.93445106626132</v>
      </c>
      <c r="S25" s="4"/>
      <c r="U25" t="s">
        <v>19</v>
      </c>
      <c r="V25">
        <f>V23+2*V24</f>
        <v>99.658742504195146</v>
      </c>
      <c r="W25">
        <f t="shared" ref="W25:Y25" si="33">W23+2*W24</f>
        <v>103.06840202198245</v>
      </c>
      <c r="X25">
        <f t="shared" si="33"/>
        <v>126.98157229170116</v>
      </c>
      <c r="Y25">
        <f t="shared" si="33"/>
        <v>71.704556875788185</v>
      </c>
      <c r="AA25" t="s">
        <v>19</v>
      </c>
      <c r="AB25">
        <f>AB23+2*AB24</f>
        <v>121.95640604422508</v>
      </c>
      <c r="AC25">
        <f t="shared" ref="AC25:AE25" si="34">AC23+2*AC24</f>
        <v>150.44670343111079</v>
      </c>
      <c r="AD25">
        <f t="shared" si="34"/>
        <v>142.74386450135742</v>
      </c>
      <c r="AE25">
        <f t="shared" si="34"/>
        <v>134.5053414069063</v>
      </c>
      <c r="AG25" t="s">
        <v>19</v>
      </c>
      <c r="AH25">
        <f>AH23+2*AH24</f>
        <v>191.32717574329456</v>
      </c>
      <c r="AI25">
        <f t="shared" ref="AI25:AK25" si="35">AI23+2*AI24</f>
        <v>150.61810529970563</v>
      </c>
      <c r="AJ25">
        <f t="shared" si="35"/>
        <v>159.88466287656533</v>
      </c>
      <c r="AK25">
        <f t="shared" si="35"/>
        <v>158.93445106626132</v>
      </c>
    </row>
    <row r="26" spans="1:37" x14ac:dyDescent="0.25">
      <c r="A26" t="s">
        <v>20</v>
      </c>
      <c r="B26">
        <f>B23-2*B24</f>
        <v>25.258851945654875</v>
      </c>
      <c r="C26">
        <f t="shared" ref="C26:E26" si="36">C23-2*C24</f>
        <v>19.052529865557453</v>
      </c>
      <c r="D26">
        <f t="shared" si="36"/>
        <v>23.41672550364077</v>
      </c>
      <c r="E26">
        <f t="shared" si="36"/>
        <v>18.783014029177817</v>
      </c>
      <c r="G26" t="s">
        <v>20</v>
      </c>
      <c r="H26">
        <f>H23-2*H24</f>
        <v>32.427982180418923</v>
      </c>
      <c r="I26">
        <f t="shared" ref="I26:K26" si="37">I23-2*I24</f>
        <v>40.969311944778696</v>
      </c>
      <c r="J26">
        <f t="shared" si="37"/>
        <v>48.672150874532115</v>
      </c>
      <c r="K26">
        <f t="shared" si="37"/>
        <v>46.966984858547647</v>
      </c>
      <c r="M26" t="s">
        <v>20</v>
      </c>
      <c r="N26">
        <f>N23-2*N24</f>
        <v>52.293207462383208</v>
      </c>
      <c r="O26">
        <f t="shared" ref="O26:Q26" si="38">O23-2*O24</f>
        <v>71.56119826159491</v>
      </c>
      <c r="P26">
        <f t="shared" si="38"/>
        <v>46.446886164978103</v>
      </c>
      <c r="Q26">
        <f t="shared" si="38"/>
        <v>42.425253420063946</v>
      </c>
      <c r="S26" s="4"/>
      <c r="U26" t="s">
        <v>20</v>
      </c>
      <c r="V26">
        <f>V23-2*V24</f>
        <v>25.258851945654875</v>
      </c>
      <c r="W26">
        <f t="shared" ref="W26:Y26" si="39">W23-2*W24</f>
        <v>19.052529865557453</v>
      </c>
      <c r="X26">
        <f t="shared" si="39"/>
        <v>23.41672550364077</v>
      </c>
      <c r="Y26">
        <f t="shared" si="39"/>
        <v>18.783014029177817</v>
      </c>
      <c r="AA26" t="s">
        <v>20</v>
      </c>
      <c r="AB26">
        <f>AB23-2*AB24</f>
        <v>61.646710744893632</v>
      </c>
      <c r="AC26">
        <f t="shared" ref="AC26:AE26" si="40">AC23-2*AC24</f>
        <v>40.969311944778696</v>
      </c>
      <c r="AD26">
        <f t="shared" si="40"/>
        <v>48.672150874532115</v>
      </c>
      <c r="AE26">
        <f t="shared" si="40"/>
        <v>46.966984858547647</v>
      </c>
      <c r="AG26" t="s">
        <v>20</v>
      </c>
      <c r="AH26">
        <f>AH23-2*AH24</f>
        <v>52.293207462383208</v>
      </c>
      <c r="AI26">
        <f t="shared" ref="AI26:AK26" si="41">AI23-2*AI24</f>
        <v>71.56119826159491</v>
      </c>
      <c r="AJ26">
        <f t="shared" si="41"/>
        <v>46.446886164978103</v>
      </c>
      <c r="AK26">
        <f t="shared" si="41"/>
        <v>42.425253420063946</v>
      </c>
    </row>
    <row r="27" spans="1:37" x14ac:dyDescent="0.25">
      <c r="A27" t="s">
        <v>21</v>
      </c>
      <c r="B27">
        <f>VAR(B3:B18)</f>
        <v>345.95898219517301</v>
      </c>
      <c r="C27">
        <f t="shared" ref="C27:E27" si="42">VAR(C3:C18)</f>
        <v>441.16667338779683</v>
      </c>
      <c r="D27">
        <f t="shared" si="42"/>
        <v>670.35484313965139</v>
      </c>
      <c r="E27">
        <f t="shared" si="42"/>
        <v>175.04310607910111</v>
      </c>
      <c r="G27" t="s">
        <v>21</v>
      </c>
      <c r="H27">
        <f>VAR(H3:H18)</f>
        <v>1256.460121699746</v>
      </c>
      <c r="I27">
        <f t="shared" ref="I27:K27" si="43">VAR(I3:I18)</f>
        <v>749.08120291572618</v>
      </c>
      <c r="J27">
        <f t="shared" si="43"/>
        <v>553.09295654296454</v>
      </c>
      <c r="K27">
        <f t="shared" si="43"/>
        <v>478.9352416992229</v>
      </c>
      <c r="M27" t="s">
        <v>21</v>
      </c>
      <c r="N27">
        <f>VAR(N3:N18)</f>
        <v>1208.1527709960917</v>
      </c>
      <c r="O27">
        <f t="shared" ref="O27:Q27" si="44">VAR(O3:O18)</f>
        <v>390.62465940202986</v>
      </c>
      <c r="P27">
        <f t="shared" si="44"/>
        <v>804.25807407924526</v>
      </c>
      <c r="Q27">
        <f t="shared" si="44"/>
        <v>848.39957101004256</v>
      </c>
      <c r="S27" s="4"/>
      <c r="U27" t="s">
        <v>21</v>
      </c>
      <c r="V27">
        <f>VAR(V3:V18)</f>
        <v>345.95898219517301</v>
      </c>
      <c r="W27">
        <f t="shared" ref="W27:Y27" si="45">VAR(W3:W18)</f>
        <v>441.16667338779683</v>
      </c>
      <c r="X27">
        <f t="shared" si="45"/>
        <v>670.35484313965139</v>
      </c>
      <c r="Y27">
        <f t="shared" si="45"/>
        <v>175.04310607910111</v>
      </c>
      <c r="AA27" t="s">
        <v>21</v>
      </c>
      <c r="AB27">
        <f>VAR(AB3:AB18)</f>
        <v>227.32870919363754</v>
      </c>
      <c r="AC27">
        <f t="shared" ref="AC27:AE27" si="46">VAR(AC3:AC18)</f>
        <v>749.08120291572618</v>
      </c>
      <c r="AD27">
        <f t="shared" si="46"/>
        <v>553.09295654296454</v>
      </c>
      <c r="AE27">
        <f t="shared" si="46"/>
        <v>478.9352416992229</v>
      </c>
      <c r="AG27" t="s">
        <v>21</v>
      </c>
      <c r="AH27">
        <f>VAR(AH3:AH18)</f>
        <v>1208.1527709960917</v>
      </c>
      <c r="AI27">
        <f t="shared" ref="AI27:AK27" si="47">VAR(AI3:AI18)</f>
        <v>390.62465940202986</v>
      </c>
      <c r="AJ27">
        <f t="shared" si="47"/>
        <v>804.25807407924526</v>
      </c>
      <c r="AK27">
        <f t="shared" si="47"/>
        <v>848.39957101004256</v>
      </c>
    </row>
    <row r="28" spans="1:37" x14ac:dyDescent="0.25">
      <c r="S28" s="4"/>
    </row>
    <row r="29" spans="1:37" x14ac:dyDescent="0.25">
      <c r="A29" t="s">
        <v>22</v>
      </c>
      <c r="G29" t="s">
        <v>23</v>
      </c>
      <c r="H29">
        <f>AVERAGE(H3:H10)</f>
        <v>103.32114466312231</v>
      </c>
      <c r="I29">
        <f t="shared" ref="I29:K29" si="48">AVERAGE(I3:I10)</f>
        <v>95.708007687944743</v>
      </c>
      <c r="J29">
        <f t="shared" si="48"/>
        <v>95.708007687944772</v>
      </c>
      <c r="K29">
        <f t="shared" si="48"/>
        <v>90.736163132726972</v>
      </c>
      <c r="M29" t="s">
        <v>23</v>
      </c>
      <c r="N29">
        <f>AVERAGE(N3:N10)</f>
        <v>121.81019160283888</v>
      </c>
      <c r="O29">
        <f t="shared" ref="O29:Q29" si="49">AVERAGE(O3:O10)</f>
        <v>111.08965178065027</v>
      </c>
      <c r="P29">
        <f t="shared" si="49"/>
        <v>103.16577452077172</v>
      </c>
      <c r="Q29">
        <f t="shared" si="49"/>
        <v>100.67985224316263</v>
      </c>
      <c r="S29" s="4"/>
      <c r="U29" t="s">
        <v>22</v>
      </c>
      <c r="AA29" t="s">
        <v>23</v>
      </c>
      <c r="AB29">
        <f>AVERAGE(AB3:AB10)</f>
        <v>91.801558394559351</v>
      </c>
      <c r="AC29">
        <f t="shared" ref="AC29:AE29" si="50">AVERAGE(AC3:AC10)</f>
        <v>95.708007687944743</v>
      </c>
      <c r="AD29">
        <f t="shared" si="50"/>
        <v>95.708007687944772</v>
      </c>
      <c r="AE29">
        <f t="shared" si="50"/>
        <v>90.736163132726972</v>
      </c>
      <c r="AG29" t="s">
        <v>23</v>
      </c>
      <c r="AH29">
        <f>AVERAGE(AH3:AH10)</f>
        <v>121.81019160283888</v>
      </c>
      <c r="AI29">
        <f t="shared" ref="AI29:AK29" si="51">AVERAGE(AI3:AI10)</f>
        <v>111.08965178065027</v>
      </c>
      <c r="AJ29">
        <f t="shared" si="51"/>
        <v>103.16577452077172</v>
      </c>
      <c r="AK29">
        <f t="shared" si="51"/>
        <v>100.67985224316263</v>
      </c>
    </row>
    <row r="30" spans="1:37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52">AVERAGE(I11:I18)</f>
        <v>#DIV/0!</v>
      </c>
      <c r="J30" t="e">
        <f t="shared" si="52"/>
        <v>#DIV/0!</v>
      </c>
      <c r="K30" t="e">
        <f t="shared" si="52"/>
        <v>#DIV/0!</v>
      </c>
      <c r="M30" t="s">
        <v>24</v>
      </c>
      <c r="N30" t="e">
        <f>AVERAGE(N11:N18)</f>
        <v>#DIV/0!</v>
      </c>
      <c r="O30" t="e">
        <f t="shared" ref="O30:Q30" si="53">AVERAGE(O11:O18)</f>
        <v>#DIV/0!</v>
      </c>
      <c r="P30" t="e">
        <f t="shared" si="53"/>
        <v>#DIV/0!</v>
      </c>
      <c r="Q30" t="e">
        <f t="shared" si="53"/>
        <v>#DIV/0!</v>
      </c>
      <c r="S30" s="4"/>
      <c r="U30" t="s">
        <v>1</v>
      </c>
      <c r="V30" t="e">
        <f>TTEST(V11:V18,AB11:AB18,2,3)</f>
        <v>#DIV/0!</v>
      </c>
      <c r="AA30" t="s">
        <v>24</v>
      </c>
      <c r="AB30" t="e">
        <f>AVERAGE(AB11:AB18)</f>
        <v>#DIV/0!</v>
      </c>
      <c r="AC30" t="e">
        <f t="shared" ref="AC30:AE30" si="54">AVERAGE(AC11:AC18)</f>
        <v>#DIV/0!</v>
      </c>
      <c r="AD30" t="e">
        <f t="shared" si="54"/>
        <v>#DIV/0!</v>
      </c>
      <c r="AE30" t="e">
        <f t="shared" si="54"/>
        <v>#DIV/0!</v>
      </c>
      <c r="AG30" t="s">
        <v>24</v>
      </c>
      <c r="AH30" t="e">
        <f>AVERAGE(AH11:AH18)</f>
        <v>#DIV/0!</v>
      </c>
      <c r="AI30" t="e">
        <f t="shared" ref="AI30:AK30" si="55">AVERAGE(AI11:AI18)</f>
        <v>#DIV/0!</v>
      </c>
      <c r="AJ30" t="e">
        <f t="shared" si="55"/>
        <v>#DIV/0!</v>
      </c>
      <c r="AK30" t="e">
        <f t="shared" si="55"/>
        <v>#DIV/0!</v>
      </c>
    </row>
    <row r="31" spans="1:37" x14ac:dyDescent="0.25">
      <c r="A31" t="s">
        <v>2</v>
      </c>
      <c r="B31" t="e">
        <f>TTEST(C11:C18,I11:I18,2,3)</f>
        <v>#DIV/0!</v>
      </c>
      <c r="S31" s="4"/>
      <c r="U31" t="s">
        <v>2</v>
      </c>
      <c r="V31" t="e">
        <f>TTEST(W11:W18,AC11:AC18,2,3)</f>
        <v>#DIV/0!</v>
      </c>
    </row>
    <row r="32" spans="1:37" x14ac:dyDescent="0.25">
      <c r="A32" t="s">
        <v>3</v>
      </c>
      <c r="B32" t="e">
        <f>TTEST(D11:D18,J11:J18,2,3)</f>
        <v>#DIV/0!</v>
      </c>
      <c r="S32" s="4"/>
      <c r="U32" t="s">
        <v>3</v>
      </c>
      <c r="V32" t="e">
        <f>TTEST(X11:X18,AD11:AD18,2,3)</f>
        <v>#DIV/0!</v>
      </c>
    </row>
    <row r="33" spans="1:37" x14ac:dyDescent="0.25">
      <c r="A33" t="s">
        <v>4</v>
      </c>
      <c r="B33" t="e">
        <f>TTEST(E11:E18,K11:K18,2,3)</f>
        <v>#DIV/0!</v>
      </c>
      <c r="S33" s="4"/>
      <c r="U33" t="s">
        <v>4</v>
      </c>
      <c r="V33" t="e">
        <f>TTEST(Y11:Y18,AE11:AE18,2,3)</f>
        <v>#DIV/0!</v>
      </c>
    </row>
    <row r="34" spans="1:37" x14ac:dyDescent="0.25">
      <c r="S34" s="4"/>
    </row>
    <row r="35" spans="1:37" x14ac:dyDescent="0.25">
      <c r="A35" t="s">
        <v>25</v>
      </c>
      <c r="S35" s="5" t="s">
        <v>28</v>
      </c>
      <c r="U35" t="s">
        <v>25</v>
      </c>
    </row>
    <row r="36" spans="1:37" x14ac:dyDescent="0.25">
      <c r="A36" s="1" t="s">
        <v>29</v>
      </c>
      <c r="B36" s="1" t="s">
        <v>1</v>
      </c>
      <c r="C36" s="1" t="s">
        <v>2</v>
      </c>
      <c r="D36" s="1" t="s">
        <v>3</v>
      </c>
      <c r="E36" s="1" t="s">
        <v>4</v>
      </c>
      <c r="G36" s="1" t="s">
        <v>30</v>
      </c>
      <c r="H36" s="1" t="s">
        <v>1</v>
      </c>
      <c r="I36" s="1" t="s">
        <v>2</v>
      </c>
      <c r="J36" s="1" t="s">
        <v>3</v>
      </c>
      <c r="K36" s="1" t="s">
        <v>4</v>
      </c>
      <c r="M36" s="1" t="s">
        <v>31</v>
      </c>
      <c r="N36" s="1" t="s">
        <v>1</v>
      </c>
      <c r="O36" s="1" t="s">
        <v>2</v>
      </c>
      <c r="P36" s="1" t="s">
        <v>3</v>
      </c>
      <c r="Q36" s="1" t="s">
        <v>4</v>
      </c>
      <c r="R36" s="1"/>
      <c r="S36" s="4"/>
      <c r="U36" s="1" t="s">
        <v>29</v>
      </c>
      <c r="V36" s="1" t="s">
        <v>1</v>
      </c>
      <c r="W36" s="1" t="s">
        <v>2</v>
      </c>
      <c r="X36" s="1" t="s">
        <v>3</v>
      </c>
      <c r="Y36" s="1" t="s">
        <v>4</v>
      </c>
      <c r="AA36" s="1" t="s">
        <v>30</v>
      </c>
      <c r="AB36" s="1" t="s">
        <v>1</v>
      </c>
      <c r="AC36" s="1" t="s">
        <v>2</v>
      </c>
      <c r="AD36" s="1" t="s">
        <v>3</v>
      </c>
      <c r="AE36" s="1" t="s">
        <v>4</v>
      </c>
      <c r="AG36" s="1" t="s">
        <v>31</v>
      </c>
      <c r="AH36" s="1" t="s">
        <v>1</v>
      </c>
      <c r="AI36" s="1" t="s">
        <v>2</v>
      </c>
      <c r="AJ36" s="1" t="s">
        <v>3</v>
      </c>
      <c r="AK36" s="1" t="s">
        <v>4</v>
      </c>
    </row>
    <row r="37" spans="1:37" x14ac:dyDescent="0.25">
      <c r="A37" t="s">
        <v>5</v>
      </c>
      <c r="B37" s="3">
        <f>-((B3-$B$23)/$B$23)*100</f>
        <v>-31.343283582089509</v>
      </c>
      <c r="C37" s="3">
        <f t="shared" ref="C37:E44" si="56">-((C3-$B$23)/$B$23)*100</f>
        <v>34.328358208955159</v>
      </c>
      <c r="D37" s="3">
        <f t="shared" si="56"/>
        <v>10.44776119402985</v>
      </c>
      <c r="E37" s="3">
        <f t="shared" si="56"/>
        <v>12.437810945273672</v>
      </c>
      <c r="G37" t="s">
        <v>5</v>
      </c>
      <c r="H37" s="3">
        <f>-((H3-$H$29)/$H$29)*100</f>
        <v>6.1654135338346387</v>
      </c>
      <c r="I37" s="3">
        <f t="shared" ref="I37:K37" si="57">-((I3-$H$29)/$H$29)*100</f>
        <v>-23.909774436089894</v>
      </c>
      <c r="J37" s="3">
        <f t="shared" si="57"/>
        <v>-17.894736842105324</v>
      </c>
      <c r="K37" s="3">
        <f t="shared" si="57"/>
        <v>23.007518796992532</v>
      </c>
      <c r="M37" t="s">
        <v>5</v>
      </c>
      <c r="N37" s="3">
        <f>-((N3-$N$29)/$N$29)*100</f>
        <v>-15.306122448979536</v>
      </c>
      <c r="O37" s="3">
        <f>-((O3-$N$29)/$N$29)*100</f>
        <v>-19.387755102040842</v>
      </c>
      <c r="P37" s="3">
        <f>-((P3-$N$29)/$N$29)*100</f>
        <v>-6.1224489795920407</v>
      </c>
      <c r="Q37" s="3">
        <f>-((Q3-$N$29)/$N$29)*100</f>
        <v>60.204081632653107</v>
      </c>
      <c r="R37" s="3"/>
      <c r="S37" s="4"/>
      <c r="U37" t="s">
        <v>5</v>
      </c>
      <c r="V37" s="3">
        <f>-((V3-$V$23)/$V$23)*100</f>
        <v>-31.343283582089509</v>
      </c>
      <c r="W37" s="3">
        <f t="shared" ref="W37:Y37" si="58">-((W3-$V$23)/$V$23)*100</f>
        <v>34.328358208955159</v>
      </c>
      <c r="X37" s="3">
        <f t="shared" si="58"/>
        <v>10.44776119402985</v>
      </c>
      <c r="Y37" s="3">
        <f t="shared" si="58"/>
        <v>12.437810945273672</v>
      </c>
      <c r="AA37" t="s">
        <v>5</v>
      </c>
      <c r="AB37" s="3">
        <f>-((AB3-$AB$29)/$AB$29)*100</f>
        <v>-5.6092843326885546</v>
      </c>
      <c r="AC37" s="3">
        <f t="shared" ref="AC37:AE37" si="59">-((AC3-$AB$29)/$AB$29)*100</f>
        <v>-39.458413926498693</v>
      </c>
      <c r="AD37" s="3">
        <f t="shared" si="59"/>
        <v>-32.688588007737046</v>
      </c>
      <c r="AE37" s="3">
        <f t="shared" si="59"/>
        <v>13.346228239845297</v>
      </c>
      <c r="AG37" t="s">
        <v>5</v>
      </c>
      <c r="AH37" s="3">
        <f>-((AH3-$AH$29)/$AH$29)*100</f>
        <v>-15.306122448979536</v>
      </c>
      <c r="AI37" s="3">
        <f>-((AI3-$AH$29)/$AH$29)*100</f>
        <v>-19.387755102040842</v>
      </c>
      <c r="AJ37" s="3">
        <f t="shared" ref="AJ37:AK37" si="60">-((AJ3-$AH$29)/$AH$29)*100</f>
        <v>-6.1224489795920407</v>
      </c>
      <c r="AK37" s="3">
        <f t="shared" si="60"/>
        <v>60.204081632653107</v>
      </c>
    </row>
    <row r="38" spans="1:37" x14ac:dyDescent="0.25">
      <c r="A38" t="s">
        <v>7</v>
      </c>
      <c r="B38" s="3">
        <f t="shared" ref="B38:B44" si="61">-((B4-$B$23)/$B$23)*100</f>
        <v>4.4776119402985533</v>
      </c>
      <c r="C38" s="3">
        <f t="shared" si="56"/>
        <v>26.368159203980056</v>
      </c>
      <c r="D38" s="3">
        <f t="shared" si="56"/>
        <v>-19.402985074626923</v>
      </c>
      <c r="E38" s="3"/>
      <c r="G38" t="s">
        <v>7</v>
      </c>
      <c r="H38" s="3">
        <f t="shared" ref="H38:K44" si="62">-((H4-$H$29)/$H$29)*100</f>
        <v>-10.676691729323242</v>
      </c>
      <c r="I38" s="3">
        <f t="shared" si="62"/>
        <v>6.1654135338346387</v>
      </c>
      <c r="J38" s="3">
        <f t="shared" si="62"/>
        <v>-11.879699248119776</v>
      </c>
      <c r="K38" s="3">
        <f t="shared" si="62"/>
        <v>-27.518796992481438</v>
      </c>
      <c r="M38" t="s">
        <v>7</v>
      </c>
      <c r="N38" s="3">
        <f t="shared" ref="N38:Q38" si="63">-((N4-$N$29)/$N$29)*100</f>
        <v>-15.306122448979536</v>
      </c>
      <c r="O38" s="3">
        <f t="shared" si="63"/>
        <v>9.1836734693874131</v>
      </c>
      <c r="P38" s="3">
        <f t="shared" si="63"/>
        <v>-25.510204081632775</v>
      </c>
      <c r="Q38" s="3">
        <f t="shared" si="63"/>
        <v>2.0408163265305479</v>
      </c>
      <c r="R38" s="3"/>
      <c r="S38" s="4"/>
      <c r="U38" t="s">
        <v>7</v>
      </c>
      <c r="V38" s="3">
        <f t="shared" ref="V38:X38" si="64">-((V4-$V$23)/$V$23)*100</f>
        <v>4.4776119402985533</v>
      </c>
      <c r="W38" s="3">
        <f t="shared" si="64"/>
        <v>26.368159203980056</v>
      </c>
      <c r="X38" s="3">
        <f t="shared" si="64"/>
        <v>-19.402985074626923</v>
      </c>
      <c r="Y38" s="3"/>
      <c r="AA38" t="s">
        <v>7</v>
      </c>
      <c r="AB38" s="3">
        <f t="shared" ref="AB38:AE38" si="65">-((AB4-$AB$29)/$AB$29)*100</f>
        <v>-24.564796905222391</v>
      </c>
      <c r="AC38" s="3">
        <f t="shared" si="65"/>
        <v>-5.6092843326885546</v>
      </c>
      <c r="AD38" s="3">
        <f t="shared" si="65"/>
        <v>-25.918762088974294</v>
      </c>
      <c r="AE38" s="3">
        <f t="shared" si="65"/>
        <v>-43.520309477756584</v>
      </c>
      <c r="AG38" t="s">
        <v>7</v>
      </c>
      <c r="AH38" s="3">
        <f t="shared" ref="AH38:AK38" si="66">-((AH4-$AH$29)/$AH$29)*100</f>
        <v>-15.306122448979536</v>
      </c>
      <c r="AI38" s="3">
        <f t="shared" si="66"/>
        <v>9.1836734693874131</v>
      </c>
      <c r="AJ38" s="3">
        <f t="shared" si="66"/>
        <v>-25.510204081632775</v>
      </c>
      <c r="AK38" s="3">
        <f t="shared" si="66"/>
        <v>2.0408163265305479</v>
      </c>
    </row>
    <row r="39" spans="1:37" x14ac:dyDescent="0.25">
      <c r="A39" t="s">
        <v>8</v>
      </c>
      <c r="B39" s="3">
        <f t="shared" si="61"/>
        <v>2.487562189054743</v>
      </c>
      <c r="C39" s="3">
        <f t="shared" si="56"/>
        <v>-19.402985074626923</v>
      </c>
      <c r="D39" s="3">
        <f t="shared" si="56"/>
        <v>-37.313432835820954</v>
      </c>
      <c r="E39" s="3">
        <f t="shared" si="56"/>
        <v>0.4975124378109213</v>
      </c>
      <c r="G39" t="s">
        <v>8</v>
      </c>
      <c r="H39" s="3">
        <f>-((H5-$H$29)/$H$29)*100</f>
        <v>-78.045112781955012</v>
      </c>
      <c r="I39" s="3">
        <f t="shared" si="62"/>
        <v>4.9624060150377192</v>
      </c>
      <c r="J39" s="3">
        <f t="shared" si="62"/>
        <v>0.15037593984937944</v>
      </c>
      <c r="K39" s="3">
        <f t="shared" si="62"/>
        <v>-5.8646616541351912</v>
      </c>
      <c r="M39" t="s">
        <v>8</v>
      </c>
      <c r="N39" s="3">
        <f t="shared" ref="N39:Q39" si="67">-((N5-$N$29)/$N$29)*100</f>
        <v>-6.1224489795920407</v>
      </c>
      <c r="O39" s="3">
        <f t="shared" si="67"/>
        <v>2.0408163265305479</v>
      </c>
      <c r="P39" s="3">
        <f t="shared" si="67"/>
        <v>29.591836734693882</v>
      </c>
      <c r="Q39" s="3">
        <f t="shared" si="67"/>
        <v>-6.1224489795920407</v>
      </c>
      <c r="R39" s="3"/>
      <c r="S39" s="4"/>
      <c r="U39" t="s">
        <v>8</v>
      </c>
      <c r="V39" s="3">
        <f>-((V5-$V$23)/$V$23)*100</f>
        <v>2.487562189054743</v>
      </c>
      <c r="W39" s="3">
        <f>-((W5-$V$23)/$V$23)*100</f>
        <v>-19.402985074626923</v>
      </c>
      <c r="X39" s="3">
        <f>-((X5-$V$23)/$V$23)*100</f>
        <v>-37.313432835820954</v>
      </c>
      <c r="Y39" s="3">
        <f>-((Y5-$V$23)/$V$23)*100</f>
        <v>0.4975124378109213</v>
      </c>
      <c r="AA39" t="s">
        <v>8</v>
      </c>
      <c r="AB39" s="3"/>
      <c r="AC39" s="3">
        <f t="shared" ref="AC39:AE39" si="68">-((AC5-$AB$29)/$AB$29)*100</f>
        <v>-6.9632495164408921</v>
      </c>
      <c r="AD39" s="3">
        <f t="shared" si="68"/>
        <v>-12.37911025145098</v>
      </c>
      <c r="AE39" s="3">
        <f t="shared" si="68"/>
        <v>-19.148936170212629</v>
      </c>
      <c r="AG39" t="s">
        <v>8</v>
      </c>
      <c r="AH39" s="3">
        <f t="shared" ref="AH39:AK39" si="69">-((AH5-$AH$29)/$AH$29)*100</f>
        <v>-6.1224489795920407</v>
      </c>
      <c r="AI39" s="3">
        <f t="shared" si="69"/>
        <v>2.0408163265305479</v>
      </c>
      <c r="AJ39" s="3">
        <f t="shared" si="69"/>
        <v>29.591836734693882</v>
      </c>
      <c r="AK39" s="3">
        <f t="shared" si="69"/>
        <v>-6.1224489795920407</v>
      </c>
    </row>
    <row r="40" spans="1:37" x14ac:dyDescent="0.25">
      <c r="A40" t="s">
        <v>9</v>
      </c>
      <c r="B40" s="3">
        <f t="shared" si="61"/>
        <v>-47.26368159203988</v>
      </c>
      <c r="C40" s="3">
        <f t="shared" si="56"/>
        <v>-63.184079601989772</v>
      </c>
      <c r="D40" s="3">
        <f t="shared" si="56"/>
        <v>-61.194029850746745</v>
      </c>
      <c r="E40" s="3">
        <f t="shared" si="56"/>
        <v>34.328358208955159</v>
      </c>
      <c r="G40" t="s">
        <v>9</v>
      </c>
      <c r="H40" s="3">
        <f t="shared" si="62"/>
        <v>9.7744360902256862</v>
      </c>
      <c r="I40" s="3">
        <f t="shared" si="62"/>
        <v>-23.909774436089894</v>
      </c>
      <c r="J40" s="3">
        <f t="shared" si="62"/>
        <v>-21.503759398495877</v>
      </c>
      <c r="K40" s="3">
        <f t="shared" si="62"/>
        <v>23.007518796992532</v>
      </c>
      <c r="M40" t="s">
        <v>9</v>
      </c>
      <c r="N40" s="3">
        <f>-((N6-$N$29)/$N$29)*100</f>
        <v>-54.081632653061028</v>
      </c>
      <c r="O40" s="3">
        <f t="shared" ref="O40:Q40" si="70">-((O6-$N$29)/$N$29)*100</f>
        <v>-5.1020408163262942</v>
      </c>
      <c r="P40" s="3">
        <f t="shared" si="70"/>
        <v>30.612244897959211</v>
      </c>
      <c r="Q40" s="3">
        <f t="shared" si="70"/>
        <v>5.1020408163269355</v>
      </c>
      <c r="R40" s="3"/>
      <c r="S40" s="4"/>
      <c r="U40" t="s">
        <v>9</v>
      </c>
      <c r="V40" s="3">
        <f t="shared" ref="V40:Y40" si="71">-((V6-$V$23)/$V$23)*100</f>
        <v>-47.26368159203988</v>
      </c>
      <c r="W40" s="3">
        <f t="shared" si="71"/>
        <v>-63.184079601989772</v>
      </c>
      <c r="X40" s="3">
        <f t="shared" si="71"/>
        <v>-61.194029850746745</v>
      </c>
      <c r="Y40" s="3">
        <f t="shared" si="71"/>
        <v>34.328358208955159</v>
      </c>
      <c r="AA40" t="s">
        <v>9</v>
      </c>
      <c r="AB40" s="3">
        <f t="shared" ref="AB40:AE40" si="72">-((AB6-$AB$29)/$AB$29)*100</f>
        <v>-1.5473887814312215</v>
      </c>
      <c r="AC40" s="3">
        <f t="shared" si="72"/>
        <v>-39.458413926498693</v>
      </c>
      <c r="AD40" s="3">
        <f t="shared" si="72"/>
        <v>-36.750483558993821</v>
      </c>
      <c r="AE40" s="3">
        <f t="shared" si="72"/>
        <v>13.346228239845297</v>
      </c>
      <c r="AG40" t="s">
        <v>9</v>
      </c>
      <c r="AH40" s="3">
        <f t="shared" ref="AH40:AK40" si="73">-((AH6-$AH$29)/$AH$29)*100</f>
        <v>-54.081632653061028</v>
      </c>
      <c r="AI40" s="3">
        <f t="shared" si="73"/>
        <v>-5.1020408163262942</v>
      </c>
      <c r="AJ40" s="3">
        <f t="shared" si="73"/>
        <v>30.612244897959211</v>
      </c>
      <c r="AK40" s="3">
        <f t="shared" si="73"/>
        <v>5.1020408163269355</v>
      </c>
    </row>
    <row r="41" spans="1:37" x14ac:dyDescent="0.25">
      <c r="A41" t="s">
        <v>10</v>
      </c>
      <c r="B41" s="3">
        <f t="shared" si="61"/>
        <v>8.4577114427860387</v>
      </c>
      <c r="C41" s="3">
        <f t="shared" si="56"/>
        <v>-21.393034825870586</v>
      </c>
      <c r="D41" s="3"/>
      <c r="E41" s="3"/>
      <c r="G41" t="s">
        <v>10</v>
      </c>
      <c r="H41" s="3">
        <f t="shared" si="62"/>
        <v>0.15037593984937944</v>
      </c>
      <c r="I41" s="3">
        <f t="shared" si="62"/>
        <v>19.398496240601592</v>
      </c>
      <c r="J41" s="3">
        <f t="shared" si="62"/>
        <v>27.819548872180484</v>
      </c>
      <c r="K41" s="3">
        <f t="shared" si="62"/>
        <v>31.428571428571523</v>
      </c>
      <c r="M41" t="s">
        <v>10</v>
      </c>
      <c r="N41" s="3">
        <f t="shared" ref="N41:Q41" si="74">-((N7-$N$29)/$N$29)*100</f>
        <v>25.510204081632672</v>
      </c>
      <c r="O41" s="3">
        <f t="shared" si="74"/>
        <v>23.469387755102112</v>
      </c>
      <c r="P41" s="3">
        <f t="shared" si="74"/>
        <v>36.734693877551081</v>
      </c>
      <c r="Q41" s="3">
        <f t="shared" si="74"/>
        <v>1.0204081632656414</v>
      </c>
      <c r="R41" s="3"/>
      <c r="S41" s="4"/>
      <c r="U41" t="s">
        <v>10</v>
      </c>
      <c r="V41" s="3">
        <f t="shared" ref="V41:W41" si="75">-((V7-$V$23)/$V$23)*100</f>
        <v>8.4577114427860387</v>
      </c>
      <c r="W41" s="3">
        <f t="shared" si="75"/>
        <v>-21.393034825870586</v>
      </c>
      <c r="X41" s="3"/>
      <c r="Y41" s="3"/>
      <c r="AA41" t="s">
        <v>10</v>
      </c>
      <c r="AB41" s="3">
        <f t="shared" ref="AB41:AE41" si="76">-((AB7-$AB$29)/$AB$29)*100</f>
        <v>-12.37911025145098</v>
      </c>
      <c r="AC41" s="3">
        <f t="shared" si="76"/>
        <v>9.284332688588087</v>
      </c>
      <c r="AD41" s="3">
        <f t="shared" si="76"/>
        <v>18.762088974854951</v>
      </c>
      <c r="AE41" s="3">
        <f t="shared" si="76"/>
        <v>22.82398452611227</v>
      </c>
      <c r="AG41" t="s">
        <v>10</v>
      </c>
      <c r="AH41" s="3">
        <f t="shared" ref="AH41:AK41" si="77">-((AH7-$AH$29)/$AH$29)*100</f>
        <v>25.510204081632672</v>
      </c>
      <c r="AI41" s="3">
        <f t="shared" si="77"/>
        <v>23.469387755102112</v>
      </c>
      <c r="AJ41" s="3">
        <f t="shared" si="77"/>
        <v>36.734693877551081</v>
      </c>
      <c r="AK41" s="3">
        <f t="shared" si="77"/>
        <v>1.0204081632656414</v>
      </c>
    </row>
    <row r="42" spans="1:37" x14ac:dyDescent="0.25">
      <c r="A42" t="s">
        <v>11</v>
      </c>
      <c r="B42" s="3">
        <f t="shared" si="61"/>
        <v>18.407960199004954</v>
      </c>
      <c r="C42" s="3">
        <f t="shared" si="56"/>
        <v>22.388059701492587</v>
      </c>
      <c r="D42" s="3">
        <f t="shared" si="56"/>
        <v>-59.203980099502452</v>
      </c>
      <c r="E42" s="3"/>
      <c r="G42" t="s">
        <v>11</v>
      </c>
      <c r="H42" s="3">
        <f t="shared" si="62"/>
        <v>15.789473684210641</v>
      </c>
      <c r="I42" s="3">
        <f t="shared" si="62"/>
        <v>60.300751879699256</v>
      </c>
      <c r="J42" s="3">
        <f t="shared" si="62"/>
        <v>29.022556390977499</v>
      </c>
      <c r="K42" s="3">
        <f t="shared" si="62"/>
        <v>32.631578947368439</v>
      </c>
      <c r="M42" t="s">
        <v>11</v>
      </c>
      <c r="N42" s="3">
        <f t="shared" ref="N42:Q42" si="78">-((N8-$N$29)/$N$29)*100</f>
        <v>19.387755102040888</v>
      </c>
      <c r="O42" s="3">
        <f t="shared" si="78"/>
        <v>26.530612244897998</v>
      </c>
      <c r="P42" s="3">
        <f t="shared" si="78"/>
        <v>5.1020408163269355</v>
      </c>
      <c r="Q42" s="3">
        <f t="shared" si="78"/>
        <v>47.959183673469383</v>
      </c>
      <c r="R42" s="3"/>
      <c r="S42" s="4"/>
      <c r="U42" t="s">
        <v>11</v>
      </c>
      <c r="V42" s="3">
        <f t="shared" ref="V42:X42" si="79">-((V8-$V$23)/$V$23)*100</f>
        <v>18.407960199004954</v>
      </c>
      <c r="W42" s="3">
        <f t="shared" si="79"/>
        <v>22.388059701492587</v>
      </c>
      <c r="X42" s="3">
        <f t="shared" si="79"/>
        <v>-59.203980099502452</v>
      </c>
      <c r="Y42" s="3"/>
      <c r="AA42" t="s">
        <v>11</v>
      </c>
      <c r="AB42" s="3">
        <f t="shared" ref="AB42:AE42" si="80">-((AB8-$AB$29)/$AB$29)*100</f>
        <v>5.2224371373308616</v>
      </c>
      <c r="AC42" s="3">
        <f t="shared" si="80"/>
        <v>55.319148936170201</v>
      </c>
      <c r="AD42" s="3">
        <f t="shared" si="80"/>
        <v>20.116054158607398</v>
      </c>
      <c r="AE42" s="3">
        <f t="shared" si="80"/>
        <v>24.177949709864606</v>
      </c>
      <c r="AG42" t="s">
        <v>11</v>
      </c>
      <c r="AH42" s="3">
        <f t="shared" ref="AH42:AK42" si="81">-((AH8-$AH$29)/$AH$29)*100</f>
        <v>19.387755102040888</v>
      </c>
      <c r="AI42" s="3">
        <f t="shared" si="81"/>
        <v>26.530612244897998</v>
      </c>
      <c r="AJ42" s="3">
        <f t="shared" si="81"/>
        <v>5.1020408163269355</v>
      </c>
      <c r="AK42" s="3">
        <f t="shared" si="81"/>
        <v>47.959183673469383</v>
      </c>
    </row>
    <row r="43" spans="1:37" x14ac:dyDescent="0.25">
      <c r="A43" t="s">
        <v>12</v>
      </c>
      <c r="B43" s="3">
        <f t="shared" si="61"/>
        <v>-5.4726368159203735</v>
      </c>
      <c r="C43" s="3">
        <f t="shared" si="56"/>
        <v>18.407960199004954</v>
      </c>
      <c r="D43" s="3"/>
      <c r="E43" s="3">
        <f t="shared" si="56"/>
        <v>36.318407960198982</v>
      </c>
      <c r="G43" t="s">
        <v>12</v>
      </c>
      <c r="H43" s="3">
        <f t="shared" si="62"/>
        <v>24.210526315789551</v>
      </c>
      <c r="I43" s="3">
        <f t="shared" si="62"/>
        <v>7.3684210526316543</v>
      </c>
      <c r="J43" s="3">
        <f t="shared" si="62"/>
        <v>33.834586466165455</v>
      </c>
      <c r="K43" s="3">
        <f t="shared" si="62"/>
        <v>20.601503759398597</v>
      </c>
      <c r="M43" t="s">
        <v>12</v>
      </c>
      <c r="N43" s="3">
        <f t="shared" ref="N43:Q43" si="82">-((N9-$N$29)/$N$29)*100</f>
        <v>32.653061224489853</v>
      </c>
      <c r="O43" s="3">
        <f t="shared" si="82"/>
        <v>25.510204081632672</v>
      </c>
      <c r="P43" s="3">
        <f t="shared" si="82"/>
        <v>11.224489795918055</v>
      </c>
      <c r="Q43" s="3">
        <f t="shared" si="82"/>
        <v>12.24489795918379</v>
      </c>
      <c r="R43" s="3"/>
      <c r="S43" s="4"/>
      <c r="U43" t="s">
        <v>12</v>
      </c>
      <c r="V43" s="3">
        <f t="shared" ref="V43:Y43" si="83">-((V9-$V$23)/$V$23)*100</f>
        <v>-5.4726368159203735</v>
      </c>
      <c r="W43" s="3">
        <f t="shared" si="83"/>
        <v>18.407960199004954</v>
      </c>
      <c r="X43" s="3"/>
      <c r="Y43" s="3">
        <f t="shared" si="83"/>
        <v>36.318407960198982</v>
      </c>
      <c r="AA43" t="s">
        <v>12</v>
      </c>
      <c r="AB43" s="3">
        <f t="shared" ref="AB43:AE43" si="84">-((AB9-$AB$29)/$AB$29)*100</f>
        <v>14.700193423597741</v>
      </c>
      <c r="AC43" s="3">
        <f t="shared" si="84"/>
        <v>-4.2553191489361106</v>
      </c>
      <c r="AD43" s="3">
        <f t="shared" si="84"/>
        <v>25.531914893617053</v>
      </c>
      <c r="AE43" s="3">
        <f t="shared" si="84"/>
        <v>10.638297872340516</v>
      </c>
      <c r="AG43" t="s">
        <v>12</v>
      </c>
      <c r="AH43" s="3">
        <f t="shared" ref="AH43:AK43" si="85">-((AH9-$AH$29)/$AH$29)*100</f>
        <v>32.653061224489853</v>
      </c>
      <c r="AI43" s="3">
        <f t="shared" si="85"/>
        <v>25.510204081632672</v>
      </c>
      <c r="AJ43" s="3">
        <f t="shared" si="85"/>
        <v>11.224489795918055</v>
      </c>
      <c r="AK43" s="3">
        <f t="shared" si="85"/>
        <v>12.24489795918379</v>
      </c>
    </row>
    <row r="44" spans="1:37" x14ac:dyDescent="0.25">
      <c r="A44" t="s">
        <v>13</v>
      </c>
      <c r="B44" s="3">
        <f t="shared" si="61"/>
        <v>50.248756218905541</v>
      </c>
      <c r="C44" s="3">
        <f t="shared" si="56"/>
        <v>20.398009950248774</v>
      </c>
      <c r="D44" s="3">
        <f t="shared" si="56"/>
        <v>44.278606965174092</v>
      </c>
      <c r="E44" s="3">
        <f t="shared" si="56"/>
        <v>54.228855721393018</v>
      </c>
      <c r="G44" t="s">
        <v>13</v>
      </c>
      <c r="H44" s="3">
        <f t="shared" si="62"/>
        <v>32.631578947368439</v>
      </c>
      <c r="I44" s="3">
        <f t="shared" si="62"/>
        <v>8.5714285714286707</v>
      </c>
      <c r="J44" s="3">
        <f t="shared" si="62"/>
        <v>19.398496240601592</v>
      </c>
      <c r="K44" s="3">
        <f t="shared" si="62"/>
        <v>0.15037593984937944</v>
      </c>
      <c r="M44" t="s">
        <v>13</v>
      </c>
      <c r="N44" s="3">
        <f t="shared" ref="N44:Q44" si="86">-((N10-$N$29)/$N$29)*100</f>
        <v>13.265306122448708</v>
      </c>
      <c r="O44" s="3">
        <f t="shared" si="86"/>
        <v>8.1632653061224953</v>
      </c>
      <c r="P44" s="3">
        <f t="shared" si="86"/>
        <v>40.816326530612287</v>
      </c>
      <c r="Q44" s="3">
        <f t="shared" si="86"/>
        <v>16.326530612245083</v>
      </c>
      <c r="R44" s="3"/>
      <c r="S44" s="4"/>
      <c r="U44" t="s">
        <v>13</v>
      </c>
      <c r="V44" s="3">
        <f t="shared" ref="V44:Y44" si="87">-((V10-$V$23)/$V$23)*100</f>
        <v>50.248756218905541</v>
      </c>
      <c r="W44" s="3">
        <f t="shared" si="87"/>
        <v>20.398009950248774</v>
      </c>
      <c r="X44" s="3">
        <f t="shared" si="87"/>
        <v>44.278606965174092</v>
      </c>
      <c r="Y44" s="3">
        <f t="shared" si="87"/>
        <v>54.228855721393018</v>
      </c>
      <c r="AA44" t="s">
        <v>13</v>
      </c>
      <c r="AB44" s="3">
        <f t="shared" ref="AB44:AE44" si="88">-((AB10-$AB$29)/$AB$29)*100</f>
        <v>24.177949709864606</v>
      </c>
      <c r="AC44" s="3">
        <f t="shared" si="88"/>
        <v>-2.9013539651836657</v>
      </c>
      <c r="AD44" s="3">
        <f t="shared" si="88"/>
        <v>9.284332688588087</v>
      </c>
      <c r="AE44" s="3">
        <f t="shared" si="88"/>
        <v>-12.37911025145098</v>
      </c>
      <c r="AG44" t="s">
        <v>13</v>
      </c>
      <c r="AH44" s="3">
        <f t="shared" ref="AH44:AK44" si="89">-((AH10-$AH$29)/$AH$29)*100</f>
        <v>13.265306122448708</v>
      </c>
      <c r="AI44" s="3">
        <f t="shared" si="89"/>
        <v>8.1632653061224953</v>
      </c>
      <c r="AJ44" s="3">
        <f t="shared" si="89"/>
        <v>40.816326530612287</v>
      </c>
      <c r="AK44" s="3">
        <f t="shared" si="89"/>
        <v>16.326530612245083</v>
      </c>
    </row>
    <row r="45" spans="1:37" x14ac:dyDescent="0.25">
      <c r="A45" t="s">
        <v>5</v>
      </c>
      <c r="B45" s="3"/>
      <c r="C45" s="3"/>
      <c r="D45" s="3"/>
      <c r="E45" s="3"/>
      <c r="G45" t="s">
        <v>5</v>
      </c>
      <c r="H45" s="3"/>
      <c r="I45" s="3"/>
      <c r="J45" s="3"/>
      <c r="K45" s="3"/>
      <c r="M45" t="s">
        <v>5</v>
      </c>
      <c r="N45" s="3"/>
      <c r="O45" s="3"/>
      <c r="P45" s="3"/>
      <c r="Q45" s="3"/>
      <c r="S45" s="4"/>
      <c r="U45" t="s">
        <v>5</v>
      </c>
      <c r="V45" s="3"/>
      <c r="W45" s="3"/>
      <c r="X45" s="3"/>
      <c r="Y45" s="3"/>
      <c r="AA45" t="s">
        <v>5</v>
      </c>
      <c r="AB45" s="3"/>
      <c r="AC45" s="3"/>
      <c r="AD45" s="3"/>
      <c r="AE45" s="3"/>
      <c r="AG45" t="s">
        <v>5</v>
      </c>
      <c r="AH45" s="3"/>
      <c r="AI45" s="3"/>
      <c r="AJ45" s="3"/>
      <c r="AK45" s="3"/>
    </row>
    <row r="46" spans="1:37" x14ac:dyDescent="0.25">
      <c r="A46" t="s">
        <v>7</v>
      </c>
      <c r="B46" s="3"/>
      <c r="C46" s="3"/>
      <c r="D46" s="3"/>
      <c r="E46" s="3"/>
      <c r="G46" t="s">
        <v>7</v>
      </c>
      <c r="H46" s="3"/>
      <c r="I46" s="3"/>
      <c r="J46" s="3"/>
      <c r="K46" s="3"/>
      <c r="M46" t="s">
        <v>7</v>
      </c>
      <c r="N46" s="3"/>
      <c r="O46" s="3"/>
      <c r="P46" s="3"/>
      <c r="Q46" s="3"/>
      <c r="S46" s="4"/>
      <c r="U46" t="s">
        <v>7</v>
      </c>
      <c r="V46" s="3"/>
      <c r="W46" s="3"/>
      <c r="X46" s="3"/>
      <c r="Y46" s="3"/>
      <c r="AA46" t="s">
        <v>7</v>
      </c>
      <c r="AB46" s="3"/>
      <c r="AC46" s="3"/>
      <c r="AD46" s="3"/>
      <c r="AE46" s="3"/>
      <c r="AG46" t="s">
        <v>7</v>
      </c>
      <c r="AH46" s="3"/>
      <c r="AI46" s="3"/>
      <c r="AJ46" s="3"/>
      <c r="AK46" s="3"/>
    </row>
    <row r="47" spans="1:37" x14ac:dyDescent="0.25">
      <c r="A47" t="s">
        <v>8</v>
      </c>
      <c r="B47" s="3"/>
      <c r="C47" s="3"/>
      <c r="D47" s="3"/>
      <c r="E47" s="3"/>
      <c r="G47" t="s">
        <v>8</v>
      </c>
      <c r="H47" s="3"/>
      <c r="I47" s="3"/>
      <c r="J47" s="3"/>
      <c r="K47" s="3"/>
      <c r="M47" t="s">
        <v>8</v>
      </c>
      <c r="N47" s="3"/>
      <c r="O47" s="3"/>
      <c r="P47" s="3"/>
      <c r="Q47" s="3"/>
      <c r="S47" s="4"/>
      <c r="U47" t="s">
        <v>8</v>
      </c>
      <c r="V47" s="3"/>
      <c r="W47" s="3"/>
      <c r="X47" s="3"/>
      <c r="Y47" s="3"/>
      <c r="AA47" t="s">
        <v>8</v>
      </c>
      <c r="AB47" s="3"/>
      <c r="AC47" s="3"/>
      <c r="AD47" s="3"/>
      <c r="AE47" s="3"/>
      <c r="AG47" t="s">
        <v>8</v>
      </c>
      <c r="AH47" s="3"/>
      <c r="AI47" s="3"/>
      <c r="AJ47" s="3"/>
      <c r="AK47" s="3"/>
    </row>
    <row r="48" spans="1:37" x14ac:dyDescent="0.25">
      <c r="A48" t="s">
        <v>9</v>
      </c>
      <c r="B48" s="3"/>
      <c r="C48" s="3"/>
      <c r="D48" s="3"/>
      <c r="E48" s="3"/>
      <c r="G48" t="s">
        <v>9</v>
      </c>
      <c r="H48" s="3"/>
      <c r="I48" s="3"/>
      <c r="J48" s="3"/>
      <c r="K48" s="3"/>
      <c r="M48" t="s">
        <v>9</v>
      </c>
      <c r="N48" s="3"/>
      <c r="O48" s="3"/>
      <c r="P48" s="3"/>
      <c r="Q48" s="3"/>
      <c r="S48" s="4"/>
      <c r="U48" t="s">
        <v>9</v>
      </c>
      <c r="V48" s="3"/>
      <c r="W48" s="3"/>
      <c r="X48" s="3"/>
      <c r="Y48" s="3"/>
      <c r="AA48" t="s">
        <v>9</v>
      </c>
      <c r="AB48" s="3"/>
      <c r="AC48" s="3"/>
      <c r="AD48" s="3"/>
      <c r="AE48" s="3"/>
      <c r="AG48" t="s">
        <v>9</v>
      </c>
      <c r="AH48" s="3"/>
      <c r="AI48" s="3"/>
      <c r="AJ48" s="3"/>
      <c r="AK48" s="3"/>
    </row>
    <row r="49" spans="1:37" x14ac:dyDescent="0.25">
      <c r="A49" t="s">
        <v>10</v>
      </c>
      <c r="B49" s="3"/>
      <c r="C49" s="3"/>
      <c r="D49" s="3"/>
      <c r="E49" s="3"/>
      <c r="G49" t="s">
        <v>10</v>
      </c>
      <c r="H49" s="3"/>
      <c r="I49" s="3"/>
      <c r="J49" s="3"/>
      <c r="K49" s="3"/>
      <c r="M49" t="s">
        <v>10</v>
      </c>
      <c r="N49" s="3"/>
      <c r="O49" s="3"/>
      <c r="P49" s="3"/>
      <c r="Q49" s="3"/>
      <c r="S49" s="4"/>
      <c r="U49" t="s">
        <v>10</v>
      </c>
      <c r="V49" s="3"/>
      <c r="W49" s="3"/>
      <c r="X49" s="3"/>
      <c r="Y49" s="3"/>
      <c r="AA49" t="s">
        <v>10</v>
      </c>
      <c r="AB49" s="3"/>
      <c r="AC49" s="3"/>
      <c r="AD49" s="3"/>
      <c r="AE49" s="3"/>
      <c r="AG49" t="s">
        <v>10</v>
      </c>
      <c r="AH49" s="3"/>
      <c r="AI49" s="3"/>
      <c r="AJ49" s="3"/>
      <c r="AK49" s="3"/>
    </row>
    <row r="50" spans="1:37" x14ac:dyDescent="0.25">
      <c r="A50" t="s">
        <v>11</v>
      </c>
      <c r="B50" s="3"/>
      <c r="C50" s="3"/>
      <c r="D50" s="3"/>
      <c r="E50" s="3"/>
      <c r="G50" t="s">
        <v>11</v>
      </c>
      <c r="H50" s="3"/>
      <c r="I50" s="3"/>
      <c r="J50" s="3"/>
      <c r="K50" s="3"/>
      <c r="M50" t="s">
        <v>11</v>
      </c>
      <c r="N50" s="3"/>
      <c r="O50" s="3"/>
      <c r="P50" s="3"/>
      <c r="Q50" s="3"/>
      <c r="S50" s="4"/>
      <c r="U50" t="s">
        <v>11</v>
      </c>
      <c r="V50" s="3"/>
      <c r="W50" s="3"/>
      <c r="X50" s="3"/>
      <c r="Y50" s="3"/>
      <c r="AA50" t="s">
        <v>11</v>
      </c>
      <c r="AB50" s="3"/>
      <c r="AC50" s="3"/>
      <c r="AD50" s="3"/>
      <c r="AE50" s="3"/>
      <c r="AG50" t="s">
        <v>11</v>
      </c>
      <c r="AH50" s="3"/>
      <c r="AI50" s="3"/>
      <c r="AJ50" s="3"/>
      <c r="AK50" s="3"/>
    </row>
    <row r="51" spans="1:37" x14ac:dyDescent="0.25">
      <c r="A51" t="s">
        <v>12</v>
      </c>
      <c r="B51" s="3"/>
      <c r="C51" s="3"/>
      <c r="D51" s="3"/>
      <c r="E51" s="3"/>
      <c r="G51" t="s">
        <v>12</v>
      </c>
      <c r="H51" s="3"/>
      <c r="I51" s="3"/>
      <c r="J51" s="3"/>
      <c r="K51" s="3"/>
      <c r="M51" t="s">
        <v>12</v>
      </c>
      <c r="N51" s="3"/>
      <c r="O51" s="3"/>
      <c r="P51" s="3"/>
      <c r="Q51" s="3"/>
      <c r="S51" s="4"/>
      <c r="U51" t="s">
        <v>12</v>
      </c>
      <c r="V51" s="3"/>
      <c r="W51" s="3"/>
      <c r="X51" s="3"/>
      <c r="Y51" s="3"/>
      <c r="AA51" t="s">
        <v>12</v>
      </c>
      <c r="AB51" s="3"/>
      <c r="AC51" s="3"/>
      <c r="AD51" s="3"/>
      <c r="AE51" s="3"/>
      <c r="AG51" t="s">
        <v>12</v>
      </c>
      <c r="AH51" s="3"/>
      <c r="AI51" s="3"/>
      <c r="AJ51" s="3"/>
      <c r="AK51" s="3"/>
    </row>
    <row r="52" spans="1:37" x14ac:dyDescent="0.25">
      <c r="A52" t="s">
        <v>13</v>
      </c>
      <c r="B52" s="3"/>
      <c r="C52" s="3"/>
      <c r="D52" s="3"/>
      <c r="E52" s="3"/>
      <c r="G52" t="s">
        <v>13</v>
      </c>
      <c r="H52" s="3"/>
      <c r="I52" s="3"/>
      <c r="J52" s="3"/>
      <c r="K52" s="3"/>
      <c r="M52" t="s">
        <v>13</v>
      </c>
      <c r="N52" s="3"/>
      <c r="O52" s="3"/>
      <c r="P52" s="3"/>
      <c r="Q52" s="3"/>
      <c r="S52" s="4"/>
      <c r="U52" t="s">
        <v>13</v>
      </c>
      <c r="V52" s="3"/>
      <c r="W52" s="3"/>
      <c r="X52" s="3"/>
      <c r="Y52" s="3"/>
      <c r="AA52" t="s">
        <v>13</v>
      </c>
      <c r="AB52" s="3"/>
      <c r="AC52" s="3"/>
      <c r="AD52" s="3"/>
      <c r="AE52" s="3"/>
      <c r="AG52" t="s">
        <v>13</v>
      </c>
      <c r="AH52" s="3"/>
      <c r="AI52" s="3"/>
      <c r="AJ52" s="3"/>
      <c r="AK52" s="3"/>
    </row>
    <row r="53" spans="1:37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  <c r="S53" s="4"/>
      <c r="U53" s="2"/>
      <c r="V53" s="2"/>
      <c r="W53" s="2"/>
      <c r="X53" s="2"/>
      <c r="Y53" s="2"/>
      <c r="AA53" s="2"/>
      <c r="AB53" s="2"/>
      <c r="AC53" s="2"/>
      <c r="AD53" s="2"/>
      <c r="AE53" s="2"/>
      <c r="AG53" s="2"/>
      <c r="AH53" s="2"/>
      <c r="AI53" s="2"/>
      <c r="AJ53" s="2"/>
      <c r="AK53" s="2"/>
    </row>
    <row r="54" spans="1:37" x14ac:dyDescent="0.25">
      <c r="A54" t="s">
        <v>14</v>
      </c>
      <c r="B54">
        <f>COUNT(B37:B52)</f>
        <v>8</v>
      </c>
      <c r="C54">
        <f t="shared" ref="C54:E54" si="90">COUNT(C37:C52)</f>
        <v>8</v>
      </c>
      <c r="D54">
        <f t="shared" si="90"/>
        <v>6</v>
      </c>
      <c r="E54">
        <f t="shared" si="90"/>
        <v>5</v>
      </c>
      <c r="G54" t="s">
        <v>14</v>
      </c>
      <c r="H54">
        <f>COUNT(H37:H52)</f>
        <v>8</v>
      </c>
      <c r="I54">
        <f t="shared" ref="I54:K54" si="91">COUNT(I37:I52)</f>
        <v>8</v>
      </c>
      <c r="J54">
        <f t="shared" si="91"/>
        <v>8</v>
      </c>
      <c r="K54">
        <f t="shared" si="91"/>
        <v>8</v>
      </c>
      <c r="M54" t="s">
        <v>14</v>
      </c>
      <c r="N54">
        <f>COUNT(N37:N52)</f>
        <v>8</v>
      </c>
      <c r="O54">
        <f t="shared" ref="O54:Q54" si="92">COUNT(O37:O52)</f>
        <v>8</v>
      </c>
      <c r="P54">
        <f t="shared" si="92"/>
        <v>8</v>
      </c>
      <c r="Q54">
        <f t="shared" si="92"/>
        <v>8</v>
      </c>
      <c r="S54" s="4"/>
      <c r="U54" t="s">
        <v>14</v>
      </c>
      <c r="V54">
        <f>COUNT(V37:V52)</f>
        <v>8</v>
      </c>
      <c r="W54">
        <f t="shared" ref="W54:Y54" si="93">COUNT(W37:W52)</f>
        <v>8</v>
      </c>
      <c r="X54">
        <f t="shared" si="93"/>
        <v>6</v>
      </c>
      <c r="Y54">
        <f t="shared" si="93"/>
        <v>5</v>
      </c>
      <c r="AA54" t="s">
        <v>14</v>
      </c>
      <c r="AB54">
        <f>COUNT(AB37:AB52)</f>
        <v>7</v>
      </c>
      <c r="AC54">
        <f t="shared" ref="AC54:AE54" si="94">COUNT(AC37:AC52)</f>
        <v>8</v>
      </c>
      <c r="AD54">
        <f t="shared" si="94"/>
        <v>8</v>
      </c>
      <c r="AE54">
        <f t="shared" si="94"/>
        <v>8</v>
      </c>
      <c r="AG54" t="s">
        <v>14</v>
      </c>
      <c r="AH54">
        <f>COUNT(AH37:AH52)</f>
        <v>8</v>
      </c>
      <c r="AI54">
        <f t="shared" ref="AI54:AK54" si="95">COUNT(AI37:AI52)</f>
        <v>8</v>
      </c>
      <c r="AJ54">
        <f t="shared" si="95"/>
        <v>8</v>
      </c>
      <c r="AK54">
        <f t="shared" si="95"/>
        <v>8</v>
      </c>
    </row>
    <row r="55" spans="1:37" x14ac:dyDescent="0.25">
      <c r="A55" t="s">
        <v>15</v>
      </c>
      <c r="B55">
        <f>MAX(B37:B52)</f>
        <v>50.248756218905541</v>
      </c>
      <c r="C55">
        <f t="shared" ref="C55:E55" si="96">MAX(C37:C52)</f>
        <v>34.328358208955159</v>
      </c>
      <c r="D55">
        <f t="shared" si="96"/>
        <v>44.278606965174092</v>
      </c>
      <c r="E55">
        <f t="shared" si="96"/>
        <v>54.228855721393018</v>
      </c>
      <c r="G55" t="s">
        <v>15</v>
      </c>
      <c r="H55">
        <f>MAX(H37:H52)</f>
        <v>32.631578947368439</v>
      </c>
      <c r="I55">
        <f t="shared" ref="I55:K55" si="97">MAX(I37:I52)</f>
        <v>60.300751879699256</v>
      </c>
      <c r="J55">
        <f t="shared" si="97"/>
        <v>33.834586466165455</v>
      </c>
      <c r="K55">
        <f t="shared" si="97"/>
        <v>32.631578947368439</v>
      </c>
      <c r="M55" t="s">
        <v>15</v>
      </c>
      <c r="N55">
        <f>MAX(N37:N52)</f>
        <v>32.653061224489853</v>
      </c>
      <c r="O55">
        <f t="shared" ref="O55:Q55" si="98">MAX(O37:O52)</f>
        <v>26.530612244897998</v>
      </c>
      <c r="P55">
        <f t="shared" si="98"/>
        <v>40.816326530612287</v>
      </c>
      <c r="Q55">
        <f t="shared" si="98"/>
        <v>60.204081632653107</v>
      </c>
      <c r="S55" s="4"/>
      <c r="U55" t="s">
        <v>15</v>
      </c>
      <c r="V55">
        <f>MAX(V37:V52)</f>
        <v>50.248756218905541</v>
      </c>
      <c r="W55">
        <f t="shared" ref="W55:Y55" si="99">MAX(W37:W52)</f>
        <v>34.328358208955159</v>
      </c>
      <c r="X55">
        <f t="shared" si="99"/>
        <v>44.278606965174092</v>
      </c>
      <c r="Y55">
        <f t="shared" si="99"/>
        <v>54.228855721393018</v>
      </c>
      <c r="AA55" t="s">
        <v>15</v>
      </c>
      <c r="AB55">
        <f>MAX(AB37:AB52)</f>
        <v>24.177949709864606</v>
      </c>
      <c r="AC55">
        <f t="shared" ref="AC55:AE55" si="100">MAX(AC37:AC52)</f>
        <v>55.319148936170201</v>
      </c>
      <c r="AD55">
        <f t="shared" si="100"/>
        <v>25.531914893617053</v>
      </c>
      <c r="AE55">
        <f t="shared" si="100"/>
        <v>24.177949709864606</v>
      </c>
      <c r="AG55" t="s">
        <v>15</v>
      </c>
      <c r="AH55">
        <f>MAX(AH37:AH52)</f>
        <v>32.653061224489853</v>
      </c>
      <c r="AI55">
        <f t="shared" ref="AI55:AK55" si="101">MAX(AI37:AI52)</f>
        <v>26.530612244897998</v>
      </c>
      <c r="AJ55">
        <f t="shared" si="101"/>
        <v>40.816326530612287</v>
      </c>
      <c r="AK55">
        <f t="shared" si="101"/>
        <v>60.204081632653107</v>
      </c>
    </row>
    <row r="56" spans="1:37" x14ac:dyDescent="0.25">
      <c r="A56" t="s">
        <v>16</v>
      </c>
      <c r="B56">
        <f>MIN(B37:B52)</f>
        <v>-47.26368159203988</v>
      </c>
      <c r="C56">
        <f t="shared" ref="C56:E56" si="102">MIN(C37:C52)</f>
        <v>-63.184079601989772</v>
      </c>
      <c r="D56">
        <f t="shared" si="102"/>
        <v>-61.194029850746745</v>
      </c>
      <c r="E56">
        <f t="shared" si="102"/>
        <v>0.4975124378109213</v>
      </c>
      <c r="G56" t="s">
        <v>16</v>
      </c>
      <c r="H56">
        <f>MIN(H37:H52)</f>
        <v>-78.045112781955012</v>
      </c>
      <c r="I56">
        <f t="shared" ref="I56:K56" si="103">MIN(I37:I52)</f>
        <v>-23.909774436089894</v>
      </c>
      <c r="J56">
        <f t="shared" si="103"/>
        <v>-21.503759398495877</v>
      </c>
      <c r="K56">
        <f t="shared" si="103"/>
        <v>-27.518796992481438</v>
      </c>
      <c r="M56" t="s">
        <v>16</v>
      </c>
      <c r="N56">
        <f>MIN(N37:N52)</f>
        <v>-54.081632653061028</v>
      </c>
      <c r="O56">
        <f t="shared" ref="O56:Q56" si="104">MIN(O37:O52)</f>
        <v>-19.387755102040842</v>
      </c>
      <c r="P56">
        <f t="shared" si="104"/>
        <v>-25.510204081632775</v>
      </c>
      <c r="Q56">
        <f t="shared" si="104"/>
        <v>-6.1224489795920407</v>
      </c>
      <c r="S56" s="4"/>
      <c r="U56" t="s">
        <v>16</v>
      </c>
      <c r="V56">
        <f>MIN(V37:V52)</f>
        <v>-47.26368159203988</v>
      </c>
      <c r="W56">
        <f t="shared" ref="W56:Y56" si="105">MIN(W37:W52)</f>
        <v>-63.184079601989772</v>
      </c>
      <c r="X56">
        <f t="shared" si="105"/>
        <v>-61.194029850746745</v>
      </c>
      <c r="Y56">
        <f t="shared" si="105"/>
        <v>0.4975124378109213</v>
      </c>
      <c r="AA56" t="s">
        <v>16</v>
      </c>
      <c r="AB56">
        <f>MIN(AB37:AB52)</f>
        <v>-24.564796905222391</v>
      </c>
      <c r="AC56">
        <f t="shared" ref="AC56:AE56" si="106">MIN(AC37:AC52)</f>
        <v>-39.458413926498693</v>
      </c>
      <c r="AD56">
        <f t="shared" si="106"/>
        <v>-36.750483558993821</v>
      </c>
      <c r="AE56">
        <f t="shared" si="106"/>
        <v>-43.520309477756584</v>
      </c>
      <c r="AG56" t="s">
        <v>16</v>
      </c>
      <c r="AH56">
        <f>MIN(AH37:AH52)</f>
        <v>-54.081632653061028</v>
      </c>
      <c r="AI56">
        <f t="shared" ref="AI56:AK56" si="107">MIN(AI37:AI52)</f>
        <v>-19.387755102040842</v>
      </c>
      <c r="AJ56">
        <f t="shared" si="107"/>
        <v>-25.510204081632775</v>
      </c>
      <c r="AK56">
        <f t="shared" si="107"/>
        <v>-6.1224489795920407</v>
      </c>
    </row>
    <row r="57" spans="1:37" x14ac:dyDescent="0.25">
      <c r="A57" t="s">
        <v>17</v>
      </c>
      <c r="B57">
        <f>AVERAGE(B37:B52)</f>
        <v>8.8817841970012523E-15</v>
      </c>
      <c r="C57">
        <f t="shared" ref="C57:E57" si="108">AVERAGE(C37:C52)</f>
        <v>2.2388059701492815</v>
      </c>
      <c r="D57">
        <f t="shared" si="108"/>
        <v>-20.398009950248856</v>
      </c>
      <c r="E57">
        <f t="shared" si="108"/>
        <v>27.56218905472635</v>
      </c>
      <c r="G57" t="s">
        <v>17</v>
      </c>
      <c r="H57">
        <f>AVERAGE(H37:H52)</f>
        <v>1.1546319456101628E-14</v>
      </c>
      <c r="I57">
        <f t="shared" ref="I57:K57" si="109">AVERAGE(I37:I52)</f>
        <v>7.3684210526317182</v>
      </c>
      <c r="J57">
        <f t="shared" si="109"/>
        <v>7.3684210526316782</v>
      </c>
      <c r="K57">
        <f t="shared" si="109"/>
        <v>12.180451127819547</v>
      </c>
      <c r="M57" t="s">
        <v>17</v>
      </c>
      <c r="N57">
        <f>AVERAGE(N37:N52)</f>
        <v>-2.4424906541753444E-15</v>
      </c>
      <c r="O57">
        <f t="shared" ref="O57:Q57" si="110">AVERAGE(O37:O52)</f>
        <v>8.8010204081632626</v>
      </c>
      <c r="P57">
        <f t="shared" si="110"/>
        <v>15.306122448979579</v>
      </c>
      <c r="Q57">
        <f t="shared" si="110"/>
        <v>17.346938775510306</v>
      </c>
      <c r="S57" s="4"/>
      <c r="U57" t="s">
        <v>17</v>
      </c>
      <c r="V57">
        <f>AVERAGE(V37:V52)</f>
        <v>8.8817841970012523E-15</v>
      </c>
      <c r="W57">
        <f t="shared" ref="W57:Y57" si="111">AVERAGE(W37:W52)</f>
        <v>2.2388059701492815</v>
      </c>
      <c r="X57">
        <f t="shared" si="111"/>
        <v>-20.398009950248856</v>
      </c>
      <c r="Y57">
        <f t="shared" si="111"/>
        <v>27.56218905472635</v>
      </c>
      <c r="AA57" t="s">
        <v>17</v>
      </c>
      <c r="AB57">
        <f>AVERAGE(AB37:AB52)</f>
        <v>9.1355494597727174E-15</v>
      </c>
      <c r="AC57">
        <f t="shared" ref="AC57:AE57" si="112">AVERAGE(AC37:AC52)</f>
        <v>-4.2553191489360387</v>
      </c>
      <c r="AD57">
        <f t="shared" si="112"/>
        <v>-4.2553191489360822</v>
      </c>
      <c r="AE57">
        <f t="shared" si="112"/>
        <v>1.1605415860734738</v>
      </c>
      <c r="AG57" t="s">
        <v>17</v>
      </c>
      <c r="AH57">
        <f>AVERAGE(AH37:AH52)</f>
        <v>-2.4424906541753444E-15</v>
      </c>
      <c r="AI57">
        <f t="shared" ref="AI57:AK57" si="113">AVERAGE(AI37:AI52)</f>
        <v>8.8010204081632626</v>
      </c>
      <c r="AJ57">
        <f t="shared" si="113"/>
        <v>15.306122448979579</v>
      </c>
      <c r="AK57">
        <f t="shared" si="113"/>
        <v>17.346938775510306</v>
      </c>
    </row>
    <row r="58" spans="1:37" x14ac:dyDescent="0.25">
      <c r="A58" t="s">
        <v>18</v>
      </c>
      <c r="B58">
        <f>STDEV(B37:B52)</f>
        <v>29.779588250240131</v>
      </c>
      <c r="C58">
        <f t="shared" ref="C58:E58" si="114">STDEV(C37:C52)</f>
        <v>33.62851827496344</v>
      </c>
      <c r="D58">
        <f t="shared" si="114"/>
        <v>41.453266549108079</v>
      </c>
      <c r="E58">
        <f t="shared" si="114"/>
        <v>21.182581636991305</v>
      </c>
      <c r="G58" t="s">
        <v>18</v>
      </c>
      <c r="H58">
        <f>STDEV(H37:H52)</f>
        <v>34.307189837012544</v>
      </c>
      <c r="I58">
        <f t="shared" ref="I58:K58" si="115">STDEV(I37:I52)</f>
        <v>26.489590258432234</v>
      </c>
      <c r="J58">
        <f t="shared" si="115"/>
        <v>22.761970440209844</v>
      </c>
      <c r="K58">
        <f t="shared" si="115"/>
        <v>21.181133066657548</v>
      </c>
      <c r="M58" t="s">
        <v>18</v>
      </c>
      <c r="N58">
        <f>STDEV(N37:N52)</f>
        <v>28.534962151243953</v>
      </c>
      <c r="O58">
        <f t="shared" ref="O58:Q58" si="116">STDEV(O37:O52)</f>
        <v>16.225429497696528</v>
      </c>
      <c r="P58">
        <f t="shared" si="116"/>
        <v>23.281667818373148</v>
      </c>
      <c r="Q58">
        <f t="shared" si="116"/>
        <v>23.912038088338843</v>
      </c>
      <c r="S58" s="4"/>
      <c r="U58" t="s">
        <v>18</v>
      </c>
      <c r="V58">
        <f>STDEV(V37:V52)</f>
        <v>29.779588250240131</v>
      </c>
      <c r="W58">
        <f t="shared" ref="W58:Y58" si="117">STDEV(W37:W52)</f>
        <v>33.62851827496344</v>
      </c>
      <c r="X58">
        <f t="shared" si="117"/>
        <v>41.453266549108079</v>
      </c>
      <c r="Y58">
        <f t="shared" si="117"/>
        <v>21.182581636991305</v>
      </c>
      <c r="AA58" t="s">
        <v>18</v>
      </c>
      <c r="AB58">
        <f>STDEV(AB37:AB52)</f>
        <v>16.423930147275687</v>
      </c>
      <c r="AC58">
        <f t="shared" ref="AC58:AE58" si="118">STDEV(AC37:AC52)</f>
        <v>29.813598320358334</v>
      </c>
      <c r="AD58">
        <f t="shared" si="118"/>
        <v>25.618223500768096</v>
      </c>
      <c r="AE58">
        <f t="shared" si="118"/>
        <v>23.839017027391417</v>
      </c>
      <c r="AG58" t="s">
        <v>18</v>
      </c>
      <c r="AH58">
        <f>STDEV(AH37:AH52)</f>
        <v>28.534962151243953</v>
      </c>
      <c r="AI58">
        <f t="shared" ref="AI58:AK58" si="119">STDEV(AI37:AI52)</f>
        <v>16.225429497696528</v>
      </c>
      <c r="AJ58">
        <f t="shared" si="119"/>
        <v>23.281667818373148</v>
      </c>
      <c r="AK58">
        <f t="shared" si="119"/>
        <v>23.912038088338843</v>
      </c>
    </row>
    <row r="59" spans="1:37" x14ac:dyDescent="0.25">
      <c r="A59" t="s">
        <v>19</v>
      </c>
      <c r="B59">
        <f>B57+2*B58</f>
        <v>59.55917650048027</v>
      </c>
      <c r="C59">
        <f t="shared" ref="C59:E59" si="120">C57+2*C58</f>
        <v>69.495842520076167</v>
      </c>
      <c r="D59">
        <f t="shared" si="120"/>
        <v>62.508523147967303</v>
      </c>
      <c r="E59">
        <f t="shared" si="120"/>
        <v>69.927352328708963</v>
      </c>
      <c r="G59" t="s">
        <v>19</v>
      </c>
      <c r="H59">
        <f>H57+2*H58</f>
        <v>68.614379674025102</v>
      </c>
      <c r="I59">
        <f t="shared" ref="I59:K59" si="121">I57+2*I58</f>
        <v>60.347601569496184</v>
      </c>
      <c r="J59">
        <f t="shared" si="121"/>
        <v>52.892361933051362</v>
      </c>
      <c r="K59">
        <f t="shared" si="121"/>
        <v>54.542717261134641</v>
      </c>
      <c r="M59" t="s">
        <v>19</v>
      </c>
      <c r="N59">
        <f>N57+2*N58</f>
        <v>57.069924302487905</v>
      </c>
      <c r="O59">
        <f t="shared" ref="O59:Q59" si="122">O57+2*O58</f>
        <v>41.251879403556316</v>
      </c>
      <c r="P59">
        <f t="shared" si="122"/>
        <v>61.869458085725874</v>
      </c>
      <c r="Q59">
        <f t="shared" si="122"/>
        <v>65.171014952187988</v>
      </c>
      <c r="S59" s="4"/>
      <c r="U59" t="s">
        <v>19</v>
      </c>
      <c r="V59">
        <f>V57+2*V58</f>
        <v>59.55917650048027</v>
      </c>
      <c r="W59">
        <f t="shared" ref="W59:Y59" si="123">W57+2*W58</f>
        <v>69.495842520076167</v>
      </c>
      <c r="X59">
        <f t="shared" si="123"/>
        <v>62.508523147967303</v>
      </c>
      <c r="Y59">
        <f t="shared" si="123"/>
        <v>69.927352328708963</v>
      </c>
      <c r="AA59" t="s">
        <v>19</v>
      </c>
      <c r="AB59">
        <f>AB57+2*AB58</f>
        <v>32.847860294551381</v>
      </c>
      <c r="AC59">
        <f t="shared" ref="AC59:AE59" si="124">AC57+2*AC58</f>
        <v>55.37187749178063</v>
      </c>
      <c r="AD59">
        <f t="shared" si="124"/>
        <v>46.98112785260011</v>
      </c>
      <c r="AE59">
        <f t="shared" si="124"/>
        <v>48.838575640856305</v>
      </c>
      <c r="AG59" t="s">
        <v>19</v>
      </c>
      <c r="AH59">
        <f>AH57+2*AH58</f>
        <v>57.069924302487905</v>
      </c>
      <c r="AI59">
        <f t="shared" ref="AI59:AK59" si="125">AI57+2*AI58</f>
        <v>41.251879403556316</v>
      </c>
      <c r="AJ59">
        <f t="shared" si="125"/>
        <v>61.869458085725874</v>
      </c>
      <c r="AK59">
        <f t="shared" si="125"/>
        <v>65.171014952187988</v>
      </c>
    </row>
    <row r="60" spans="1:37" x14ac:dyDescent="0.25">
      <c r="A60" t="s">
        <v>20</v>
      </c>
      <c r="B60">
        <f>B57-2*B58</f>
        <v>-59.559176500480255</v>
      </c>
      <c r="C60">
        <f t="shared" ref="C60:E60" si="126">C57-2*C58</f>
        <v>-65.018230579777594</v>
      </c>
      <c r="D60">
        <f t="shared" si="126"/>
        <v>-103.30454304846501</v>
      </c>
      <c r="E60">
        <f t="shared" si="126"/>
        <v>-14.80297421925626</v>
      </c>
      <c r="G60" t="s">
        <v>20</v>
      </c>
      <c r="H60">
        <f>H57-2*H58</f>
        <v>-68.614379674025074</v>
      </c>
      <c r="I60">
        <f t="shared" ref="I60:K60" si="127">I57-2*I58</f>
        <v>-45.61075946423275</v>
      </c>
      <c r="J60">
        <f t="shared" si="127"/>
        <v>-38.155519827788012</v>
      </c>
      <c r="K60">
        <f t="shared" si="127"/>
        <v>-30.181815005495551</v>
      </c>
      <c r="M60" t="s">
        <v>20</v>
      </c>
      <c r="N60">
        <f>N57-2*N58</f>
        <v>-57.069924302487905</v>
      </c>
      <c r="O60">
        <f t="shared" ref="O60:Q60" si="128">O57-2*O58</f>
        <v>-23.649838587229794</v>
      </c>
      <c r="P60">
        <f t="shared" si="128"/>
        <v>-31.257213187766716</v>
      </c>
      <c r="Q60">
        <f t="shared" si="128"/>
        <v>-30.477137401167379</v>
      </c>
      <c r="S60" s="4"/>
      <c r="U60" t="s">
        <v>20</v>
      </c>
      <c r="V60">
        <f>V57-2*V58</f>
        <v>-59.559176500480255</v>
      </c>
      <c r="W60">
        <f t="shared" ref="W60:Y60" si="129">W57-2*W58</f>
        <v>-65.018230579777594</v>
      </c>
      <c r="X60">
        <f t="shared" si="129"/>
        <v>-103.30454304846501</v>
      </c>
      <c r="Y60">
        <f t="shared" si="129"/>
        <v>-14.80297421925626</v>
      </c>
      <c r="AA60" t="s">
        <v>20</v>
      </c>
      <c r="AB60">
        <f>AB57-2*AB58</f>
        <v>-32.847860294551367</v>
      </c>
      <c r="AC60">
        <f t="shared" ref="AC60:AE60" si="130">AC57-2*AC58</f>
        <v>-63.882515789652707</v>
      </c>
      <c r="AD60">
        <f t="shared" si="130"/>
        <v>-55.491766150472273</v>
      </c>
      <c r="AE60">
        <f t="shared" si="130"/>
        <v>-46.517492468709364</v>
      </c>
      <c r="AG60" t="s">
        <v>20</v>
      </c>
      <c r="AH60">
        <f>AH57-2*AH58</f>
        <v>-57.069924302487905</v>
      </c>
      <c r="AI60">
        <f t="shared" ref="AI60:AK60" si="131">AI57-2*AI58</f>
        <v>-23.649838587229794</v>
      </c>
      <c r="AJ60">
        <f t="shared" si="131"/>
        <v>-31.257213187766716</v>
      </c>
      <c r="AK60">
        <f t="shared" si="131"/>
        <v>-30.477137401167379</v>
      </c>
    </row>
    <row r="61" spans="1:37" x14ac:dyDescent="0.25">
      <c r="A61" t="s">
        <v>21</v>
      </c>
      <c r="B61">
        <f>VAR(B37:B52)</f>
        <v>886.82387635383998</v>
      </c>
      <c r="C61">
        <f t="shared" ref="C61:E61" si="132">VAR(C37:C52)</f>
        <v>1130.8772413695501</v>
      </c>
      <c r="D61">
        <f t="shared" si="132"/>
        <v>1718.3733075914029</v>
      </c>
      <c r="E61">
        <f t="shared" si="132"/>
        <v>448.70176480780117</v>
      </c>
      <c r="G61" t="s">
        <v>21</v>
      </c>
      <c r="H61">
        <f>VAR(H37:H52)</f>
        <v>1176.9832745128167</v>
      </c>
      <c r="I61">
        <f t="shared" ref="I61:K61" si="133">VAR(I37:I52)</f>
        <v>701.69839205962796</v>
      </c>
      <c r="J61">
        <f t="shared" si="133"/>
        <v>518.10729832098673</v>
      </c>
      <c r="K61">
        <f t="shared" si="133"/>
        <v>448.64039798745381</v>
      </c>
      <c r="M61" t="s">
        <v>21</v>
      </c>
      <c r="N61">
        <f>VAR(N37:N52)</f>
        <v>814.24406497292489</v>
      </c>
      <c r="O61">
        <f t="shared" ref="O61:Q61" si="134">VAR(O37:O52)</f>
        <v>263.26456238472065</v>
      </c>
      <c r="P61">
        <f t="shared" si="134"/>
        <v>542.03605640507192</v>
      </c>
      <c r="Q61">
        <f t="shared" si="134"/>
        <v>571.78556553816748</v>
      </c>
      <c r="S61" s="4"/>
      <c r="U61" t="s">
        <v>21</v>
      </c>
      <c r="V61">
        <f>VAR(V37:V52)</f>
        <v>886.82387635383998</v>
      </c>
      <c r="W61">
        <f t="shared" ref="W61:Y61" si="135">VAR(W37:W52)</f>
        <v>1130.8772413695501</v>
      </c>
      <c r="X61">
        <f t="shared" si="135"/>
        <v>1718.3733075914029</v>
      </c>
      <c r="Y61">
        <f t="shared" si="135"/>
        <v>448.70176480780117</v>
      </c>
      <c r="AA61" t="s">
        <v>21</v>
      </c>
      <c r="AB61">
        <f>VAR(AB37:AB52)</f>
        <v>269.74548148259123</v>
      </c>
      <c r="AC61">
        <f t="shared" ref="AC61:AE61" si="136">VAR(AC37:AC52)</f>
        <v>888.85064480767335</v>
      </c>
      <c r="AD61">
        <f t="shared" si="136"/>
        <v>656.29337533530668</v>
      </c>
      <c r="AE61">
        <f t="shared" si="136"/>
        <v>568.29873283225788</v>
      </c>
      <c r="AG61" t="s">
        <v>21</v>
      </c>
      <c r="AH61">
        <f>VAR(AH37:AH52)</f>
        <v>814.24406497292489</v>
      </c>
      <c r="AI61">
        <f t="shared" ref="AI61:AK61" si="137">VAR(AI37:AI52)</f>
        <v>263.26456238472065</v>
      </c>
      <c r="AJ61">
        <f t="shared" si="137"/>
        <v>542.03605640507192</v>
      </c>
      <c r="AK61">
        <f t="shared" si="137"/>
        <v>571.78556553816748</v>
      </c>
    </row>
    <row r="62" spans="1:37" x14ac:dyDescent="0.25">
      <c r="S62" s="4"/>
    </row>
    <row r="63" spans="1:37" x14ac:dyDescent="0.25">
      <c r="A63" t="s">
        <v>22</v>
      </c>
      <c r="S63" s="4"/>
      <c r="U63" t="s">
        <v>22</v>
      </c>
    </row>
    <row r="64" spans="1:37" x14ac:dyDescent="0.25">
      <c r="A64" t="s">
        <v>1</v>
      </c>
      <c r="B64" t="e">
        <f>TTEST(B45:B52,H45:H52,2,3)</f>
        <v>#DIV/0!</v>
      </c>
      <c r="S64" s="4"/>
      <c r="U64" t="s">
        <v>1</v>
      </c>
      <c r="V64" t="e">
        <f>TTEST(V45:V52,AB45:AB52,2,3)</f>
        <v>#DIV/0!</v>
      </c>
    </row>
    <row r="65" spans="1:37" x14ac:dyDescent="0.25">
      <c r="A65" t="s">
        <v>2</v>
      </c>
      <c r="B65" t="e">
        <f>TTEST(C45:C52,I45:I52,2,3)</f>
        <v>#DIV/0!</v>
      </c>
      <c r="S65" s="4"/>
      <c r="U65" t="s">
        <v>2</v>
      </c>
      <c r="V65" t="e">
        <f>TTEST(W45:W52,AC45:AC52,2,3)</f>
        <v>#DIV/0!</v>
      </c>
    </row>
    <row r="66" spans="1:37" x14ac:dyDescent="0.25">
      <c r="A66" t="s">
        <v>3</v>
      </c>
      <c r="B66" t="e">
        <f>TTEST(D45:D52,J45:J52,2,3)</f>
        <v>#DIV/0!</v>
      </c>
      <c r="S66" s="4"/>
      <c r="U66" t="s">
        <v>3</v>
      </c>
      <c r="V66" t="e">
        <f>TTEST(X45:X52,AD45:AD52,2,3)</f>
        <v>#DIV/0!</v>
      </c>
    </row>
    <row r="67" spans="1:37" x14ac:dyDescent="0.25">
      <c r="A67" t="s">
        <v>4</v>
      </c>
      <c r="B67" t="e">
        <f>TTEST(E45:E52,K45:K52,2,3)</f>
        <v>#DIV/0!</v>
      </c>
      <c r="S67" s="4"/>
      <c r="U67" t="s">
        <v>4</v>
      </c>
      <c r="V67" t="e">
        <f>TTEST(Y45:Y52,AE45:AE52,2,3)</f>
        <v>#DIV/0!</v>
      </c>
    </row>
    <row r="68" spans="1:37" x14ac:dyDescent="0.25">
      <c r="S68" s="4"/>
    </row>
    <row r="69" spans="1:37" x14ac:dyDescent="0.25">
      <c r="A69" t="s">
        <v>26</v>
      </c>
      <c r="S69" s="4"/>
      <c r="U69" t="s">
        <v>26</v>
      </c>
    </row>
    <row r="70" spans="1:37" x14ac:dyDescent="0.25">
      <c r="A70" s="1" t="s">
        <v>29</v>
      </c>
      <c r="B70" s="1" t="s">
        <v>1</v>
      </c>
      <c r="C70" s="1" t="s">
        <v>2</v>
      </c>
      <c r="D70" s="1" t="s">
        <v>3</v>
      </c>
      <c r="E70" s="1" t="s">
        <v>4</v>
      </c>
      <c r="G70" s="1" t="s">
        <v>30</v>
      </c>
      <c r="H70" s="1" t="s">
        <v>1</v>
      </c>
      <c r="I70" s="1" t="s">
        <v>2</v>
      </c>
      <c r="J70" s="1" t="s">
        <v>3</v>
      </c>
      <c r="K70" s="1" t="s">
        <v>4</v>
      </c>
      <c r="M70" s="1" t="s">
        <v>31</v>
      </c>
      <c r="N70" s="1" t="s">
        <v>1</v>
      </c>
      <c r="O70" s="1" t="s">
        <v>2</v>
      </c>
      <c r="P70" s="1" t="s">
        <v>3</v>
      </c>
      <c r="Q70" s="1" t="s">
        <v>4</v>
      </c>
      <c r="R70" s="1"/>
      <c r="S70" s="4"/>
      <c r="U70" s="1" t="s">
        <v>29</v>
      </c>
      <c r="V70" s="1" t="s">
        <v>1</v>
      </c>
      <c r="W70" s="1" t="s">
        <v>2</v>
      </c>
      <c r="X70" s="1" t="s">
        <v>3</v>
      </c>
      <c r="Y70" s="1" t="s">
        <v>4</v>
      </c>
      <c r="AA70" s="1" t="s">
        <v>30</v>
      </c>
      <c r="AB70" s="1" t="s">
        <v>1</v>
      </c>
      <c r="AC70" s="1" t="s">
        <v>2</v>
      </c>
      <c r="AD70" s="1" t="s">
        <v>3</v>
      </c>
      <c r="AE70" s="1" t="s">
        <v>4</v>
      </c>
      <c r="AG70" s="1" t="s">
        <v>31</v>
      </c>
      <c r="AH70" s="1" t="s">
        <v>1</v>
      </c>
      <c r="AI70" s="1" t="s">
        <v>2</v>
      </c>
      <c r="AJ70" s="1" t="s">
        <v>3</v>
      </c>
      <c r="AK70" s="1" t="s">
        <v>4</v>
      </c>
    </row>
    <row r="71" spans="1:37" x14ac:dyDescent="0.25">
      <c r="A71" t="s">
        <v>5</v>
      </c>
      <c r="B71" s="3"/>
      <c r="C71" s="3">
        <f>-((C3-B$23)/B$23)*100</f>
        <v>34.328358208955159</v>
      </c>
      <c r="D71" s="3">
        <f t="shared" ref="D71:E78" si="138">-((D3-C$23)/C$23)*100</f>
        <v>8.3969465648854733</v>
      </c>
      <c r="E71" s="3">
        <f t="shared" si="138"/>
        <v>27.272727272727366</v>
      </c>
      <c r="G71" t="s">
        <v>5</v>
      </c>
      <c r="H71" s="3"/>
      <c r="I71" s="3">
        <f>-((I3-H$23)/H$23)*100</f>
        <v>-23.909774436089894</v>
      </c>
      <c r="J71" s="3">
        <f>-((J3-I$23)/I$23)*100</f>
        <v>-27.272727272727515</v>
      </c>
      <c r="K71" s="3">
        <f>-((K3-J$23)/J$23)*100</f>
        <v>16.883116883116845</v>
      </c>
      <c r="M71" t="s">
        <v>5</v>
      </c>
      <c r="N71" s="3"/>
      <c r="O71" s="3">
        <f>-((O3-N$23)/N$23)*100</f>
        <v>-19.387755102040842</v>
      </c>
      <c r="P71" s="3">
        <f>-((P3-O$23)/O$23)*100</f>
        <v>-16.363636363636573</v>
      </c>
      <c r="Q71" s="3">
        <f>-((Q3-P$23)/P$23)*100</f>
        <v>53.012048192771147</v>
      </c>
      <c r="R71" s="3"/>
      <c r="S71" s="4"/>
      <c r="U71" t="s">
        <v>5</v>
      </c>
      <c r="V71" s="3"/>
      <c r="W71" s="3">
        <f>-((W3-V$23)/V$23)*100</f>
        <v>34.328358208955159</v>
      </c>
      <c r="X71" s="3">
        <f t="shared" ref="X71:X74" si="139">-((X3-W$23)/W$23)*100</f>
        <v>8.3969465648854733</v>
      </c>
      <c r="Y71" s="3">
        <f t="shared" ref="Y71" si="140">-((Y3-X$23)/X$23)*100</f>
        <v>27.272727272727366</v>
      </c>
      <c r="AA71" t="s">
        <v>5</v>
      </c>
      <c r="AB71" s="3"/>
      <c r="AC71" s="3">
        <f>-((AC3-AB$23)/AB$23)*100</f>
        <v>-39.458413926498693</v>
      </c>
      <c r="AD71" s="3">
        <f>-((AD3-AC$23)/AC$23)*100</f>
        <v>-27.272727272727515</v>
      </c>
      <c r="AE71" s="3">
        <f>-((AE3-AD$23)/AD$23)*100</f>
        <v>16.883116883116845</v>
      </c>
      <c r="AG71" t="s">
        <v>5</v>
      </c>
      <c r="AH71" s="3"/>
      <c r="AI71" s="3">
        <f>-((AI3-AH$23)/AH$23)*100</f>
        <v>-19.387755102040842</v>
      </c>
      <c r="AJ71" s="3">
        <f t="shared" ref="AJ71:AJ78" si="141">-((AJ3-AI$23)/AI$23)*100</f>
        <v>-16.363636363636573</v>
      </c>
      <c r="AK71" s="3">
        <f t="shared" ref="AK71:AK78" si="142">-((AK3-AJ$23)/AJ$23)*100</f>
        <v>53.012048192771147</v>
      </c>
    </row>
    <row r="72" spans="1:37" x14ac:dyDescent="0.25">
      <c r="A72" t="s">
        <v>7</v>
      </c>
      <c r="B72" s="3"/>
      <c r="C72" s="3">
        <f t="shared" ref="C72:C78" si="143">-((C4-B$23)/B$23)*100</f>
        <v>26.368159203980056</v>
      </c>
      <c r="D72" s="3">
        <f t="shared" si="138"/>
        <v>-22.137404580152758</v>
      </c>
      <c r="E72" s="3"/>
      <c r="G72" t="s">
        <v>7</v>
      </c>
      <c r="H72" s="3"/>
      <c r="I72" s="3">
        <f t="shared" ref="I72:K72" si="144">-((I4-H$23)/H$23)*100</f>
        <v>6.1654135338346387</v>
      </c>
      <c r="J72" s="3">
        <f t="shared" si="144"/>
        <v>-20.779220779220385</v>
      </c>
      <c r="K72" s="3">
        <f t="shared" si="144"/>
        <v>-37.662337662338068</v>
      </c>
      <c r="M72" t="s">
        <v>7</v>
      </c>
      <c r="N72" s="3"/>
      <c r="O72" s="3">
        <f t="shared" ref="O72:O78" si="145">-((O4-N$23)/N$23)*100</f>
        <v>9.1836734693874131</v>
      </c>
      <c r="P72" s="3">
        <f t="shared" ref="P72:P78" si="146">-((P4-O$23)/O$23)*100</f>
        <v>-37.622377622377741</v>
      </c>
      <c r="Q72" s="3">
        <f t="shared" ref="Q72:Q78" si="147">-((Q4-P$23)/P$23)*100</f>
        <v>-15.6626506024097</v>
      </c>
      <c r="R72" s="3"/>
      <c r="S72" s="4"/>
      <c r="U72" t="s">
        <v>7</v>
      </c>
      <c r="V72" s="3"/>
      <c r="W72" s="3">
        <f t="shared" ref="W72:W78" si="148">-((W4-V$23)/V$23)*100</f>
        <v>26.368159203980056</v>
      </c>
      <c r="X72" s="3">
        <f t="shared" si="139"/>
        <v>-22.137404580152758</v>
      </c>
      <c r="Y72" s="3"/>
      <c r="AA72" t="s">
        <v>7</v>
      </c>
      <c r="AB72" s="3"/>
      <c r="AC72" s="3">
        <f t="shared" ref="AC72:AE72" si="149">-((AC4-AB$23)/AB$23)*100</f>
        <v>-5.6092843326885546</v>
      </c>
      <c r="AD72" s="3">
        <f t="shared" si="149"/>
        <v>-20.779220779220385</v>
      </c>
      <c r="AE72" s="3">
        <f t="shared" si="149"/>
        <v>-37.662337662338068</v>
      </c>
      <c r="AG72" t="s">
        <v>7</v>
      </c>
      <c r="AH72" s="3"/>
      <c r="AI72" s="3">
        <f t="shared" ref="AI72:AI78" si="150">-((AI4-AH$23)/AH$23)*100</f>
        <v>9.1836734693874131</v>
      </c>
      <c r="AJ72" s="3">
        <f t="shared" si="141"/>
        <v>-37.622377622377741</v>
      </c>
      <c r="AK72" s="3">
        <f t="shared" si="142"/>
        <v>-15.6626506024097</v>
      </c>
    </row>
    <row r="73" spans="1:37" x14ac:dyDescent="0.25">
      <c r="A73" t="s">
        <v>8</v>
      </c>
      <c r="B73" s="3"/>
      <c r="C73" s="3">
        <f t="shared" si="143"/>
        <v>-19.402985074626923</v>
      </c>
      <c r="D73" s="3">
        <f t="shared" si="138"/>
        <v>-40.458015267175668</v>
      </c>
      <c r="E73" s="3">
        <f t="shared" si="138"/>
        <v>17.355371900826494</v>
      </c>
      <c r="G73" t="s">
        <v>8</v>
      </c>
      <c r="H73" s="3"/>
      <c r="I73" s="3">
        <f t="shared" ref="I73:K73" si="151">-((I5-H$23)/H$23)*100</f>
        <v>4.9624060150377192</v>
      </c>
      <c r="J73" s="3">
        <f t="shared" si="151"/>
        <v>-7.7922077922082087</v>
      </c>
      <c r="K73" s="3">
        <f t="shared" si="151"/>
        <v>-14.285714285714255</v>
      </c>
      <c r="M73" t="s">
        <v>8</v>
      </c>
      <c r="N73" s="3"/>
      <c r="O73" s="3">
        <f t="shared" si="145"/>
        <v>2.0408163265305479</v>
      </c>
      <c r="P73" s="3">
        <f t="shared" si="146"/>
        <v>22.797202797202814</v>
      </c>
      <c r="Q73" s="3">
        <f t="shared" si="147"/>
        <v>-25.301204819277334</v>
      </c>
      <c r="R73" s="3"/>
      <c r="S73" s="4"/>
      <c r="U73" t="s">
        <v>8</v>
      </c>
      <c r="V73" s="3"/>
      <c r="W73" s="3">
        <f t="shared" si="148"/>
        <v>-19.402985074626923</v>
      </c>
      <c r="X73" s="3">
        <f t="shared" si="139"/>
        <v>-40.458015267175668</v>
      </c>
      <c r="Y73" s="3">
        <f t="shared" ref="Y73:Y74" si="152">-((Y5-X$23)/X$23)*100</f>
        <v>17.355371900826494</v>
      </c>
      <c r="AA73" t="s">
        <v>8</v>
      </c>
      <c r="AB73" s="3"/>
      <c r="AC73" s="3">
        <f t="shared" ref="AC73:AE73" si="153">-((AC5-AB$23)/AB$23)*100</f>
        <v>-6.9632495164408921</v>
      </c>
      <c r="AD73" s="3">
        <f t="shared" si="153"/>
        <v>-7.7922077922082087</v>
      </c>
      <c r="AE73" s="3">
        <f t="shared" si="153"/>
        <v>-14.285714285714255</v>
      </c>
      <c r="AG73" t="s">
        <v>8</v>
      </c>
      <c r="AH73" s="3"/>
      <c r="AI73" s="3">
        <f t="shared" si="150"/>
        <v>2.0408163265305479</v>
      </c>
      <c r="AJ73" s="3">
        <f t="shared" si="141"/>
        <v>22.797202797202814</v>
      </c>
      <c r="AK73" s="3">
        <f t="shared" si="142"/>
        <v>-25.301204819277334</v>
      </c>
    </row>
    <row r="74" spans="1:37" x14ac:dyDescent="0.25">
      <c r="A74" t="s">
        <v>9</v>
      </c>
      <c r="B74" s="3"/>
      <c r="C74" s="3">
        <f t="shared" si="143"/>
        <v>-63.184079601989772</v>
      </c>
      <c r="D74" s="3">
        <f t="shared" si="138"/>
        <v>-64.885496183206641</v>
      </c>
      <c r="E74" s="3">
        <f t="shared" si="138"/>
        <v>45.454545454545446</v>
      </c>
      <c r="G74" t="s">
        <v>9</v>
      </c>
      <c r="H74" s="3"/>
      <c r="I74" s="3">
        <f t="shared" ref="I74:K74" si="154">-((I6-H$23)/H$23)*100</f>
        <v>-23.909774436089894</v>
      </c>
      <c r="J74" s="3">
        <f t="shared" si="154"/>
        <v>-31.168831168830962</v>
      </c>
      <c r="K74" s="3">
        <f t="shared" si="154"/>
        <v>16.883116883116845</v>
      </c>
      <c r="M74" t="s">
        <v>9</v>
      </c>
      <c r="N74" s="3"/>
      <c r="O74" s="3">
        <f t="shared" si="145"/>
        <v>-5.1020408163262942</v>
      </c>
      <c r="P74" s="3">
        <f t="shared" si="146"/>
        <v>23.916083916083956</v>
      </c>
      <c r="Q74" s="3">
        <f t="shared" si="147"/>
        <v>-12.048192771083846</v>
      </c>
      <c r="R74" s="3"/>
      <c r="S74" s="4"/>
      <c r="U74" t="s">
        <v>9</v>
      </c>
      <c r="V74" s="3"/>
      <c r="W74" s="3">
        <f t="shared" si="148"/>
        <v>-63.184079601989772</v>
      </c>
      <c r="X74" s="3">
        <f t="shared" si="139"/>
        <v>-64.885496183206641</v>
      </c>
      <c r="Y74" s="3">
        <f t="shared" si="152"/>
        <v>45.454545454545446</v>
      </c>
      <c r="AA74" t="s">
        <v>9</v>
      </c>
      <c r="AB74" s="3"/>
      <c r="AC74" s="3">
        <f t="shared" ref="AC74:AE74" si="155">-((AC6-AB$23)/AB$23)*100</f>
        <v>-39.458413926498693</v>
      </c>
      <c r="AD74" s="3">
        <f t="shared" si="155"/>
        <v>-31.168831168830962</v>
      </c>
      <c r="AE74" s="3">
        <f t="shared" si="155"/>
        <v>16.883116883116845</v>
      </c>
      <c r="AG74" t="s">
        <v>9</v>
      </c>
      <c r="AH74" s="3"/>
      <c r="AI74" s="3">
        <f t="shared" si="150"/>
        <v>-5.1020408163262942</v>
      </c>
      <c r="AJ74" s="3">
        <f t="shared" si="141"/>
        <v>23.916083916083956</v>
      </c>
      <c r="AK74" s="3">
        <f t="shared" si="142"/>
        <v>-12.048192771083846</v>
      </c>
    </row>
    <row r="75" spans="1:37" x14ac:dyDescent="0.25">
      <c r="A75" t="s">
        <v>10</v>
      </c>
      <c r="B75" s="3"/>
      <c r="C75" s="3">
        <f t="shared" si="143"/>
        <v>-21.393034825870586</v>
      </c>
      <c r="D75" s="3"/>
      <c r="E75" s="3"/>
      <c r="G75" t="s">
        <v>10</v>
      </c>
      <c r="H75" s="3"/>
      <c r="I75" s="3">
        <f t="shared" ref="I75:K75" si="156">-((I7-H$23)/H$23)*100</f>
        <v>19.398496240601592</v>
      </c>
      <c r="J75" s="3">
        <f t="shared" si="156"/>
        <v>22.077922077922004</v>
      </c>
      <c r="K75" s="3">
        <f t="shared" si="156"/>
        <v>25.974025974025988</v>
      </c>
      <c r="M75" t="s">
        <v>10</v>
      </c>
      <c r="N75" s="3"/>
      <c r="O75" s="3">
        <f t="shared" si="145"/>
        <v>23.469387755102112</v>
      </c>
      <c r="P75" s="3">
        <f t="shared" si="146"/>
        <v>30.629370629370701</v>
      </c>
      <c r="Q75" s="3">
        <f t="shared" si="147"/>
        <v>-16.867469879517664</v>
      </c>
      <c r="R75" s="3"/>
      <c r="S75" s="4"/>
      <c r="U75" t="s">
        <v>10</v>
      </c>
      <c r="V75" s="3"/>
      <c r="W75" s="3">
        <f t="shared" si="148"/>
        <v>-21.393034825870586</v>
      </c>
      <c r="X75" s="3"/>
      <c r="Y75" s="3"/>
      <c r="AA75" t="s">
        <v>10</v>
      </c>
      <c r="AB75" s="3"/>
      <c r="AC75" s="3">
        <f t="shared" ref="AC75:AE75" si="157">-((AC7-AB$23)/AB$23)*100</f>
        <v>9.284332688588087</v>
      </c>
      <c r="AD75" s="3">
        <f t="shared" si="157"/>
        <v>22.077922077922004</v>
      </c>
      <c r="AE75" s="3">
        <f t="shared" si="157"/>
        <v>25.974025974025988</v>
      </c>
      <c r="AG75" t="s">
        <v>10</v>
      </c>
      <c r="AH75" s="3"/>
      <c r="AI75" s="3">
        <f t="shared" si="150"/>
        <v>23.469387755102112</v>
      </c>
      <c r="AJ75" s="3">
        <f t="shared" si="141"/>
        <v>30.629370629370701</v>
      </c>
      <c r="AK75" s="3">
        <f t="shared" si="142"/>
        <v>-16.867469879517664</v>
      </c>
    </row>
    <row r="76" spans="1:37" x14ac:dyDescent="0.25">
      <c r="A76" t="s">
        <v>11</v>
      </c>
      <c r="B76" s="3"/>
      <c r="C76" s="3">
        <f t="shared" si="143"/>
        <v>22.388059701492587</v>
      </c>
      <c r="D76" s="3">
        <f t="shared" si="138"/>
        <v>-62.849872773536894</v>
      </c>
      <c r="E76" s="3"/>
      <c r="G76" t="s">
        <v>11</v>
      </c>
      <c r="H76" s="3"/>
      <c r="I76" s="3">
        <f t="shared" ref="I76:K76" si="158">-((I8-H$23)/H$23)*100</f>
        <v>60.300751879699256</v>
      </c>
      <c r="J76" s="3">
        <f t="shared" si="158"/>
        <v>23.376623376623332</v>
      </c>
      <c r="K76" s="3">
        <f t="shared" si="158"/>
        <v>27.272727272727209</v>
      </c>
      <c r="M76" t="s">
        <v>11</v>
      </c>
      <c r="N76" s="3"/>
      <c r="O76" s="3">
        <f t="shared" si="145"/>
        <v>26.530612244897998</v>
      </c>
      <c r="P76" s="3">
        <f t="shared" si="146"/>
        <v>-4.0559440559435993</v>
      </c>
      <c r="Q76" s="3">
        <f t="shared" si="147"/>
        <v>38.55421686746989</v>
      </c>
      <c r="R76" s="3"/>
      <c r="S76" s="4"/>
      <c r="U76" t="s">
        <v>11</v>
      </c>
      <c r="V76" s="3"/>
      <c r="W76" s="3">
        <f t="shared" si="148"/>
        <v>22.388059701492587</v>
      </c>
      <c r="X76" s="3">
        <f t="shared" ref="X76" si="159">-((X8-W$23)/W$23)*100</f>
        <v>-62.849872773536894</v>
      </c>
      <c r="Y76" s="3"/>
      <c r="AA76" t="s">
        <v>11</v>
      </c>
      <c r="AB76" s="3"/>
      <c r="AC76" s="3">
        <f t="shared" ref="AC76:AE76" si="160">-((AC8-AB$23)/AB$23)*100</f>
        <v>55.319148936170201</v>
      </c>
      <c r="AD76" s="3">
        <f t="shared" si="160"/>
        <v>23.376623376623332</v>
      </c>
      <c r="AE76" s="3">
        <f t="shared" si="160"/>
        <v>27.272727272727209</v>
      </c>
      <c r="AG76" t="s">
        <v>11</v>
      </c>
      <c r="AH76" s="3"/>
      <c r="AI76" s="3">
        <f t="shared" si="150"/>
        <v>26.530612244897998</v>
      </c>
      <c r="AJ76" s="3">
        <f t="shared" si="141"/>
        <v>-4.0559440559435993</v>
      </c>
      <c r="AK76" s="3">
        <f t="shared" si="142"/>
        <v>38.55421686746989</v>
      </c>
    </row>
    <row r="77" spans="1:37" x14ac:dyDescent="0.25">
      <c r="A77" t="s">
        <v>12</v>
      </c>
      <c r="B77" s="3"/>
      <c r="C77" s="3">
        <f t="shared" si="143"/>
        <v>18.407960199004954</v>
      </c>
      <c r="D77" s="3"/>
      <c r="E77" s="3">
        <f t="shared" si="138"/>
        <v>47.107438016528953</v>
      </c>
      <c r="G77" t="s">
        <v>12</v>
      </c>
      <c r="H77" s="3"/>
      <c r="I77" s="3">
        <f t="shared" ref="I77:K77" si="161">-((I9-H$23)/H$23)*100</f>
        <v>7.3684210526316543</v>
      </c>
      <c r="J77" s="3">
        <f t="shared" si="161"/>
        <v>28.571428571428513</v>
      </c>
      <c r="K77" s="3">
        <f t="shared" si="161"/>
        <v>14.285714285714299</v>
      </c>
      <c r="M77" t="s">
        <v>12</v>
      </c>
      <c r="N77" s="3"/>
      <c r="O77" s="3">
        <f t="shared" si="145"/>
        <v>25.510204081632672</v>
      </c>
      <c r="P77" s="3">
        <f t="shared" si="146"/>
        <v>2.6573426573423262</v>
      </c>
      <c r="Q77" s="3">
        <f t="shared" si="147"/>
        <v>-3.6144578313251525</v>
      </c>
      <c r="R77" s="3"/>
      <c r="S77" s="4"/>
      <c r="U77" t="s">
        <v>12</v>
      </c>
      <c r="V77" s="3"/>
      <c r="W77" s="3">
        <f t="shared" si="148"/>
        <v>18.407960199004954</v>
      </c>
      <c r="X77" s="3"/>
      <c r="Y77" s="3">
        <f t="shared" ref="Y77:Y78" si="162">-((Y9-X$23)/X$23)*100</f>
        <v>47.107438016528953</v>
      </c>
      <c r="AA77" t="s">
        <v>12</v>
      </c>
      <c r="AB77" s="3"/>
      <c r="AC77" s="3">
        <f t="shared" ref="AC77:AE77" si="163">-((AC9-AB$23)/AB$23)*100</f>
        <v>-4.2553191489361106</v>
      </c>
      <c r="AD77" s="3">
        <f t="shared" si="163"/>
        <v>28.571428571428513</v>
      </c>
      <c r="AE77" s="3">
        <f t="shared" si="163"/>
        <v>14.285714285714299</v>
      </c>
      <c r="AG77" t="s">
        <v>12</v>
      </c>
      <c r="AH77" s="3"/>
      <c r="AI77" s="3">
        <f t="shared" si="150"/>
        <v>25.510204081632672</v>
      </c>
      <c r="AJ77" s="3">
        <f t="shared" si="141"/>
        <v>2.6573426573423262</v>
      </c>
      <c r="AK77" s="3">
        <f t="shared" si="142"/>
        <v>-3.6144578313251525</v>
      </c>
    </row>
    <row r="78" spans="1:37" x14ac:dyDescent="0.25">
      <c r="A78" t="s">
        <v>13</v>
      </c>
      <c r="B78" s="3"/>
      <c r="C78" s="3">
        <f t="shared" si="143"/>
        <v>20.398009950248774</v>
      </c>
      <c r="D78" s="3">
        <f t="shared" si="138"/>
        <v>43.002544529262032</v>
      </c>
      <c r="E78" s="3">
        <f t="shared" si="138"/>
        <v>61.983471074380184</v>
      </c>
      <c r="G78" t="s">
        <v>13</v>
      </c>
      <c r="H78" s="3"/>
      <c r="I78" s="3">
        <f t="shared" ref="I78:K78" si="164">-((I10-H$23)/H$23)*100</f>
        <v>8.5714285714286707</v>
      </c>
      <c r="J78" s="3">
        <f t="shared" si="164"/>
        <v>12.98701298701296</v>
      </c>
      <c r="K78" s="3">
        <f t="shared" si="164"/>
        <v>-7.7922077922081767</v>
      </c>
      <c r="M78" t="s">
        <v>13</v>
      </c>
      <c r="N78" s="3"/>
      <c r="O78" s="3">
        <f t="shared" si="145"/>
        <v>8.1632653061224953</v>
      </c>
      <c r="P78" s="3">
        <f t="shared" si="146"/>
        <v>35.104895104895164</v>
      </c>
      <c r="Q78" s="3">
        <f t="shared" si="147"/>
        <v>1.2048192771086641</v>
      </c>
      <c r="R78" s="3"/>
      <c r="S78" s="4"/>
      <c r="U78" t="s">
        <v>13</v>
      </c>
      <c r="V78" s="3"/>
      <c r="W78" s="3">
        <f t="shared" si="148"/>
        <v>20.398009950248774</v>
      </c>
      <c r="X78" s="3">
        <f t="shared" ref="X78" si="165">-((X10-W$23)/W$23)*100</f>
        <v>43.002544529262032</v>
      </c>
      <c r="Y78" s="3">
        <f t="shared" si="162"/>
        <v>61.983471074380184</v>
      </c>
      <c r="AA78" t="s">
        <v>13</v>
      </c>
      <c r="AB78" s="3"/>
      <c r="AC78" s="3">
        <f t="shared" ref="AC78:AE78" si="166">-((AC10-AB$23)/AB$23)*100</f>
        <v>-2.9013539651836657</v>
      </c>
      <c r="AD78" s="3">
        <f t="shared" si="166"/>
        <v>12.98701298701296</v>
      </c>
      <c r="AE78" s="3">
        <f t="shared" si="166"/>
        <v>-7.7922077922081767</v>
      </c>
      <c r="AG78" t="s">
        <v>13</v>
      </c>
      <c r="AH78" s="3"/>
      <c r="AI78" s="3">
        <f t="shared" si="150"/>
        <v>8.1632653061224953</v>
      </c>
      <c r="AJ78" s="3">
        <f t="shared" si="141"/>
        <v>35.104895104895164</v>
      </c>
      <c r="AK78" s="3">
        <f t="shared" si="142"/>
        <v>1.2048192771086641</v>
      </c>
    </row>
    <row r="79" spans="1:37" x14ac:dyDescent="0.25">
      <c r="A79" t="s">
        <v>5</v>
      </c>
      <c r="C79" s="3"/>
      <c r="D79" s="3"/>
      <c r="E79" s="3"/>
      <c r="G79" t="s">
        <v>5</v>
      </c>
      <c r="I79" s="3"/>
      <c r="J79" s="3"/>
      <c r="K79" s="3"/>
      <c r="M79" t="s">
        <v>5</v>
      </c>
      <c r="O79" s="3"/>
      <c r="P79" s="3"/>
      <c r="Q79" s="3"/>
      <c r="S79" s="4"/>
      <c r="U79" t="s">
        <v>5</v>
      </c>
      <c r="W79" s="3"/>
      <c r="X79" s="3"/>
      <c r="Y79" s="3"/>
      <c r="AA79" t="s">
        <v>5</v>
      </c>
      <c r="AC79" s="3"/>
      <c r="AD79" s="3"/>
      <c r="AE79" s="3"/>
      <c r="AG79" t="s">
        <v>5</v>
      </c>
      <c r="AI79" s="3"/>
      <c r="AJ79" s="3"/>
      <c r="AK79" s="3"/>
    </row>
    <row r="80" spans="1:37" x14ac:dyDescent="0.25">
      <c r="A80" t="s">
        <v>7</v>
      </c>
      <c r="C80" s="3"/>
      <c r="D80" s="3"/>
      <c r="E80" s="3"/>
      <c r="G80" t="s">
        <v>7</v>
      </c>
      <c r="I80" s="3"/>
      <c r="J80" s="3"/>
      <c r="K80" s="3"/>
      <c r="M80" t="s">
        <v>7</v>
      </c>
      <c r="O80" s="3"/>
      <c r="P80" s="3"/>
      <c r="Q80" s="3"/>
      <c r="S80" s="4"/>
      <c r="U80" t="s">
        <v>7</v>
      </c>
      <c r="W80" s="3"/>
      <c r="X80" s="3"/>
      <c r="Y80" s="3"/>
      <c r="AA80" t="s">
        <v>7</v>
      </c>
      <c r="AC80" s="3"/>
      <c r="AD80" s="3"/>
      <c r="AE80" s="3"/>
      <c r="AG80" t="s">
        <v>7</v>
      </c>
      <c r="AI80" s="3"/>
      <c r="AJ80" s="3"/>
      <c r="AK80" s="3"/>
    </row>
    <row r="81" spans="1:37" x14ac:dyDescent="0.25">
      <c r="A81" t="s">
        <v>8</v>
      </c>
      <c r="C81" s="3"/>
      <c r="D81" s="3"/>
      <c r="E81" s="3"/>
      <c r="G81" t="s">
        <v>8</v>
      </c>
      <c r="I81" s="3"/>
      <c r="J81" s="3"/>
      <c r="K81" s="3"/>
      <c r="M81" t="s">
        <v>8</v>
      </c>
      <c r="O81" s="3"/>
      <c r="P81" s="3"/>
      <c r="Q81" s="3"/>
      <c r="S81" s="4"/>
      <c r="U81" t="s">
        <v>8</v>
      </c>
      <c r="W81" s="3"/>
      <c r="X81" s="3"/>
      <c r="Y81" s="3"/>
      <c r="AA81" t="s">
        <v>8</v>
      </c>
      <c r="AC81" s="3"/>
      <c r="AD81" s="3"/>
      <c r="AE81" s="3"/>
      <c r="AG81" t="s">
        <v>8</v>
      </c>
      <c r="AI81" s="3"/>
      <c r="AJ81" s="3"/>
      <c r="AK81" s="3"/>
    </row>
    <row r="82" spans="1:37" x14ac:dyDescent="0.25">
      <c r="A82" t="s">
        <v>9</v>
      </c>
      <c r="C82" s="3"/>
      <c r="D82" s="3"/>
      <c r="E82" s="3"/>
      <c r="G82" t="s">
        <v>9</v>
      </c>
      <c r="I82" s="3"/>
      <c r="J82" s="3"/>
      <c r="K82" s="3"/>
      <c r="M82" t="s">
        <v>9</v>
      </c>
      <c r="O82" s="3"/>
      <c r="P82" s="3"/>
      <c r="Q82" s="3"/>
      <c r="S82" s="4"/>
      <c r="U82" t="s">
        <v>9</v>
      </c>
      <c r="W82" s="3"/>
      <c r="X82" s="3"/>
      <c r="Y82" s="3"/>
      <c r="AA82" t="s">
        <v>9</v>
      </c>
      <c r="AC82" s="3"/>
      <c r="AD82" s="3"/>
      <c r="AE82" s="3"/>
      <c r="AG82" t="s">
        <v>9</v>
      </c>
      <c r="AI82" s="3"/>
      <c r="AJ82" s="3"/>
      <c r="AK82" s="3"/>
    </row>
    <row r="83" spans="1:37" x14ac:dyDescent="0.25">
      <c r="A83" t="s">
        <v>10</v>
      </c>
      <c r="C83" s="3"/>
      <c r="D83" s="3"/>
      <c r="E83" s="3"/>
      <c r="G83" t="s">
        <v>10</v>
      </c>
      <c r="I83" s="3"/>
      <c r="J83" s="3"/>
      <c r="K83" s="3"/>
      <c r="M83" t="s">
        <v>10</v>
      </c>
      <c r="O83" s="3"/>
      <c r="P83" s="3"/>
      <c r="Q83" s="3"/>
      <c r="S83" s="4"/>
      <c r="U83" t="s">
        <v>10</v>
      </c>
      <c r="W83" s="3"/>
      <c r="X83" s="3"/>
      <c r="Y83" s="3"/>
      <c r="AA83" t="s">
        <v>10</v>
      </c>
      <c r="AC83" s="3"/>
      <c r="AD83" s="3"/>
      <c r="AE83" s="3"/>
      <c r="AG83" t="s">
        <v>10</v>
      </c>
      <c r="AI83" s="3"/>
      <c r="AJ83" s="3"/>
      <c r="AK83" s="3"/>
    </row>
    <row r="84" spans="1:37" x14ac:dyDescent="0.25">
      <c r="A84" t="s">
        <v>11</v>
      </c>
      <c r="C84" s="3"/>
      <c r="D84" s="3"/>
      <c r="E84" s="3"/>
      <c r="G84" t="s">
        <v>11</v>
      </c>
      <c r="I84" s="3"/>
      <c r="J84" s="3"/>
      <c r="K84" s="3"/>
      <c r="M84" t="s">
        <v>11</v>
      </c>
      <c r="O84" s="3"/>
      <c r="P84" s="3"/>
      <c r="Q84" s="3"/>
      <c r="S84" s="4"/>
      <c r="U84" t="s">
        <v>11</v>
      </c>
      <c r="W84" s="3"/>
      <c r="X84" s="3"/>
      <c r="Y84" s="3"/>
      <c r="AA84" t="s">
        <v>11</v>
      </c>
      <c r="AC84" s="3"/>
      <c r="AD84" s="3"/>
      <c r="AE84" s="3"/>
      <c r="AG84" t="s">
        <v>11</v>
      </c>
      <c r="AI84" s="3"/>
      <c r="AJ84" s="3"/>
      <c r="AK84" s="3"/>
    </row>
    <row r="85" spans="1:37" x14ac:dyDescent="0.25">
      <c r="A85" t="s">
        <v>12</v>
      </c>
      <c r="C85" s="3"/>
      <c r="D85" s="3"/>
      <c r="E85" s="3"/>
      <c r="G85" t="s">
        <v>12</v>
      </c>
      <c r="I85" s="3"/>
      <c r="J85" s="3"/>
      <c r="K85" s="3"/>
      <c r="M85" t="s">
        <v>12</v>
      </c>
      <c r="O85" s="3"/>
      <c r="P85" s="3"/>
      <c r="Q85" s="3"/>
      <c r="S85" s="4"/>
      <c r="U85" t="s">
        <v>12</v>
      </c>
      <c r="W85" s="3"/>
      <c r="X85" s="3"/>
      <c r="Y85" s="3"/>
      <c r="AA85" t="s">
        <v>12</v>
      </c>
      <c r="AC85" s="3"/>
      <c r="AD85" s="3"/>
      <c r="AE85" s="3"/>
      <c r="AG85" t="s">
        <v>12</v>
      </c>
      <c r="AI85" s="3"/>
      <c r="AJ85" s="3"/>
      <c r="AK85" s="3"/>
    </row>
    <row r="86" spans="1:37" x14ac:dyDescent="0.25">
      <c r="A86" t="s">
        <v>13</v>
      </c>
      <c r="C86" s="3"/>
      <c r="D86" s="3"/>
      <c r="E86" s="3"/>
      <c r="G86" t="s">
        <v>13</v>
      </c>
      <c r="I86" s="3"/>
      <c r="J86" s="3"/>
      <c r="K86" s="3"/>
      <c r="M86" t="s">
        <v>13</v>
      </c>
      <c r="O86" s="3"/>
      <c r="P86" s="3"/>
      <c r="Q86" s="3"/>
      <c r="S86" s="4"/>
      <c r="U86" t="s">
        <v>13</v>
      </c>
      <c r="W86" s="3"/>
      <c r="X86" s="3"/>
      <c r="Y86" s="3"/>
      <c r="AA86" t="s">
        <v>13</v>
      </c>
      <c r="AC86" s="3"/>
      <c r="AD86" s="3"/>
      <c r="AE86" s="3"/>
      <c r="AG86" t="s">
        <v>13</v>
      </c>
      <c r="AI86" s="3"/>
      <c r="AJ86" s="3"/>
      <c r="AK86" s="3"/>
    </row>
    <row r="87" spans="1:37" x14ac:dyDescent="0.25">
      <c r="A87" s="2"/>
      <c r="B87" s="2"/>
      <c r="C87" s="2"/>
      <c r="D87" s="2"/>
      <c r="E87" s="2"/>
      <c r="G87" s="2"/>
      <c r="H87" s="2"/>
      <c r="I87" s="2"/>
      <c r="J87" s="2"/>
      <c r="K87" s="2"/>
      <c r="M87" s="2"/>
      <c r="N87" s="2"/>
      <c r="O87" s="2"/>
      <c r="P87" s="2"/>
      <c r="Q87" s="2"/>
      <c r="S87" s="4"/>
      <c r="U87" s="2"/>
      <c r="V87" s="2"/>
      <c r="W87" s="2"/>
      <c r="X87" s="2"/>
      <c r="Y87" s="2"/>
      <c r="AA87" s="2"/>
      <c r="AB87" s="2"/>
      <c r="AC87" s="2"/>
      <c r="AD87" s="2"/>
      <c r="AE87" s="2"/>
      <c r="AG87" s="2"/>
      <c r="AH87" s="2"/>
      <c r="AI87" s="2"/>
      <c r="AJ87" s="2"/>
      <c r="AK87" s="2"/>
    </row>
    <row r="88" spans="1:37" x14ac:dyDescent="0.25">
      <c r="A88" t="s">
        <v>14</v>
      </c>
      <c r="B88">
        <f>COUNT(B71:B86)</f>
        <v>0</v>
      </c>
      <c r="C88">
        <f t="shared" ref="C88:E88" si="167">COUNT(C71:C86)</f>
        <v>8</v>
      </c>
      <c r="D88">
        <f t="shared" si="167"/>
        <v>6</v>
      </c>
      <c r="E88">
        <f t="shared" si="167"/>
        <v>5</v>
      </c>
      <c r="G88" t="s">
        <v>14</v>
      </c>
      <c r="H88">
        <f>COUNT(H71:H86)</f>
        <v>0</v>
      </c>
      <c r="I88">
        <f t="shared" ref="I88:K88" si="168">COUNT(I71:I86)</f>
        <v>8</v>
      </c>
      <c r="J88">
        <f t="shared" si="168"/>
        <v>8</v>
      </c>
      <c r="K88">
        <f t="shared" si="168"/>
        <v>8</v>
      </c>
      <c r="M88" t="s">
        <v>14</v>
      </c>
      <c r="N88">
        <f>COUNT(N71:N86)</f>
        <v>0</v>
      </c>
      <c r="O88">
        <f t="shared" ref="O88:Q88" si="169">COUNT(O71:O86)</f>
        <v>8</v>
      </c>
      <c r="P88">
        <f t="shared" si="169"/>
        <v>8</v>
      </c>
      <c r="Q88">
        <f t="shared" si="169"/>
        <v>8</v>
      </c>
      <c r="S88" s="4"/>
      <c r="U88" t="s">
        <v>14</v>
      </c>
      <c r="V88">
        <f>COUNT(V71:V86)</f>
        <v>0</v>
      </c>
      <c r="W88">
        <f t="shared" ref="W88:Y88" si="170">COUNT(W71:W86)</f>
        <v>8</v>
      </c>
      <c r="X88">
        <f t="shared" si="170"/>
        <v>6</v>
      </c>
      <c r="Y88">
        <f t="shared" si="170"/>
        <v>5</v>
      </c>
      <c r="AA88" t="s">
        <v>14</v>
      </c>
      <c r="AB88">
        <f>COUNT(AB71:AB86)</f>
        <v>0</v>
      </c>
      <c r="AC88">
        <f t="shared" ref="AC88:AE88" si="171">COUNT(AC71:AC86)</f>
        <v>8</v>
      </c>
      <c r="AD88">
        <f t="shared" si="171"/>
        <v>8</v>
      </c>
      <c r="AE88">
        <f t="shared" si="171"/>
        <v>8</v>
      </c>
      <c r="AG88" t="s">
        <v>14</v>
      </c>
      <c r="AH88">
        <f>COUNT(AH71:AH86)</f>
        <v>0</v>
      </c>
      <c r="AI88">
        <f t="shared" ref="AI88:AK88" si="172">COUNT(AI71:AI86)</f>
        <v>8</v>
      </c>
      <c r="AJ88">
        <f t="shared" si="172"/>
        <v>8</v>
      </c>
      <c r="AK88">
        <f t="shared" si="172"/>
        <v>8</v>
      </c>
    </row>
    <row r="89" spans="1:37" x14ac:dyDescent="0.25">
      <c r="A89" t="s">
        <v>15</v>
      </c>
      <c r="B89">
        <f>MAX(B71:B86)</f>
        <v>0</v>
      </c>
      <c r="C89">
        <f t="shared" ref="C89:E89" si="173">MAX(C71:C86)</f>
        <v>34.328358208955159</v>
      </c>
      <c r="D89">
        <f t="shared" si="173"/>
        <v>43.002544529262032</v>
      </c>
      <c r="E89">
        <f t="shared" si="173"/>
        <v>61.983471074380184</v>
      </c>
      <c r="G89" t="s">
        <v>15</v>
      </c>
      <c r="H89">
        <f>MAX(H71:H86)</f>
        <v>0</v>
      </c>
      <c r="I89">
        <f t="shared" ref="I89:K89" si="174">MAX(I71:I86)</f>
        <v>60.300751879699256</v>
      </c>
      <c r="J89">
        <f t="shared" si="174"/>
        <v>28.571428571428513</v>
      </c>
      <c r="K89">
        <f t="shared" si="174"/>
        <v>27.272727272727209</v>
      </c>
      <c r="M89" t="s">
        <v>15</v>
      </c>
      <c r="N89">
        <f>MAX(N71:N86)</f>
        <v>0</v>
      </c>
      <c r="O89">
        <f t="shared" ref="O89:Q89" si="175">MAX(O71:O86)</f>
        <v>26.530612244897998</v>
      </c>
      <c r="P89">
        <f t="shared" si="175"/>
        <v>35.104895104895164</v>
      </c>
      <c r="Q89">
        <f t="shared" si="175"/>
        <v>53.012048192771147</v>
      </c>
      <c r="S89" s="4"/>
      <c r="U89" t="s">
        <v>15</v>
      </c>
      <c r="V89">
        <f>MAX(V71:V86)</f>
        <v>0</v>
      </c>
      <c r="W89">
        <f t="shared" ref="W89:Y89" si="176">MAX(W71:W86)</f>
        <v>34.328358208955159</v>
      </c>
      <c r="X89">
        <f t="shared" si="176"/>
        <v>43.002544529262032</v>
      </c>
      <c r="Y89">
        <f t="shared" si="176"/>
        <v>61.983471074380184</v>
      </c>
      <c r="AA89" t="s">
        <v>15</v>
      </c>
      <c r="AB89">
        <f>MAX(AB71:AB86)</f>
        <v>0</v>
      </c>
      <c r="AC89">
        <f t="shared" ref="AC89:AE89" si="177">MAX(AC71:AC86)</f>
        <v>55.319148936170201</v>
      </c>
      <c r="AD89">
        <f t="shared" si="177"/>
        <v>28.571428571428513</v>
      </c>
      <c r="AE89">
        <f t="shared" si="177"/>
        <v>27.272727272727209</v>
      </c>
      <c r="AG89" t="s">
        <v>15</v>
      </c>
      <c r="AH89">
        <f>MAX(AH71:AH86)</f>
        <v>0</v>
      </c>
      <c r="AI89">
        <f t="shared" ref="AI89:AK89" si="178">MAX(AI71:AI86)</f>
        <v>26.530612244897998</v>
      </c>
      <c r="AJ89">
        <f t="shared" si="178"/>
        <v>35.104895104895164</v>
      </c>
      <c r="AK89">
        <f t="shared" si="178"/>
        <v>53.012048192771147</v>
      </c>
    </row>
    <row r="90" spans="1:37" x14ac:dyDescent="0.25">
      <c r="A90" t="s">
        <v>16</v>
      </c>
      <c r="B90">
        <f>MIN(B71:B86)</f>
        <v>0</v>
      </c>
      <c r="C90">
        <f t="shared" ref="C90:E90" si="179">MIN(C71:C86)</f>
        <v>-63.184079601989772</v>
      </c>
      <c r="D90">
        <f t="shared" si="179"/>
        <v>-64.885496183206641</v>
      </c>
      <c r="E90">
        <f t="shared" si="179"/>
        <v>17.355371900826494</v>
      </c>
      <c r="G90" t="s">
        <v>16</v>
      </c>
      <c r="H90">
        <f>MIN(H71:H86)</f>
        <v>0</v>
      </c>
      <c r="I90">
        <f t="shared" ref="I90:K90" si="180">MIN(I71:I86)</f>
        <v>-23.909774436089894</v>
      </c>
      <c r="J90">
        <f t="shared" si="180"/>
        <v>-31.168831168830962</v>
      </c>
      <c r="K90">
        <f t="shared" si="180"/>
        <v>-37.662337662338068</v>
      </c>
      <c r="M90" t="s">
        <v>16</v>
      </c>
      <c r="N90">
        <f>MIN(N71:N86)</f>
        <v>0</v>
      </c>
      <c r="O90">
        <f t="shared" ref="O90:Q90" si="181">MIN(O71:O86)</f>
        <v>-19.387755102040842</v>
      </c>
      <c r="P90">
        <f t="shared" si="181"/>
        <v>-37.622377622377741</v>
      </c>
      <c r="Q90">
        <f t="shared" si="181"/>
        <v>-25.301204819277334</v>
      </c>
      <c r="S90" s="4"/>
      <c r="U90" t="s">
        <v>16</v>
      </c>
      <c r="V90">
        <f>MIN(V71:V86)</f>
        <v>0</v>
      </c>
      <c r="W90">
        <f t="shared" ref="W90:Y90" si="182">MIN(W71:W86)</f>
        <v>-63.184079601989772</v>
      </c>
      <c r="X90">
        <f t="shared" si="182"/>
        <v>-64.885496183206641</v>
      </c>
      <c r="Y90">
        <f t="shared" si="182"/>
        <v>17.355371900826494</v>
      </c>
      <c r="AA90" t="s">
        <v>16</v>
      </c>
      <c r="AB90">
        <f>MIN(AB71:AB86)</f>
        <v>0</v>
      </c>
      <c r="AC90">
        <f t="shared" ref="AC90:AE90" si="183">MIN(AC71:AC86)</f>
        <v>-39.458413926498693</v>
      </c>
      <c r="AD90">
        <f t="shared" si="183"/>
        <v>-31.168831168830962</v>
      </c>
      <c r="AE90">
        <f t="shared" si="183"/>
        <v>-37.662337662338068</v>
      </c>
      <c r="AG90" t="s">
        <v>16</v>
      </c>
      <c r="AH90">
        <f>MIN(AH71:AH86)</f>
        <v>0</v>
      </c>
      <c r="AI90">
        <f t="shared" ref="AI90:AK90" si="184">MIN(AI71:AI86)</f>
        <v>-19.387755102040842</v>
      </c>
      <c r="AJ90">
        <f t="shared" si="184"/>
        <v>-37.622377622377741</v>
      </c>
      <c r="AK90">
        <f t="shared" si="184"/>
        <v>-25.301204819277334</v>
      </c>
    </row>
    <row r="91" spans="1:37" x14ac:dyDescent="0.25">
      <c r="A91" t="s">
        <v>17</v>
      </c>
      <c r="B91" t="e">
        <f>AVERAGE(B71:B86)</f>
        <v>#DIV/0!</v>
      </c>
      <c r="C91">
        <f t="shared" ref="C91:E91" si="185">AVERAGE(C71:C86)</f>
        <v>2.2388059701492815</v>
      </c>
      <c r="D91">
        <f t="shared" si="185"/>
        <v>-23.155216284987414</v>
      </c>
      <c r="E91">
        <f t="shared" si="185"/>
        <v>39.834710743801693</v>
      </c>
      <c r="G91" t="s">
        <v>17</v>
      </c>
      <c r="H91" t="e">
        <f>AVERAGE(H71:H86)</f>
        <v>#DIV/0!</v>
      </c>
      <c r="I91">
        <f t="shared" ref="I91:K91" si="186">AVERAGE(I71:I86)</f>
        <v>7.3684210526317182</v>
      </c>
      <c r="J91">
        <f t="shared" si="186"/>
        <v>-3.3750779948604759E-14</v>
      </c>
      <c r="K91">
        <f t="shared" si="186"/>
        <v>5.1948051948050864</v>
      </c>
      <c r="M91" t="s">
        <v>17</v>
      </c>
      <c r="N91" t="e">
        <f>AVERAGE(N71:N86)</f>
        <v>#DIV/0!</v>
      </c>
      <c r="O91">
        <f t="shared" ref="O91:Q91" si="187">AVERAGE(O71:O86)</f>
        <v>8.8010204081632626</v>
      </c>
      <c r="P91">
        <f t="shared" si="187"/>
        <v>7.1328671328671316</v>
      </c>
      <c r="Q91">
        <f t="shared" si="187"/>
        <v>2.4096385542170009</v>
      </c>
      <c r="S91" s="4"/>
      <c r="U91" t="s">
        <v>17</v>
      </c>
      <c r="V91" t="e">
        <f>AVERAGE(V71:V86)</f>
        <v>#DIV/0!</v>
      </c>
      <c r="W91">
        <f t="shared" ref="W91:Y91" si="188">AVERAGE(W71:W86)</f>
        <v>2.2388059701492815</v>
      </c>
      <c r="X91">
        <f t="shared" si="188"/>
        <v>-23.155216284987414</v>
      </c>
      <c r="Y91">
        <f t="shared" si="188"/>
        <v>39.834710743801693</v>
      </c>
      <c r="AA91" t="s">
        <v>17</v>
      </c>
      <c r="AB91" t="e">
        <f>AVERAGE(AB71:AB86)</f>
        <v>#DIV/0!</v>
      </c>
      <c r="AC91">
        <f t="shared" ref="AC91:AE91" si="189">AVERAGE(AC71:AC86)</f>
        <v>-4.2553191489360387</v>
      </c>
      <c r="AD91">
        <f t="shared" si="189"/>
        <v>-3.3750779948604759E-14</v>
      </c>
      <c r="AE91">
        <f t="shared" si="189"/>
        <v>5.1948051948050864</v>
      </c>
      <c r="AG91" t="s">
        <v>17</v>
      </c>
      <c r="AH91" t="e">
        <f>AVERAGE(AH71:AH86)</f>
        <v>#DIV/0!</v>
      </c>
      <c r="AI91">
        <f t="shared" ref="AI91:AK91" si="190">AVERAGE(AI71:AI86)</f>
        <v>8.8010204081632626</v>
      </c>
      <c r="AJ91">
        <f t="shared" si="190"/>
        <v>7.1328671328671316</v>
      </c>
      <c r="AK91">
        <f t="shared" si="190"/>
        <v>2.4096385542170009</v>
      </c>
    </row>
    <row r="92" spans="1:37" x14ac:dyDescent="0.25">
      <c r="A92" t="s">
        <v>18</v>
      </c>
      <c r="B92" t="e">
        <f>STDEV(B71:B86)</f>
        <v>#DIV/0!</v>
      </c>
      <c r="C92">
        <f t="shared" ref="C92:E92" si="191">STDEV(C71:C86)</f>
        <v>33.62851827496344</v>
      </c>
      <c r="D92">
        <f t="shared" si="191"/>
        <v>42.402577996797582</v>
      </c>
      <c r="E92">
        <f t="shared" si="191"/>
        <v>17.593797144773742</v>
      </c>
      <c r="G92" t="s">
        <v>18</v>
      </c>
      <c r="H92" t="e">
        <f>STDEV(H71:H86)</f>
        <v>#DIV/0!</v>
      </c>
      <c r="I92">
        <f t="shared" ref="I92:K92" si="192">STDEV(I71:I86)</f>
        <v>26.489590258432234</v>
      </c>
      <c r="J92">
        <f t="shared" si="192"/>
        <v>24.57258172522657</v>
      </c>
      <c r="K92">
        <f t="shared" si="192"/>
        <v>22.865995924232603</v>
      </c>
      <c r="M92" t="s">
        <v>18</v>
      </c>
      <c r="N92" t="e">
        <f>STDEV(N71:N86)</f>
        <v>#DIV/0!</v>
      </c>
      <c r="O92">
        <f t="shared" ref="O92:Q92" si="193">STDEV(O71:O86)</f>
        <v>16.225429497696528</v>
      </c>
      <c r="P92">
        <f t="shared" si="193"/>
        <v>25.528430167279083</v>
      </c>
      <c r="Q92">
        <f t="shared" si="193"/>
        <v>28.233490754906104</v>
      </c>
      <c r="S92" s="4"/>
      <c r="U92" t="s">
        <v>18</v>
      </c>
      <c r="V92" t="e">
        <f>STDEV(V71:V86)</f>
        <v>#DIV/0!</v>
      </c>
      <c r="W92">
        <f t="shared" ref="W92:Y92" si="194">STDEV(W71:W86)</f>
        <v>33.62851827496344</v>
      </c>
      <c r="X92">
        <f t="shared" si="194"/>
        <v>42.402577996797582</v>
      </c>
      <c r="Y92">
        <f t="shared" si="194"/>
        <v>17.593797144773742</v>
      </c>
      <c r="AA92" t="s">
        <v>18</v>
      </c>
      <c r="AB92" t="e">
        <f>STDEV(AB71:AB86)</f>
        <v>#DIV/0!</v>
      </c>
      <c r="AC92">
        <f t="shared" ref="AC92:AE92" si="195">STDEV(AC71:AC86)</f>
        <v>29.813598320358334</v>
      </c>
      <c r="AD92">
        <f t="shared" si="195"/>
        <v>24.57258172522657</v>
      </c>
      <c r="AE92">
        <f t="shared" si="195"/>
        <v>22.865995924232603</v>
      </c>
      <c r="AG92" t="s">
        <v>18</v>
      </c>
      <c r="AH92" t="e">
        <f>STDEV(AH71:AH86)</f>
        <v>#DIV/0!</v>
      </c>
      <c r="AI92">
        <f t="shared" ref="AI92:AK92" si="196">STDEV(AI71:AI86)</f>
        <v>16.225429497696528</v>
      </c>
      <c r="AJ92">
        <f t="shared" si="196"/>
        <v>25.528430167279083</v>
      </c>
      <c r="AK92">
        <f t="shared" si="196"/>
        <v>28.233490754906104</v>
      </c>
    </row>
    <row r="93" spans="1:37" x14ac:dyDescent="0.25">
      <c r="A93" t="s">
        <v>19</v>
      </c>
      <c r="B93" t="e">
        <f>B91+2*B92</f>
        <v>#DIV/0!</v>
      </c>
      <c r="C93">
        <f t="shared" ref="C93:E93" si="197">C91+2*C92</f>
        <v>69.495842520076167</v>
      </c>
      <c r="D93">
        <f t="shared" si="197"/>
        <v>61.649939708607747</v>
      </c>
      <c r="E93">
        <f t="shared" si="197"/>
        <v>75.02230503334917</v>
      </c>
      <c r="G93" t="s">
        <v>19</v>
      </c>
      <c r="H93" t="e">
        <f>H91+2*H92</f>
        <v>#DIV/0!</v>
      </c>
      <c r="I93">
        <f t="shared" ref="I93:K93" si="198">I91+2*I92</f>
        <v>60.347601569496184</v>
      </c>
      <c r="J93">
        <f t="shared" si="198"/>
        <v>49.145163450453104</v>
      </c>
      <c r="K93">
        <f t="shared" si="198"/>
        <v>50.926797043270291</v>
      </c>
      <c r="M93" t="s">
        <v>19</v>
      </c>
      <c r="N93" t="e">
        <f>N91+2*N92</f>
        <v>#DIV/0!</v>
      </c>
      <c r="O93">
        <f t="shared" ref="O93:Q93" si="199">O91+2*O92</f>
        <v>41.251879403556316</v>
      </c>
      <c r="P93">
        <f t="shared" si="199"/>
        <v>58.1897274674253</v>
      </c>
      <c r="Q93">
        <f t="shared" si="199"/>
        <v>58.876620064029211</v>
      </c>
      <c r="S93" s="4"/>
      <c r="U93" t="s">
        <v>19</v>
      </c>
      <c r="V93" t="e">
        <f>V91+2*V92</f>
        <v>#DIV/0!</v>
      </c>
      <c r="W93">
        <f t="shared" ref="W93:Y93" si="200">W91+2*W92</f>
        <v>69.495842520076167</v>
      </c>
      <c r="X93">
        <f t="shared" si="200"/>
        <v>61.649939708607747</v>
      </c>
      <c r="Y93">
        <f t="shared" si="200"/>
        <v>75.02230503334917</v>
      </c>
      <c r="AA93" t="s">
        <v>19</v>
      </c>
      <c r="AB93" t="e">
        <f>AB91+2*AB92</f>
        <v>#DIV/0!</v>
      </c>
      <c r="AC93">
        <f t="shared" ref="AC93:AE93" si="201">AC91+2*AC92</f>
        <v>55.37187749178063</v>
      </c>
      <c r="AD93">
        <f t="shared" si="201"/>
        <v>49.145163450453104</v>
      </c>
      <c r="AE93">
        <f t="shared" si="201"/>
        <v>50.926797043270291</v>
      </c>
      <c r="AG93" t="s">
        <v>19</v>
      </c>
      <c r="AH93" t="e">
        <f>AH91+2*AH92</f>
        <v>#DIV/0!</v>
      </c>
      <c r="AI93">
        <f t="shared" ref="AI93:AK93" si="202">AI91+2*AI92</f>
        <v>41.251879403556316</v>
      </c>
      <c r="AJ93">
        <f t="shared" si="202"/>
        <v>58.1897274674253</v>
      </c>
      <c r="AK93">
        <f t="shared" si="202"/>
        <v>58.876620064029211</v>
      </c>
    </row>
    <row r="94" spans="1:37" x14ac:dyDescent="0.25">
      <c r="A94" t="s">
        <v>20</v>
      </c>
      <c r="B94" t="e">
        <f>B91-2*B92</f>
        <v>#DIV/0!</v>
      </c>
      <c r="C94">
        <f t="shared" ref="C94:E94" si="203">C91-2*C92</f>
        <v>-65.018230579777594</v>
      </c>
      <c r="D94">
        <f t="shared" si="203"/>
        <v>-107.96037227858258</v>
      </c>
      <c r="E94">
        <f t="shared" si="203"/>
        <v>4.6471164542542098</v>
      </c>
      <c r="G94" t="s">
        <v>20</v>
      </c>
      <c r="H94" t="e">
        <f>H91-2*H92</f>
        <v>#DIV/0!</v>
      </c>
      <c r="I94">
        <f t="shared" ref="I94:K94" si="204">I91-2*I92</f>
        <v>-45.61075946423275</v>
      </c>
      <c r="J94">
        <f t="shared" si="204"/>
        <v>-49.145163450453175</v>
      </c>
      <c r="K94">
        <f t="shared" si="204"/>
        <v>-40.537186653660122</v>
      </c>
      <c r="M94" t="s">
        <v>20</v>
      </c>
      <c r="N94" t="e">
        <f>N91-2*N92</f>
        <v>#DIV/0!</v>
      </c>
      <c r="O94">
        <f t="shared" ref="O94:Q94" si="205">O91-2*O92</f>
        <v>-23.649838587229794</v>
      </c>
      <c r="P94">
        <f t="shared" si="205"/>
        <v>-43.923993201691033</v>
      </c>
      <c r="Q94">
        <f t="shared" si="205"/>
        <v>-54.057342955595203</v>
      </c>
      <c r="S94" s="4"/>
      <c r="U94" t="s">
        <v>20</v>
      </c>
      <c r="V94" t="e">
        <f>V91-2*V92</f>
        <v>#DIV/0!</v>
      </c>
      <c r="W94">
        <f t="shared" ref="W94:Y94" si="206">W91-2*W92</f>
        <v>-65.018230579777594</v>
      </c>
      <c r="X94">
        <f t="shared" si="206"/>
        <v>-107.96037227858258</v>
      </c>
      <c r="Y94">
        <f t="shared" si="206"/>
        <v>4.6471164542542098</v>
      </c>
      <c r="AA94" t="s">
        <v>20</v>
      </c>
      <c r="AB94" t="e">
        <f>AB91-2*AB92</f>
        <v>#DIV/0!</v>
      </c>
      <c r="AC94">
        <f t="shared" ref="AC94:AE94" si="207">AC91-2*AC92</f>
        <v>-63.882515789652707</v>
      </c>
      <c r="AD94">
        <f t="shared" si="207"/>
        <v>-49.145163450453175</v>
      </c>
      <c r="AE94">
        <f t="shared" si="207"/>
        <v>-40.537186653660122</v>
      </c>
      <c r="AG94" t="s">
        <v>20</v>
      </c>
      <c r="AH94" t="e">
        <f>AH91-2*AH92</f>
        <v>#DIV/0!</v>
      </c>
      <c r="AI94">
        <f t="shared" ref="AI94:AK94" si="208">AI91-2*AI92</f>
        <v>-23.649838587229794</v>
      </c>
      <c r="AJ94">
        <f t="shared" si="208"/>
        <v>-43.923993201691033</v>
      </c>
      <c r="AK94">
        <f t="shared" si="208"/>
        <v>-54.057342955595203</v>
      </c>
    </row>
    <row r="95" spans="1:37" x14ac:dyDescent="0.25">
      <c r="A95" t="s">
        <v>21</v>
      </c>
      <c r="B95" t="e">
        <f>VAR(B71:B86)</f>
        <v>#DIV/0!</v>
      </c>
      <c r="C95">
        <f t="shared" ref="C95:E95" si="209">VAR(C71:C86)</f>
        <v>1130.8772413695501</v>
      </c>
      <c r="D95">
        <f t="shared" si="209"/>
        <v>1797.9786207745026</v>
      </c>
      <c r="E95">
        <f t="shared" si="209"/>
        <v>309.54169797144868</v>
      </c>
      <c r="G95" t="s">
        <v>21</v>
      </c>
      <c r="H95" t="e">
        <f>VAR(H71:H86)</f>
        <v>#DIV/0!</v>
      </c>
      <c r="I95">
        <f t="shared" ref="I95:K95" si="210">VAR(I71:I86)</f>
        <v>701.69839205962796</v>
      </c>
      <c r="J95">
        <f t="shared" si="210"/>
        <v>603.81177264293888</v>
      </c>
      <c r="K95">
        <f t="shared" si="210"/>
        <v>522.85376960702195</v>
      </c>
      <c r="M95" t="s">
        <v>21</v>
      </c>
      <c r="N95" t="e">
        <f>VAR(N71:N86)</f>
        <v>#DIV/0!</v>
      </c>
      <c r="O95">
        <f t="shared" ref="O95:Q95" si="211">VAR(O71:O86)</f>
        <v>263.26456238472065</v>
      </c>
      <c r="P95">
        <f t="shared" si="211"/>
        <v>651.70074680564483</v>
      </c>
      <c r="Q95">
        <f t="shared" si="211"/>
        <v>797.13000020736843</v>
      </c>
      <c r="S95" s="4"/>
      <c r="U95" t="s">
        <v>21</v>
      </c>
      <c r="V95" t="e">
        <f>VAR(V71:V86)</f>
        <v>#DIV/0!</v>
      </c>
      <c r="W95">
        <f t="shared" ref="W95:Y95" si="212">VAR(W71:W86)</f>
        <v>1130.8772413695501</v>
      </c>
      <c r="X95">
        <f t="shared" si="212"/>
        <v>1797.9786207745026</v>
      </c>
      <c r="Y95">
        <f t="shared" si="212"/>
        <v>309.54169797144868</v>
      </c>
      <c r="AA95" t="s">
        <v>21</v>
      </c>
      <c r="AB95" t="e">
        <f>VAR(AB71:AB86)</f>
        <v>#DIV/0!</v>
      </c>
      <c r="AC95">
        <f t="shared" ref="AC95:AE95" si="213">VAR(AC71:AC86)</f>
        <v>888.85064480767335</v>
      </c>
      <c r="AD95">
        <f t="shared" si="213"/>
        <v>603.81177264293888</v>
      </c>
      <c r="AE95">
        <f t="shared" si="213"/>
        <v>522.85376960702195</v>
      </c>
      <c r="AG95" t="s">
        <v>21</v>
      </c>
      <c r="AH95" t="e">
        <f>VAR(AH71:AH86)</f>
        <v>#DIV/0!</v>
      </c>
      <c r="AI95">
        <f t="shared" ref="AI95:AK95" si="214">VAR(AI71:AI86)</f>
        <v>263.26456238472065</v>
      </c>
      <c r="AJ95">
        <f t="shared" si="214"/>
        <v>651.70074680564483</v>
      </c>
      <c r="AK95">
        <f t="shared" si="214"/>
        <v>797.13000020736843</v>
      </c>
    </row>
    <row r="96" spans="1:37" x14ac:dyDescent="0.25">
      <c r="S96" s="4"/>
    </row>
    <row r="97" spans="1:37" x14ac:dyDescent="0.25">
      <c r="A97" t="s">
        <v>22</v>
      </c>
      <c r="S97" s="4"/>
      <c r="U97" t="s">
        <v>22</v>
      </c>
    </row>
    <row r="98" spans="1:37" x14ac:dyDescent="0.25">
      <c r="A98" t="s">
        <v>1</v>
      </c>
      <c r="B98" t="e">
        <f>TTEST(B79:B86,H79:H86,2,3)</f>
        <v>#DIV/0!</v>
      </c>
      <c r="S98" s="4"/>
      <c r="U98" t="s">
        <v>1</v>
      </c>
      <c r="V98" t="e">
        <f>TTEST(V79:V86,AB79:AB86,2,3)</f>
        <v>#DIV/0!</v>
      </c>
    </row>
    <row r="99" spans="1:37" x14ac:dyDescent="0.25">
      <c r="A99" t="s">
        <v>2</v>
      </c>
      <c r="B99" t="e">
        <f>TTEST(C79:C86,I79:I86,2,3)</f>
        <v>#DIV/0!</v>
      </c>
      <c r="S99" s="4"/>
      <c r="U99" t="s">
        <v>2</v>
      </c>
      <c r="V99" t="e">
        <f>TTEST(W79:W86,AC79:AC86,2,3)</f>
        <v>#DIV/0!</v>
      </c>
    </row>
    <row r="100" spans="1:37" x14ac:dyDescent="0.25">
      <c r="A100" t="s">
        <v>3</v>
      </c>
      <c r="B100" t="e">
        <f>TTEST(D79:D86,J79:J86,2,3)</f>
        <v>#DIV/0!</v>
      </c>
      <c r="S100" s="4"/>
      <c r="U100" t="s">
        <v>3</v>
      </c>
      <c r="V100" t="e">
        <f>TTEST(X79:X86,AD79:AD86,2,3)</f>
        <v>#DIV/0!</v>
      </c>
    </row>
    <row r="101" spans="1:37" x14ac:dyDescent="0.25">
      <c r="A101" t="s">
        <v>4</v>
      </c>
      <c r="B101" t="e">
        <f>TTEST(E79:E86,K79:K86,2,3)</f>
        <v>#DIV/0!</v>
      </c>
      <c r="S101" s="4"/>
      <c r="U101" t="s">
        <v>4</v>
      </c>
      <c r="V101" t="e">
        <f>TTEST(Y79:Y86,AE79:AE86,2,3)</f>
        <v>#DIV/0!</v>
      </c>
    </row>
    <row r="102" spans="1:37" x14ac:dyDescent="0.25">
      <c r="S102" s="4"/>
    </row>
    <row r="103" spans="1:37" x14ac:dyDescent="0.25">
      <c r="A103" t="s">
        <v>27</v>
      </c>
      <c r="S103" s="4"/>
      <c r="U103" t="s">
        <v>27</v>
      </c>
    </row>
    <row r="104" spans="1:37" x14ac:dyDescent="0.25">
      <c r="A104" s="1" t="s">
        <v>29</v>
      </c>
      <c r="B104" s="1" t="s">
        <v>1</v>
      </c>
      <c r="C104" s="1" t="s">
        <v>2</v>
      </c>
      <c r="D104" s="1" t="s">
        <v>3</v>
      </c>
      <c r="E104" s="1" t="s">
        <v>4</v>
      </c>
      <c r="G104" s="1" t="s">
        <v>30</v>
      </c>
      <c r="H104" s="1" t="s">
        <v>1</v>
      </c>
      <c r="I104" s="1" t="s">
        <v>2</v>
      </c>
      <c r="J104" s="1" t="s">
        <v>3</v>
      </c>
      <c r="K104" s="1" t="s">
        <v>4</v>
      </c>
      <c r="M104" s="1" t="s">
        <v>31</v>
      </c>
      <c r="N104" s="1" t="s">
        <v>1</v>
      </c>
      <c r="O104" s="1" t="s">
        <v>2</v>
      </c>
      <c r="P104" s="1" t="s">
        <v>3</v>
      </c>
      <c r="Q104" s="1" t="s">
        <v>4</v>
      </c>
      <c r="R104" s="1"/>
      <c r="S104" s="4"/>
      <c r="U104" s="1" t="s">
        <v>29</v>
      </c>
      <c r="V104" s="1" t="s">
        <v>1</v>
      </c>
      <c r="W104" s="1" t="s">
        <v>2</v>
      </c>
      <c r="X104" s="1" t="s">
        <v>3</v>
      </c>
      <c r="Y104" s="1" t="s">
        <v>4</v>
      </c>
      <c r="AA104" s="1" t="s">
        <v>30</v>
      </c>
      <c r="AB104" s="1" t="s">
        <v>1</v>
      </c>
      <c r="AC104" s="1" t="s">
        <v>2</v>
      </c>
      <c r="AD104" s="1" t="s">
        <v>3</v>
      </c>
      <c r="AE104" s="1" t="s">
        <v>4</v>
      </c>
      <c r="AG104" s="1" t="s">
        <v>31</v>
      </c>
      <c r="AH104" s="1" t="s">
        <v>1</v>
      </c>
      <c r="AI104" s="1" t="s">
        <v>2</v>
      </c>
      <c r="AJ104" s="1" t="s">
        <v>3</v>
      </c>
      <c r="AK104" s="1" t="s">
        <v>4</v>
      </c>
    </row>
    <row r="105" spans="1:37" x14ac:dyDescent="0.25">
      <c r="A105" t="s">
        <v>5</v>
      </c>
      <c r="B105" s="3"/>
      <c r="C105" s="3">
        <f>(B$23-C3)/7</f>
        <v>3.0630113777681722</v>
      </c>
      <c r="D105" s="3">
        <f t="shared" ref="D105:E112" si="215">(C$23-D3)/7</f>
        <v>0.73245924250977923</v>
      </c>
      <c r="E105" s="3">
        <f t="shared" si="215"/>
        <v>2.9298369700391382</v>
      </c>
      <c r="G105" t="s">
        <v>5</v>
      </c>
      <c r="H105" s="3"/>
      <c r="I105" s="3">
        <f>(H$29-I3)/7</f>
        <v>-3.5291218048198112</v>
      </c>
      <c r="J105" s="3">
        <f t="shared" ref="J105" si="216">(I$29-J3)/7</f>
        <v>-3.7288834164134648</v>
      </c>
      <c r="K105" s="3">
        <f t="shared" ref="K105" si="217">(J$29-K3)/7</f>
        <v>2.3083564006368817</v>
      </c>
      <c r="M105" t="s">
        <v>5</v>
      </c>
      <c r="N105" s="3"/>
      <c r="O105" s="3">
        <f>(N$29-O3)/7</f>
        <v>-3.3737516624693029</v>
      </c>
      <c r="P105" s="3">
        <f>(O$29-P3)/7</f>
        <v>-2.5969009507165333</v>
      </c>
      <c r="Q105" s="3">
        <f>(P$29-Q3)/7</f>
        <v>7.8128985867710172</v>
      </c>
      <c r="R105" s="3"/>
      <c r="S105" s="4"/>
      <c r="U105" t="s">
        <v>5</v>
      </c>
      <c r="V105" s="3"/>
      <c r="W105" s="3">
        <f>(V$23-W3)/7</f>
        <v>3.0630113777681722</v>
      </c>
      <c r="X105" s="3">
        <f t="shared" ref="X105:X108" si="218">(W$23-X3)/7</f>
        <v>0.73245924250977923</v>
      </c>
      <c r="Y105" s="3">
        <f t="shared" ref="Y105" si="219">(X$23-Y3)/7</f>
        <v>2.9298369700391382</v>
      </c>
      <c r="AA105" t="s">
        <v>5</v>
      </c>
      <c r="AB105" s="3"/>
      <c r="AC105" s="3">
        <f>(AB$29-AC3)/7</f>
        <v>-5.1747769860430912</v>
      </c>
      <c r="AD105" s="3">
        <f t="shared" ref="AD105:AD112" si="220">(AC$29-AD3)/7</f>
        <v>-3.7288834164134648</v>
      </c>
      <c r="AE105" s="3">
        <f t="shared" ref="AE105:AE112" si="221">(AD$29-AE3)/7</f>
        <v>2.3083564006368817</v>
      </c>
      <c r="AG105" t="s">
        <v>5</v>
      </c>
      <c r="AH105" s="3"/>
      <c r="AI105" s="3">
        <f>(AH$29-AI3)/7</f>
        <v>-3.3737516624693029</v>
      </c>
      <c r="AJ105" s="3">
        <f t="shared" ref="AJ105:AJ112" si="222">(AI$29-AJ3)/7</f>
        <v>-2.5969009507165333</v>
      </c>
      <c r="AK105" s="3">
        <f t="shared" ref="AK105:AK112" si="223">(AJ$29-AK3)/7</f>
        <v>7.8128985867710172</v>
      </c>
    </row>
    <row r="106" spans="1:37" x14ac:dyDescent="0.25">
      <c r="A106" t="s">
        <v>7</v>
      </c>
      <c r="B106" s="3"/>
      <c r="C106" s="3">
        <f t="shared" ref="C106:C112" si="224">(B$23-C4)/7</f>
        <v>2.3527478698799009</v>
      </c>
      <c r="D106" s="3">
        <f t="shared" si="215"/>
        <v>-1.9310289120712494</v>
      </c>
      <c r="E106" s="3"/>
      <c r="G106" t="s">
        <v>7</v>
      </c>
      <c r="H106" s="3"/>
      <c r="I106" s="3">
        <f t="shared" ref="I106:I112" si="225">(H$29-I4)/7</f>
        <v>0.91002511948185827</v>
      </c>
      <c r="J106" s="3">
        <f t="shared" ref="J106:J112" si="226">(I$29-J4)/7</f>
        <v>-2.8410540315530364</v>
      </c>
      <c r="K106" s="3">
        <f t="shared" ref="K106:K112" si="227">(J$29-K4)/7</f>
        <v>-5.1494104321900336</v>
      </c>
      <c r="M106" t="s">
        <v>7</v>
      </c>
      <c r="N106" s="3"/>
      <c r="O106" s="3">
        <f t="shared" ref="O106:O112" si="228">(N$29-O4)/7</f>
        <v>1.5980928927485556</v>
      </c>
      <c r="P106" s="3">
        <f t="shared" ref="P106:Q112" si="229">(O$29-P4)/7</f>
        <v>-5.970652613185818</v>
      </c>
      <c r="Q106" s="3">
        <f t="shared" si="229"/>
        <v>-2.3083564006368982</v>
      </c>
      <c r="R106" s="3"/>
      <c r="S106" s="4"/>
      <c r="U106" t="s">
        <v>7</v>
      </c>
      <c r="V106" s="3"/>
      <c r="W106" s="3">
        <f t="shared" ref="W106:W112" si="230">(V$23-W4)/7</f>
        <v>2.3527478698799009</v>
      </c>
      <c r="X106" s="3">
        <f t="shared" si="218"/>
        <v>-1.9310289120712494</v>
      </c>
      <c r="Y106" s="3"/>
      <c r="AA106" t="s">
        <v>7</v>
      </c>
      <c r="AB106" s="3"/>
      <c r="AC106" s="3">
        <f t="shared" ref="AC106:AC112" si="231">(AB$29-AC4)/7</f>
        <v>-0.73563006174142187</v>
      </c>
      <c r="AD106" s="3">
        <f t="shared" si="220"/>
        <v>-2.8410540315530364</v>
      </c>
      <c r="AE106" s="3">
        <f t="shared" si="221"/>
        <v>-5.1494104321900336</v>
      </c>
      <c r="AG106" t="s">
        <v>7</v>
      </c>
      <c r="AH106" s="3"/>
      <c r="AI106" s="3">
        <f t="shared" ref="AI106:AI112" si="232">(AH$29-AI4)/7</f>
        <v>1.5980928927485556</v>
      </c>
      <c r="AJ106" s="3">
        <f t="shared" si="222"/>
        <v>-5.970652613185818</v>
      </c>
      <c r="AK106" s="3">
        <f t="shared" si="223"/>
        <v>-2.3083564006368982</v>
      </c>
    </row>
    <row r="107" spans="1:37" x14ac:dyDescent="0.25">
      <c r="A107" t="s">
        <v>8</v>
      </c>
      <c r="B107" s="3"/>
      <c r="C107" s="3">
        <f t="shared" si="224"/>
        <v>-1.7312673004776704</v>
      </c>
      <c r="D107" s="3">
        <f t="shared" si="215"/>
        <v>-3.5291218048198636</v>
      </c>
      <c r="E107" s="3">
        <f t="shared" si="215"/>
        <v>1.8644417082067233</v>
      </c>
      <c r="G107" t="s">
        <v>8</v>
      </c>
      <c r="H107" s="3"/>
      <c r="I107" s="3">
        <f t="shared" si="225"/>
        <v>0.73245924250980055</v>
      </c>
      <c r="J107" s="3">
        <f t="shared" si="226"/>
        <v>-1.0653952618324658</v>
      </c>
      <c r="K107" s="3">
        <f t="shared" si="227"/>
        <v>-1.9532246466927461</v>
      </c>
      <c r="M107" t="s">
        <v>8</v>
      </c>
      <c r="N107" s="3"/>
      <c r="O107" s="3">
        <f t="shared" si="228"/>
        <v>0.35513175394412549</v>
      </c>
      <c r="P107" s="3">
        <f t="shared" si="229"/>
        <v>3.6179047433058957</v>
      </c>
      <c r="Q107" s="3">
        <f t="shared" si="229"/>
        <v>-3.7288834164134692</v>
      </c>
      <c r="R107" s="3"/>
      <c r="S107" s="4"/>
      <c r="U107" t="s">
        <v>8</v>
      </c>
      <c r="V107" s="3"/>
      <c r="W107" s="3">
        <f t="shared" si="230"/>
        <v>-1.7312673004776704</v>
      </c>
      <c r="X107" s="3">
        <f t="shared" si="218"/>
        <v>-3.5291218048198636</v>
      </c>
      <c r="Y107" s="3">
        <f t="shared" ref="Y107:Y108" si="233">(X$23-Y5)/7</f>
        <v>1.8644417082067233</v>
      </c>
      <c r="AA107" t="s">
        <v>8</v>
      </c>
      <c r="AB107" s="3"/>
      <c r="AC107" s="3">
        <f t="shared" si="231"/>
        <v>-0.91319593871347948</v>
      </c>
      <c r="AD107" s="3">
        <f t="shared" si="220"/>
        <v>-1.0653952618324658</v>
      </c>
      <c r="AE107" s="3">
        <f t="shared" si="221"/>
        <v>-1.9532246466927461</v>
      </c>
      <c r="AG107" t="s">
        <v>8</v>
      </c>
      <c r="AH107" s="3"/>
      <c r="AI107" s="3">
        <f t="shared" si="232"/>
        <v>0.35513175394412549</v>
      </c>
      <c r="AJ107" s="3">
        <f t="shared" si="222"/>
        <v>3.6179047433058957</v>
      </c>
      <c r="AK107" s="3">
        <f t="shared" si="223"/>
        <v>-3.7288834164134692</v>
      </c>
    </row>
    <row r="108" spans="1:37" x14ac:dyDescent="0.25">
      <c r="A108" t="s">
        <v>9</v>
      </c>
      <c r="B108" s="3"/>
      <c r="C108" s="3">
        <f t="shared" si="224"/>
        <v>-5.6377165938631419</v>
      </c>
      <c r="D108" s="3">
        <f t="shared" si="215"/>
        <v>-5.6599123284847206</v>
      </c>
      <c r="E108" s="3">
        <f t="shared" si="215"/>
        <v>4.8830616167318803</v>
      </c>
      <c r="G108" t="s">
        <v>9</v>
      </c>
      <c r="H108" s="3"/>
      <c r="I108" s="3">
        <f t="shared" si="225"/>
        <v>-3.5291218048198112</v>
      </c>
      <c r="J108" s="3">
        <f t="shared" si="226"/>
        <v>-4.2615810473296074</v>
      </c>
      <c r="K108" s="3">
        <f t="shared" si="227"/>
        <v>2.3083564006368817</v>
      </c>
      <c r="M108" t="s">
        <v>9</v>
      </c>
      <c r="N108" s="3"/>
      <c r="O108" s="3">
        <f t="shared" si="228"/>
        <v>-0.88782938486030061</v>
      </c>
      <c r="P108" s="3">
        <f t="shared" si="229"/>
        <v>3.7954706202779676</v>
      </c>
      <c r="Q108" s="3">
        <f t="shared" si="229"/>
        <v>-1.7756587697206112</v>
      </c>
      <c r="R108" s="3"/>
      <c r="S108" s="4"/>
      <c r="U108" t="s">
        <v>9</v>
      </c>
      <c r="V108" s="3"/>
      <c r="W108" s="3">
        <f t="shared" si="230"/>
        <v>-5.6377165938631419</v>
      </c>
      <c r="X108" s="3">
        <f t="shared" si="218"/>
        <v>-5.6599123284847206</v>
      </c>
      <c r="Y108" s="3">
        <f t="shared" si="233"/>
        <v>4.8830616167318803</v>
      </c>
      <c r="AA108" t="s">
        <v>9</v>
      </c>
      <c r="AB108" s="3"/>
      <c r="AC108" s="3">
        <f t="shared" si="231"/>
        <v>-5.1747769860430912</v>
      </c>
      <c r="AD108" s="3">
        <f t="shared" si="220"/>
        <v>-4.2615810473296074</v>
      </c>
      <c r="AE108" s="3">
        <f t="shared" si="221"/>
        <v>2.3083564006368817</v>
      </c>
      <c r="AG108" t="s">
        <v>9</v>
      </c>
      <c r="AH108" s="3"/>
      <c r="AI108" s="3">
        <f t="shared" si="232"/>
        <v>-0.88782938486030061</v>
      </c>
      <c r="AJ108" s="3">
        <f t="shared" si="222"/>
        <v>3.7954706202779676</v>
      </c>
      <c r="AK108" s="3">
        <f t="shared" si="223"/>
        <v>-1.7756587697206112</v>
      </c>
    </row>
    <row r="109" spans="1:37" x14ac:dyDescent="0.25">
      <c r="A109" t="s">
        <v>10</v>
      </c>
      <c r="B109" s="3"/>
      <c r="C109" s="3">
        <f t="shared" si="224"/>
        <v>-1.908833177449728</v>
      </c>
      <c r="D109" s="3"/>
      <c r="E109" s="3"/>
      <c r="G109" t="s">
        <v>10</v>
      </c>
      <c r="H109" s="3"/>
      <c r="I109" s="3">
        <f t="shared" si="225"/>
        <v>2.8632497661746164</v>
      </c>
      <c r="J109" s="3">
        <f t="shared" si="226"/>
        <v>3.0186199085251491</v>
      </c>
      <c r="K109" s="3">
        <f t="shared" si="227"/>
        <v>3.5513175394413667</v>
      </c>
      <c r="M109" t="s">
        <v>10</v>
      </c>
      <c r="N109" s="3"/>
      <c r="O109" s="3">
        <f t="shared" si="228"/>
        <v>4.084015170357584</v>
      </c>
      <c r="P109" s="3">
        <f t="shared" si="229"/>
        <v>4.8608658821103825</v>
      </c>
      <c r="Q109" s="3">
        <f t="shared" si="229"/>
        <v>-2.4859222776088967</v>
      </c>
      <c r="R109" s="3"/>
      <c r="S109" s="4"/>
      <c r="U109" t="s">
        <v>10</v>
      </c>
      <c r="V109" s="3"/>
      <c r="W109" s="3">
        <f t="shared" si="230"/>
        <v>-1.908833177449728</v>
      </c>
      <c r="X109" s="3"/>
      <c r="Y109" s="3"/>
      <c r="AA109" t="s">
        <v>10</v>
      </c>
      <c r="AB109" s="3"/>
      <c r="AC109" s="3">
        <f t="shared" si="231"/>
        <v>1.2175945849513365</v>
      </c>
      <c r="AD109" s="3">
        <f t="shared" si="220"/>
        <v>3.0186199085251491</v>
      </c>
      <c r="AE109" s="3">
        <f t="shared" si="221"/>
        <v>3.5513175394413667</v>
      </c>
      <c r="AG109" t="s">
        <v>10</v>
      </c>
      <c r="AH109" s="3"/>
      <c r="AI109" s="3">
        <f t="shared" si="232"/>
        <v>4.084015170357584</v>
      </c>
      <c r="AJ109" s="3">
        <f t="shared" si="222"/>
        <v>4.8608658821103825</v>
      </c>
      <c r="AK109" s="3">
        <f t="shared" si="223"/>
        <v>-2.4859222776088967</v>
      </c>
    </row>
    <row r="110" spans="1:37" x14ac:dyDescent="0.25">
      <c r="A110" t="s">
        <v>11</v>
      </c>
      <c r="B110" s="3"/>
      <c r="C110" s="3">
        <f t="shared" si="224"/>
        <v>1.9976161159357722</v>
      </c>
      <c r="D110" s="3">
        <f t="shared" si="215"/>
        <v>-5.4823464515126057</v>
      </c>
      <c r="E110" s="3"/>
      <c r="G110" t="s">
        <v>11</v>
      </c>
      <c r="H110" s="3"/>
      <c r="I110" s="3">
        <f t="shared" si="225"/>
        <v>8.90048958322493</v>
      </c>
      <c r="J110" s="3">
        <f t="shared" si="226"/>
        <v>3.1961857854972209</v>
      </c>
      <c r="K110" s="3">
        <f t="shared" si="227"/>
        <v>3.7288834164134244</v>
      </c>
      <c r="M110" t="s">
        <v>11</v>
      </c>
      <c r="N110" s="3"/>
      <c r="O110" s="3">
        <f t="shared" si="228"/>
        <v>4.6167128012737839</v>
      </c>
      <c r="P110" s="3">
        <f t="shared" si="229"/>
        <v>-0.64367630402367537</v>
      </c>
      <c r="Q110" s="3">
        <f t="shared" si="229"/>
        <v>5.6821080631061891</v>
      </c>
      <c r="R110" s="3"/>
      <c r="S110" s="4"/>
      <c r="U110" t="s">
        <v>11</v>
      </c>
      <c r="V110" s="3"/>
      <c r="W110" s="3">
        <f t="shared" si="230"/>
        <v>1.9976161159357722</v>
      </c>
      <c r="X110" s="3">
        <f t="shared" ref="X110" si="234">(W$23-X8)/7</f>
        <v>-5.4823464515126057</v>
      </c>
      <c r="Y110" s="3"/>
      <c r="AA110" t="s">
        <v>11</v>
      </c>
      <c r="AB110" s="3"/>
      <c r="AC110" s="3">
        <f t="shared" si="231"/>
        <v>7.2548344020016495</v>
      </c>
      <c r="AD110" s="3">
        <f t="shared" si="220"/>
        <v>3.1961857854972209</v>
      </c>
      <c r="AE110" s="3">
        <f t="shared" si="221"/>
        <v>3.7288834164134244</v>
      </c>
      <c r="AG110" t="s">
        <v>11</v>
      </c>
      <c r="AH110" s="3"/>
      <c r="AI110" s="3">
        <f t="shared" si="232"/>
        <v>4.6167128012737839</v>
      </c>
      <c r="AJ110" s="3">
        <f t="shared" si="222"/>
        <v>-0.64367630402367537</v>
      </c>
      <c r="AK110" s="3">
        <f t="shared" si="223"/>
        <v>5.6821080631061891</v>
      </c>
    </row>
    <row r="111" spans="1:37" x14ac:dyDescent="0.25">
      <c r="A111" t="s">
        <v>12</v>
      </c>
      <c r="B111" s="3"/>
      <c r="C111" s="3">
        <f t="shared" si="224"/>
        <v>1.6424843619916294</v>
      </c>
      <c r="D111" s="3"/>
      <c r="E111" s="3">
        <f t="shared" si="215"/>
        <v>5.0606274937039526</v>
      </c>
      <c r="G111" t="s">
        <v>12</v>
      </c>
      <c r="H111" s="3"/>
      <c r="I111" s="3">
        <f t="shared" si="225"/>
        <v>1.0875909964539301</v>
      </c>
      <c r="J111" s="3">
        <f t="shared" si="226"/>
        <v>3.9064492933854922</v>
      </c>
      <c r="K111" s="3">
        <f t="shared" si="227"/>
        <v>1.9532246466927521</v>
      </c>
      <c r="M111" t="s">
        <v>12</v>
      </c>
      <c r="N111" s="3"/>
      <c r="O111" s="3">
        <f t="shared" si="228"/>
        <v>4.4391469243017116</v>
      </c>
      <c r="P111" s="3">
        <f t="shared" si="229"/>
        <v>0.42171895780860985</v>
      </c>
      <c r="Q111" s="3">
        <f t="shared" si="229"/>
        <v>-0.53269763091618316</v>
      </c>
      <c r="R111" s="3"/>
      <c r="S111" s="4"/>
      <c r="U111" t="s">
        <v>12</v>
      </c>
      <c r="V111" s="3"/>
      <c r="W111" s="3">
        <f t="shared" si="230"/>
        <v>1.6424843619916294</v>
      </c>
      <c r="X111" s="3"/>
      <c r="Y111" s="3">
        <f t="shared" ref="Y111:Y112" si="235">(X$23-Y9)/7</f>
        <v>5.0606274937039526</v>
      </c>
      <c r="AA111" t="s">
        <v>12</v>
      </c>
      <c r="AB111" s="3"/>
      <c r="AC111" s="3">
        <f t="shared" si="231"/>
        <v>-0.55806418476934994</v>
      </c>
      <c r="AD111" s="3">
        <f t="shared" si="220"/>
        <v>3.9064492933854922</v>
      </c>
      <c r="AE111" s="3">
        <f t="shared" si="221"/>
        <v>1.9532246466927521</v>
      </c>
      <c r="AG111" t="s">
        <v>12</v>
      </c>
      <c r="AH111" s="3"/>
      <c r="AI111" s="3">
        <f t="shared" si="232"/>
        <v>4.4391469243017116</v>
      </c>
      <c r="AJ111" s="3">
        <f t="shared" si="222"/>
        <v>0.42171895780860985</v>
      </c>
      <c r="AK111" s="3">
        <f t="shared" si="223"/>
        <v>-0.53269763091618316</v>
      </c>
    </row>
    <row r="112" spans="1:37" x14ac:dyDescent="0.25">
      <c r="A112" t="s">
        <v>13</v>
      </c>
      <c r="B112" s="3"/>
      <c r="C112" s="3">
        <f t="shared" si="224"/>
        <v>1.8200502389637012</v>
      </c>
      <c r="D112" s="3">
        <f t="shared" si="215"/>
        <v>3.7510791510349364</v>
      </c>
      <c r="E112" s="3">
        <f t="shared" si="215"/>
        <v>6.6587203864525666</v>
      </c>
      <c r="G112" t="s">
        <v>13</v>
      </c>
      <c r="H112" s="3"/>
      <c r="I112" s="3">
        <f t="shared" si="225"/>
        <v>1.2651568734260021</v>
      </c>
      <c r="J112" s="3">
        <f t="shared" si="226"/>
        <v>1.7756587697206783</v>
      </c>
      <c r="K112" s="3">
        <f t="shared" si="227"/>
        <v>-1.0653952618324618</v>
      </c>
      <c r="M112" t="s">
        <v>13</v>
      </c>
      <c r="N112" s="3"/>
      <c r="O112" s="3">
        <f t="shared" si="228"/>
        <v>1.4205270157765548</v>
      </c>
      <c r="P112" s="3">
        <f t="shared" si="229"/>
        <v>5.5711293899986538</v>
      </c>
      <c r="Q112" s="3">
        <f t="shared" si="229"/>
        <v>0.17756587697210233</v>
      </c>
      <c r="R112" s="3"/>
      <c r="S112" s="4"/>
      <c r="U112" t="s">
        <v>13</v>
      </c>
      <c r="V112" s="3"/>
      <c r="W112" s="3">
        <f t="shared" si="230"/>
        <v>1.8200502389637012</v>
      </c>
      <c r="X112" s="3">
        <f t="shared" ref="X112" si="236">(W$23-X10)/7</f>
        <v>3.7510791510349364</v>
      </c>
      <c r="Y112" s="3">
        <f t="shared" si="235"/>
        <v>6.6587203864525666</v>
      </c>
      <c r="AA112" t="s">
        <v>13</v>
      </c>
      <c r="AB112" s="3"/>
      <c r="AC112" s="3">
        <f t="shared" si="231"/>
        <v>-0.38049830779727806</v>
      </c>
      <c r="AD112" s="3">
        <f t="shared" si="220"/>
        <v>1.7756587697206783</v>
      </c>
      <c r="AE112" s="3">
        <f t="shared" si="221"/>
        <v>-1.0653952618324618</v>
      </c>
      <c r="AG112" t="s">
        <v>13</v>
      </c>
      <c r="AH112" s="3"/>
      <c r="AI112" s="3">
        <f t="shared" si="232"/>
        <v>1.4205270157765548</v>
      </c>
      <c r="AJ112" s="3">
        <f t="shared" si="222"/>
        <v>5.5711293899986538</v>
      </c>
      <c r="AK112" s="3">
        <f t="shared" si="223"/>
        <v>0.17756587697210233</v>
      </c>
    </row>
    <row r="113" spans="1:37" x14ac:dyDescent="0.25">
      <c r="A113" t="s">
        <v>5</v>
      </c>
      <c r="C113" s="3"/>
      <c r="D113" s="3"/>
      <c r="E113" s="3"/>
      <c r="G113" t="s">
        <v>5</v>
      </c>
      <c r="I113" s="3"/>
      <c r="J113" s="3"/>
      <c r="K113" s="3"/>
      <c r="M113" t="s">
        <v>5</v>
      </c>
      <c r="O113" s="3"/>
      <c r="P113" s="3"/>
      <c r="Q113" s="3"/>
      <c r="R113" s="3"/>
      <c r="S113" s="4"/>
      <c r="U113" t="s">
        <v>5</v>
      </c>
      <c r="W113" s="3"/>
      <c r="X113" s="3"/>
      <c r="Y113" s="3"/>
      <c r="AA113" t="s">
        <v>5</v>
      </c>
      <c r="AC113" s="3"/>
      <c r="AD113" s="3"/>
      <c r="AE113" s="3"/>
      <c r="AG113" t="s">
        <v>5</v>
      </c>
      <c r="AI113" s="3"/>
      <c r="AJ113" s="3"/>
      <c r="AK113" s="3"/>
    </row>
    <row r="114" spans="1:37" x14ac:dyDescent="0.25">
      <c r="A114" t="s">
        <v>7</v>
      </c>
      <c r="C114" s="3"/>
      <c r="D114" s="3"/>
      <c r="E114" s="3"/>
      <c r="G114" t="s">
        <v>7</v>
      </c>
      <c r="I114" s="3"/>
      <c r="J114" s="3"/>
      <c r="K114" s="3"/>
      <c r="M114" t="s">
        <v>7</v>
      </c>
      <c r="O114" s="3"/>
      <c r="P114" s="3"/>
      <c r="Q114" s="3"/>
      <c r="R114" s="3"/>
      <c r="S114" s="4"/>
      <c r="U114" t="s">
        <v>7</v>
      </c>
      <c r="W114" s="3"/>
      <c r="X114" s="3"/>
      <c r="Y114" s="3"/>
      <c r="AA114" t="s">
        <v>7</v>
      </c>
      <c r="AC114" s="3"/>
      <c r="AD114" s="3"/>
      <c r="AE114" s="3"/>
      <c r="AG114" t="s">
        <v>7</v>
      </c>
      <c r="AI114" s="3"/>
      <c r="AJ114" s="3"/>
      <c r="AK114" s="3"/>
    </row>
    <row r="115" spans="1:37" x14ac:dyDescent="0.25">
      <c r="A115" t="s">
        <v>8</v>
      </c>
      <c r="C115" s="3"/>
      <c r="D115" s="3"/>
      <c r="E115" s="3"/>
      <c r="G115" t="s">
        <v>8</v>
      </c>
      <c r="I115" s="3"/>
      <c r="J115" s="3"/>
      <c r="K115" s="3"/>
      <c r="M115" t="s">
        <v>8</v>
      </c>
      <c r="O115" s="3"/>
      <c r="P115" s="3"/>
      <c r="Q115" s="3"/>
      <c r="R115" s="3"/>
      <c r="S115" s="4"/>
      <c r="U115" t="s">
        <v>8</v>
      </c>
      <c r="W115" s="3"/>
      <c r="X115" s="3"/>
      <c r="Y115" s="3"/>
      <c r="AA115" t="s">
        <v>8</v>
      </c>
      <c r="AC115" s="3"/>
      <c r="AD115" s="3"/>
      <c r="AE115" s="3"/>
      <c r="AG115" t="s">
        <v>8</v>
      </c>
      <c r="AI115" s="3"/>
      <c r="AJ115" s="3"/>
      <c r="AK115" s="3"/>
    </row>
    <row r="116" spans="1:37" x14ac:dyDescent="0.25">
      <c r="A116" t="s">
        <v>9</v>
      </c>
      <c r="C116" s="3"/>
      <c r="D116" s="3"/>
      <c r="E116" s="3"/>
      <c r="G116" t="s">
        <v>9</v>
      </c>
      <c r="I116" s="3"/>
      <c r="J116" s="3"/>
      <c r="K116" s="3"/>
      <c r="M116" t="s">
        <v>9</v>
      </c>
      <c r="O116" s="3"/>
      <c r="P116" s="3"/>
      <c r="Q116" s="3"/>
      <c r="R116" s="3"/>
      <c r="S116" s="4"/>
      <c r="U116" t="s">
        <v>9</v>
      </c>
      <c r="W116" s="3"/>
      <c r="X116" s="3"/>
      <c r="Y116" s="3"/>
      <c r="AA116" t="s">
        <v>9</v>
      </c>
      <c r="AC116" s="3"/>
      <c r="AD116" s="3"/>
      <c r="AE116" s="3"/>
      <c r="AG116" t="s">
        <v>9</v>
      </c>
      <c r="AI116" s="3"/>
      <c r="AJ116" s="3"/>
      <c r="AK116" s="3"/>
    </row>
    <row r="117" spans="1:37" x14ac:dyDescent="0.25">
      <c r="A117" t="s">
        <v>10</v>
      </c>
      <c r="C117" s="3"/>
      <c r="D117" s="3"/>
      <c r="E117" s="3"/>
      <c r="G117" t="s">
        <v>10</v>
      </c>
      <c r="I117" s="3"/>
      <c r="J117" s="3"/>
      <c r="K117" s="3"/>
      <c r="M117" t="s">
        <v>10</v>
      </c>
      <c r="O117" s="3"/>
      <c r="P117" s="3"/>
      <c r="Q117" s="3"/>
      <c r="R117" s="3"/>
      <c r="S117" s="4"/>
      <c r="U117" t="s">
        <v>10</v>
      </c>
      <c r="W117" s="3"/>
      <c r="X117" s="3"/>
      <c r="Y117" s="3"/>
      <c r="AA117" t="s">
        <v>10</v>
      </c>
      <c r="AC117" s="3"/>
      <c r="AD117" s="3"/>
      <c r="AE117" s="3"/>
      <c r="AG117" t="s">
        <v>10</v>
      </c>
      <c r="AI117" s="3"/>
      <c r="AJ117" s="3"/>
      <c r="AK117" s="3"/>
    </row>
    <row r="118" spans="1:37" x14ac:dyDescent="0.25">
      <c r="A118" t="s">
        <v>11</v>
      </c>
      <c r="C118" s="3"/>
      <c r="D118" s="3"/>
      <c r="E118" s="3"/>
      <c r="G118" t="s">
        <v>11</v>
      </c>
      <c r="I118" s="3"/>
      <c r="J118" s="3"/>
      <c r="K118" s="3"/>
      <c r="M118" t="s">
        <v>11</v>
      </c>
      <c r="O118" s="3"/>
      <c r="P118" s="3"/>
      <c r="Q118" s="3"/>
      <c r="R118" s="3"/>
      <c r="S118" s="4"/>
      <c r="U118" t="s">
        <v>11</v>
      </c>
      <c r="W118" s="3"/>
      <c r="X118" s="3"/>
      <c r="Y118" s="3"/>
      <c r="AA118" t="s">
        <v>11</v>
      </c>
      <c r="AC118" s="3"/>
      <c r="AD118" s="3"/>
      <c r="AE118" s="3"/>
      <c r="AG118" t="s">
        <v>11</v>
      </c>
      <c r="AI118" s="3"/>
      <c r="AJ118" s="3"/>
      <c r="AK118" s="3"/>
    </row>
    <row r="119" spans="1:37" x14ac:dyDescent="0.25">
      <c r="A119" t="s">
        <v>12</v>
      </c>
      <c r="C119" s="3"/>
      <c r="D119" s="3"/>
      <c r="E119" s="3"/>
      <c r="G119" t="s">
        <v>12</v>
      </c>
      <c r="I119" s="3"/>
      <c r="J119" s="3"/>
      <c r="K119" s="3"/>
      <c r="M119" t="s">
        <v>12</v>
      </c>
      <c r="O119" s="3"/>
      <c r="P119" s="3"/>
      <c r="Q119" s="3"/>
      <c r="R119" s="3"/>
      <c r="S119" s="4"/>
      <c r="U119" t="s">
        <v>12</v>
      </c>
      <c r="W119" s="3"/>
      <c r="X119" s="3"/>
      <c r="Y119" s="3"/>
      <c r="AA119" t="s">
        <v>12</v>
      </c>
      <c r="AC119" s="3"/>
      <c r="AD119" s="3"/>
      <c r="AE119" s="3"/>
      <c r="AG119" t="s">
        <v>12</v>
      </c>
      <c r="AI119" s="3"/>
      <c r="AJ119" s="3"/>
      <c r="AK119" s="3"/>
    </row>
    <row r="120" spans="1:37" x14ac:dyDescent="0.25">
      <c r="A120" t="s">
        <v>13</v>
      </c>
      <c r="C120" s="3"/>
      <c r="D120" s="3"/>
      <c r="E120" s="3"/>
      <c r="G120" t="s">
        <v>13</v>
      </c>
      <c r="I120" s="3"/>
      <c r="J120" s="3"/>
      <c r="K120" s="3"/>
      <c r="M120" t="s">
        <v>13</v>
      </c>
      <c r="O120" s="3"/>
      <c r="P120" s="3"/>
      <c r="Q120" s="3"/>
      <c r="R120" s="3"/>
      <c r="S120" s="4"/>
      <c r="U120" t="s">
        <v>13</v>
      </c>
      <c r="W120" s="3"/>
      <c r="X120" s="3"/>
      <c r="Y120" s="3"/>
      <c r="AA120" t="s">
        <v>13</v>
      </c>
      <c r="AC120" s="3"/>
      <c r="AD120" s="3"/>
      <c r="AE120" s="3"/>
      <c r="AG120" t="s">
        <v>13</v>
      </c>
      <c r="AI120" s="3"/>
      <c r="AJ120" s="3"/>
      <c r="AK120" s="3"/>
    </row>
    <row r="121" spans="1:37" x14ac:dyDescent="0.25">
      <c r="A121" s="2"/>
      <c r="B121" s="2"/>
      <c r="C121" s="2"/>
      <c r="D121" s="2"/>
      <c r="E121" s="2"/>
      <c r="G121" s="2"/>
      <c r="H121" s="2"/>
      <c r="I121" s="2"/>
      <c r="J121" s="2"/>
      <c r="K121" s="2"/>
      <c r="M121" s="2"/>
      <c r="N121" s="2"/>
      <c r="O121" s="2"/>
      <c r="P121" s="2"/>
      <c r="Q121" s="2"/>
      <c r="R121" s="3"/>
      <c r="S121" s="4"/>
      <c r="U121" s="2"/>
      <c r="V121" s="2"/>
      <c r="W121" s="2"/>
      <c r="X121" s="2"/>
      <c r="Y121" s="2"/>
      <c r="AA121" s="2"/>
      <c r="AB121" s="2"/>
      <c r="AC121" s="2"/>
      <c r="AD121" s="2"/>
      <c r="AE121" s="2"/>
      <c r="AG121" s="2"/>
      <c r="AH121" s="2"/>
      <c r="AI121" s="2"/>
      <c r="AJ121" s="2"/>
      <c r="AK121" s="2"/>
    </row>
    <row r="122" spans="1:37" x14ac:dyDescent="0.25">
      <c r="A122" t="s">
        <v>14</v>
      </c>
      <c r="B122">
        <f>COUNT(B105:B120)</f>
        <v>0</v>
      </c>
      <c r="C122">
        <f t="shared" ref="C122:E122" si="237">COUNT(C105:C120)</f>
        <v>8</v>
      </c>
      <c r="D122">
        <f t="shared" si="237"/>
        <v>6</v>
      </c>
      <c r="E122">
        <f t="shared" si="237"/>
        <v>5</v>
      </c>
      <c r="G122" t="s">
        <v>14</v>
      </c>
      <c r="H122">
        <f>COUNT(H105:H120)</f>
        <v>0</v>
      </c>
      <c r="I122">
        <f t="shared" ref="I122:K122" si="238">COUNT(I105:I120)</f>
        <v>8</v>
      </c>
      <c r="J122">
        <f t="shared" si="238"/>
        <v>8</v>
      </c>
      <c r="K122">
        <f t="shared" si="238"/>
        <v>8</v>
      </c>
      <c r="M122" t="s">
        <v>14</v>
      </c>
      <c r="N122">
        <f>COUNT(N105:N120)</f>
        <v>0</v>
      </c>
      <c r="O122">
        <f t="shared" ref="O122:Q122" si="239">COUNT(O105:O120)</f>
        <v>8</v>
      </c>
      <c r="P122">
        <f t="shared" si="239"/>
        <v>8</v>
      </c>
      <c r="Q122">
        <f t="shared" si="239"/>
        <v>8</v>
      </c>
      <c r="R122" s="3"/>
      <c r="S122" s="4"/>
      <c r="U122" t="s">
        <v>14</v>
      </c>
      <c r="V122">
        <f>COUNT(V105:V120)</f>
        <v>0</v>
      </c>
      <c r="W122">
        <f t="shared" ref="W122:Y122" si="240">COUNT(W105:W120)</f>
        <v>8</v>
      </c>
      <c r="X122">
        <f t="shared" si="240"/>
        <v>6</v>
      </c>
      <c r="Y122">
        <f t="shared" si="240"/>
        <v>5</v>
      </c>
      <c r="AA122" t="s">
        <v>14</v>
      </c>
      <c r="AB122">
        <f>COUNT(AB105:AB120)</f>
        <v>0</v>
      </c>
      <c r="AC122">
        <f t="shared" ref="AC122:AE122" si="241">COUNT(AC105:AC120)</f>
        <v>8</v>
      </c>
      <c r="AD122">
        <f t="shared" si="241"/>
        <v>8</v>
      </c>
      <c r="AE122">
        <f t="shared" si="241"/>
        <v>8</v>
      </c>
      <c r="AG122" t="s">
        <v>14</v>
      </c>
      <c r="AH122">
        <f>COUNT(AH105:AH120)</f>
        <v>0</v>
      </c>
      <c r="AI122">
        <f t="shared" ref="AI122:AK122" si="242">COUNT(AI105:AI120)</f>
        <v>8</v>
      </c>
      <c r="AJ122">
        <f t="shared" si="242"/>
        <v>8</v>
      </c>
      <c r="AK122">
        <f t="shared" si="242"/>
        <v>8</v>
      </c>
    </row>
    <row r="123" spans="1:37" x14ac:dyDescent="0.25">
      <c r="A123" t="s">
        <v>15</v>
      </c>
      <c r="B123">
        <f>MAX(B105:B120)</f>
        <v>0</v>
      </c>
      <c r="C123">
        <f t="shared" ref="C123:E123" si="243">MAX(C105:C120)</f>
        <v>3.0630113777681722</v>
      </c>
      <c r="D123">
        <f t="shared" si="243"/>
        <v>3.7510791510349364</v>
      </c>
      <c r="E123">
        <f t="shared" si="243"/>
        <v>6.6587203864525666</v>
      </c>
      <c r="G123" t="s">
        <v>15</v>
      </c>
      <c r="H123">
        <f>MAX(H105:H120)</f>
        <v>0</v>
      </c>
      <c r="I123">
        <f t="shared" ref="I123:K123" si="244">MAX(I105:I120)</f>
        <v>8.90048958322493</v>
      </c>
      <c r="J123">
        <f t="shared" si="244"/>
        <v>3.9064492933854922</v>
      </c>
      <c r="K123">
        <f t="shared" si="244"/>
        <v>3.7288834164134244</v>
      </c>
      <c r="M123" t="s">
        <v>15</v>
      </c>
      <c r="N123">
        <f>MAX(N105:N120)</f>
        <v>0</v>
      </c>
      <c r="O123">
        <f t="shared" ref="O123:Q123" si="245">MAX(O105:O120)</f>
        <v>4.6167128012737839</v>
      </c>
      <c r="P123">
        <f t="shared" si="245"/>
        <v>5.5711293899986538</v>
      </c>
      <c r="Q123">
        <f t="shared" si="245"/>
        <v>7.8128985867710172</v>
      </c>
      <c r="R123" s="3"/>
      <c r="S123" s="4"/>
      <c r="U123" t="s">
        <v>15</v>
      </c>
      <c r="V123">
        <f>MAX(V105:V120)</f>
        <v>0</v>
      </c>
      <c r="W123">
        <f t="shared" ref="W123:Y123" si="246">MAX(W105:W120)</f>
        <v>3.0630113777681722</v>
      </c>
      <c r="X123">
        <f t="shared" si="246"/>
        <v>3.7510791510349364</v>
      </c>
      <c r="Y123">
        <f t="shared" si="246"/>
        <v>6.6587203864525666</v>
      </c>
      <c r="AA123" t="s">
        <v>15</v>
      </c>
      <c r="AB123">
        <f>MAX(AB105:AB120)</f>
        <v>0</v>
      </c>
      <c r="AC123">
        <f t="shared" ref="AC123:AE123" si="247">MAX(AC105:AC120)</f>
        <v>7.2548344020016495</v>
      </c>
      <c r="AD123">
        <f t="shared" si="247"/>
        <v>3.9064492933854922</v>
      </c>
      <c r="AE123">
        <f t="shared" si="247"/>
        <v>3.7288834164134244</v>
      </c>
      <c r="AG123" t="s">
        <v>15</v>
      </c>
      <c r="AH123">
        <f>MAX(AH105:AH120)</f>
        <v>0</v>
      </c>
      <c r="AI123">
        <f t="shared" ref="AI123:AK123" si="248">MAX(AI105:AI120)</f>
        <v>4.6167128012737839</v>
      </c>
      <c r="AJ123">
        <f t="shared" si="248"/>
        <v>5.5711293899986538</v>
      </c>
      <c r="AK123">
        <f t="shared" si="248"/>
        <v>7.8128985867710172</v>
      </c>
    </row>
    <row r="124" spans="1:37" x14ac:dyDescent="0.25">
      <c r="A124" t="s">
        <v>16</v>
      </c>
      <c r="B124">
        <f>MIN(B105:B120)</f>
        <v>0</v>
      </c>
      <c r="C124">
        <f t="shared" ref="C124:E124" si="249">MIN(C105:C120)</f>
        <v>-5.6377165938631419</v>
      </c>
      <c r="D124">
        <f t="shared" si="249"/>
        <v>-5.6599123284847206</v>
      </c>
      <c r="E124">
        <f t="shared" si="249"/>
        <v>1.8644417082067233</v>
      </c>
      <c r="G124" t="s">
        <v>16</v>
      </c>
      <c r="H124">
        <f>MIN(H105:H120)</f>
        <v>0</v>
      </c>
      <c r="I124">
        <f t="shared" ref="I124:K124" si="250">MIN(I105:I120)</f>
        <v>-3.5291218048198112</v>
      </c>
      <c r="J124">
        <f t="shared" si="250"/>
        <v>-4.2615810473296074</v>
      </c>
      <c r="K124">
        <f t="shared" si="250"/>
        <v>-5.1494104321900336</v>
      </c>
      <c r="M124" t="s">
        <v>16</v>
      </c>
      <c r="N124">
        <f>MIN(N105:N120)</f>
        <v>0</v>
      </c>
      <c r="O124">
        <f t="shared" ref="O124:Q124" si="251">MIN(O105:O120)</f>
        <v>-3.3737516624693029</v>
      </c>
      <c r="P124">
        <f t="shared" si="251"/>
        <v>-5.970652613185818</v>
      </c>
      <c r="Q124">
        <f t="shared" si="251"/>
        <v>-3.7288834164134692</v>
      </c>
      <c r="S124" s="4"/>
      <c r="U124" t="s">
        <v>16</v>
      </c>
      <c r="V124">
        <f>MIN(V105:V120)</f>
        <v>0</v>
      </c>
      <c r="W124">
        <f t="shared" ref="W124:Y124" si="252">MIN(W105:W120)</f>
        <v>-5.6377165938631419</v>
      </c>
      <c r="X124">
        <f t="shared" si="252"/>
        <v>-5.6599123284847206</v>
      </c>
      <c r="Y124">
        <f t="shared" si="252"/>
        <v>1.8644417082067233</v>
      </c>
      <c r="AA124" t="s">
        <v>16</v>
      </c>
      <c r="AB124">
        <f>MIN(AB105:AB120)</f>
        <v>0</v>
      </c>
      <c r="AC124">
        <f t="shared" ref="AC124:AE124" si="253">MIN(AC105:AC120)</f>
        <v>-5.1747769860430912</v>
      </c>
      <c r="AD124">
        <f t="shared" si="253"/>
        <v>-4.2615810473296074</v>
      </c>
      <c r="AE124">
        <f t="shared" si="253"/>
        <v>-5.1494104321900336</v>
      </c>
      <c r="AG124" t="s">
        <v>16</v>
      </c>
      <c r="AH124">
        <f>MIN(AH105:AH120)</f>
        <v>0</v>
      </c>
      <c r="AI124">
        <f t="shared" ref="AI124:AK124" si="254">MIN(AI105:AI120)</f>
        <v>-3.3737516624693029</v>
      </c>
      <c r="AJ124">
        <f t="shared" si="254"/>
        <v>-5.970652613185818</v>
      </c>
      <c r="AK124">
        <f t="shared" si="254"/>
        <v>-3.7288834164134692</v>
      </c>
    </row>
    <row r="125" spans="1:37" x14ac:dyDescent="0.25">
      <c r="A125" t="s">
        <v>17</v>
      </c>
      <c r="B125" t="e">
        <f>AVERAGE(B105:B120)</f>
        <v>#DIV/0!</v>
      </c>
      <c r="C125">
        <f t="shared" ref="C125:E125" si="255">AVERAGE(C105:C120)</f>
        <v>0.19976161159357944</v>
      </c>
      <c r="D125">
        <f t="shared" si="255"/>
        <v>-2.0198118505572875</v>
      </c>
      <c r="E125">
        <f t="shared" si="255"/>
        <v>4.2793376350268524</v>
      </c>
      <c r="G125" t="s">
        <v>17</v>
      </c>
      <c r="H125" t="e">
        <f>AVERAGE(H105:H120)</f>
        <v>#DIV/0!</v>
      </c>
      <c r="I125">
        <f t="shared" ref="I125:K125" si="256">AVERAGE(I105:I120)</f>
        <v>1.0875909964539394</v>
      </c>
      <c r="J125">
        <f t="shared" si="256"/>
        <v>-3.9968028886505635E-15</v>
      </c>
      <c r="K125">
        <f t="shared" si="256"/>
        <v>0.71026350788825809</v>
      </c>
      <c r="M125" t="s">
        <v>17</v>
      </c>
      <c r="N125" t="e">
        <f>AVERAGE(N105:N120)</f>
        <v>#DIV/0!</v>
      </c>
      <c r="O125">
        <f t="shared" ref="O125:Q125" si="257">AVERAGE(O105:O120)</f>
        <v>1.531505688884089</v>
      </c>
      <c r="P125">
        <f t="shared" si="257"/>
        <v>1.1319824656969355</v>
      </c>
      <c r="Q125">
        <f t="shared" si="257"/>
        <v>0.35513175394415625</v>
      </c>
      <c r="S125" s="4"/>
      <c r="U125" t="s">
        <v>17</v>
      </c>
      <c r="V125" t="e">
        <f>AVERAGE(V105:V120)</f>
        <v>#DIV/0!</v>
      </c>
      <c r="W125">
        <f t="shared" ref="W125:Y125" si="258">AVERAGE(W105:W120)</f>
        <v>0.19976161159357944</v>
      </c>
      <c r="X125">
        <f t="shared" si="258"/>
        <v>-2.0198118505572875</v>
      </c>
      <c r="Y125">
        <f t="shared" si="258"/>
        <v>4.2793376350268524</v>
      </c>
      <c r="AA125" t="s">
        <v>17</v>
      </c>
      <c r="AB125" t="e">
        <f>AVERAGE(AB105:AB120)</f>
        <v>#DIV/0!</v>
      </c>
      <c r="AC125">
        <f t="shared" ref="AC125:AE125" si="259">AVERAGE(AC105:AC120)</f>
        <v>-0.55806418476934061</v>
      </c>
      <c r="AD125">
        <f t="shared" si="259"/>
        <v>-3.9968028886505635E-15</v>
      </c>
      <c r="AE125">
        <f t="shared" si="259"/>
        <v>0.71026350788825809</v>
      </c>
      <c r="AG125" t="s">
        <v>17</v>
      </c>
      <c r="AH125" t="e">
        <f>AVERAGE(AH105:AH120)</f>
        <v>#DIV/0!</v>
      </c>
      <c r="AI125">
        <f t="shared" ref="AI125:AK125" si="260">AVERAGE(AI105:AI120)</f>
        <v>1.531505688884089</v>
      </c>
      <c r="AJ125">
        <f t="shared" si="260"/>
        <v>1.1319824656969355</v>
      </c>
      <c r="AK125">
        <f t="shared" si="260"/>
        <v>0.35513175394415625</v>
      </c>
    </row>
    <row r="126" spans="1:37" x14ac:dyDescent="0.25">
      <c r="A126" t="s">
        <v>18</v>
      </c>
      <c r="B126" t="e">
        <f>STDEV(B105:B120)</f>
        <v>#DIV/0!</v>
      </c>
      <c r="C126">
        <f t="shared" ref="C126:E126" si="261">STDEV(C105:C120)</f>
        <v>3.0005668627294662</v>
      </c>
      <c r="D126">
        <f t="shared" si="261"/>
        <v>3.6987445281450118</v>
      </c>
      <c r="E126">
        <f t="shared" si="261"/>
        <v>1.8900551016646567</v>
      </c>
      <c r="G126" t="s">
        <v>18</v>
      </c>
      <c r="H126" t="e">
        <f>STDEV(H105:H120)</f>
        <v>#DIV/0!</v>
      </c>
      <c r="I126">
        <f t="shared" ref="I126:K126" si="262">STDEV(I105:I120)</f>
        <v>3.909906838797589</v>
      </c>
      <c r="J126">
        <f t="shared" si="262"/>
        <v>3.359704058100907</v>
      </c>
      <c r="K126">
        <f t="shared" si="262"/>
        <v>3.1263698767270971</v>
      </c>
      <c r="M126" t="s">
        <v>18</v>
      </c>
      <c r="N126" t="e">
        <f>STDEV(N105:N120)</f>
        <v>#DIV/0!</v>
      </c>
      <c r="O126">
        <f t="shared" ref="O126:Q126" si="263">STDEV(O105:O120)</f>
        <v>2.8234609656468113</v>
      </c>
      <c r="P126">
        <f t="shared" si="263"/>
        <v>4.0513491682709732</v>
      </c>
      <c r="Q126">
        <f t="shared" si="263"/>
        <v>4.1610427730784796</v>
      </c>
      <c r="S126" s="4"/>
      <c r="U126" t="s">
        <v>18</v>
      </c>
      <c r="V126" t="e">
        <f>STDEV(V105:V120)</f>
        <v>#DIV/0!</v>
      </c>
      <c r="W126">
        <f t="shared" ref="W126:Y126" si="264">STDEV(W105:W120)</f>
        <v>3.0005668627294662</v>
      </c>
      <c r="X126">
        <f t="shared" si="264"/>
        <v>3.6987445281450118</v>
      </c>
      <c r="Y126">
        <f t="shared" si="264"/>
        <v>1.8900551016646567</v>
      </c>
      <c r="AA126" t="s">
        <v>18</v>
      </c>
      <c r="AB126" t="e">
        <f>STDEV(AB105:AB120)</f>
        <v>#DIV/0!</v>
      </c>
      <c r="AC126">
        <f t="shared" ref="AC126:AE126" si="265">STDEV(AC105:AC120)</f>
        <v>3.909906838797589</v>
      </c>
      <c r="AD126">
        <f t="shared" si="265"/>
        <v>3.359704058100907</v>
      </c>
      <c r="AE126">
        <f t="shared" si="265"/>
        <v>3.1263698767270971</v>
      </c>
      <c r="AG126" t="s">
        <v>18</v>
      </c>
      <c r="AH126" t="e">
        <f>STDEV(AH105:AH120)</f>
        <v>#DIV/0!</v>
      </c>
      <c r="AI126">
        <f t="shared" ref="AI126:AK126" si="266">STDEV(AI105:AI120)</f>
        <v>2.8234609656468113</v>
      </c>
      <c r="AJ126">
        <f t="shared" si="266"/>
        <v>4.0513491682709732</v>
      </c>
      <c r="AK126">
        <f t="shared" si="266"/>
        <v>4.1610427730784796</v>
      </c>
    </row>
    <row r="127" spans="1:37" x14ac:dyDescent="0.25">
      <c r="A127" t="s">
        <v>19</v>
      </c>
      <c r="B127" t="e">
        <f>B125+2*B126</f>
        <v>#DIV/0!</v>
      </c>
      <c r="C127">
        <f t="shared" ref="C127:E127" si="267">C125+2*C126</f>
        <v>6.2008953370525122</v>
      </c>
      <c r="D127">
        <f t="shared" si="267"/>
        <v>5.377677205732736</v>
      </c>
      <c r="E127">
        <f t="shared" si="267"/>
        <v>8.0594478383561654</v>
      </c>
      <c r="G127" t="s">
        <v>19</v>
      </c>
      <c r="H127" t="e">
        <f>H125+2*H126</f>
        <v>#DIV/0!</v>
      </c>
      <c r="I127">
        <f t="shared" ref="I127:K127" si="268">I125+2*I126</f>
        <v>8.9074046740491184</v>
      </c>
      <c r="J127">
        <f t="shared" si="268"/>
        <v>6.7194081162018104</v>
      </c>
      <c r="K127">
        <f t="shared" si="268"/>
        <v>6.9630032613424522</v>
      </c>
      <c r="M127" t="s">
        <v>19</v>
      </c>
      <c r="N127" t="e">
        <f>N125+2*N126</f>
        <v>#DIV/0!</v>
      </c>
      <c r="O127">
        <f t="shared" ref="O127:Q127" si="269">O125+2*O126</f>
        <v>7.1784276201777111</v>
      </c>
      <c r="P127">
        <f t="shared" si="269"/>
        <v>9.2346808022388824</v>
      </c>
      <c r="Q127">
        <f t="shared" si="269"/>
        <v>8.6772173001011161</v>
      </c>
      <c r="S127" s="4"/>
      <c r="U127" t="s">
        <v>19</v>
      </c>
      <c r="V127" t="e">
        <f>V125+2*V126</f>
        <v>#DIV/0!</v>
      </c>
      <c r="W127">
        <f t="shared" ref="W127:Y127" si="270">W125+2*W126</f>
        <v>6.2008953370525122</v>
      </c>
      <c r="X127">
        <f t="shared" si="270"/>
        <v>5.377677205732736</v>
      </c>
      <c r="Y127">
        <f t="shared" si="270"/>
        <v>8.0594478383561654</v>
      </c>
      <c r="AA127" t="s">
        <v>19</v>
      </c>
      <c r="AB127" t="e">
        <f>AB125+2*AB126</f>
        <v>#DIV/0!</v>
      </c>
      <c r="AC127">
        <f t="shared" ref="AC127:AE127" si="271">AC125+2*AC126</f>
        <v>7.261749492825837</v>
      </c>
      <c r="AD127">
        <f t="shared" si="271"/>
        <v>6.7194081162018104</v>
      </c>
      <c r="AE127">
        <f t="shared" si="271"/>
        <v>6.9630032613424522</v>
      </c>
      <c r="AG127" t="s">
        <v>19</v>
      </c>
      <c r="AH127" t="e">
        <f>AH125+2*AH126</f>
        <v>#DIV/0!</v>
      </c>
      <c r="AI127">
        <f t="shared" ref="AI127:AK127" si="272">AI125+2*AI126</f>
        <v>7.1784276201777111</v>
      </c>
      <c r="AJ127">
        <f t="shared" si="272"/>
        <v>9.2346808022388824</v>
      </c>
      <c r="AK127">
        <f t="shared" si="272"/>
        <v>8.6772173001011161</v>
      </c>
    </row>
    <row r="128" spans="1:37" x14ac:dyDescent="0.25">
      <c r="A128" t="s">
        <v>20</v>
      </c>
      <c r="B128" t="e">
        <f>B125-2*B126</f>
        <v>#DIV/0!</v>
      </c>
      <c r="C128">
        <f t="shared" ref="C128:E128" si="273">C125-2*C126</f>
        <v>-5.8013721138653525</v>
      </c>
      <c r="D128">
        <f t="shared" si="273"/>
        <v>-9.417300906847311</v>
      </c>
      <c r="E128">
        <f t="shared" si="273"/>
        <v>0.49922743169753891</v>
      </c>
      <c r="G128" t="s">
        <v>20</v>
      </c>
      <c r="H128" t="e">
        <f>H125-2*H126</f>
        <v>#DIV/0!</v>
      </c>
      <c r="I128">
        <f t="shared" ref="I128:K128" si="274">I125-2*I126</f>
        <v>-6.7322226811412387</v>
      </c>
      <c r="J128">
        <f t="shared" si="274"/>
        <v>-6.7194081162018175</v>
      </c>
      <c r="K128">
        <f t="shared" si="274"/>
        <v>-5.5424762455659362</v>
      </c>
      <c r="M128" t="s">
        <v>20</v>
      </c>
      <c r="N128" t="e">
        <f>N125-2*N126</f>
        <v>#DIV/0!</v>
      </c>
      <c r="O128">
        <f t="shared" ref="O128:Q128" si="275">O125-2*O126</f>
        <v>-4.115416242409534</v>
      </c>
      <c r="P128">
        <f t="shared" si="275"/>
        <v>-6.9707158708450105</v>
      </c>
      <c r="Q128">
        <f t="shared" si="275"/>
        <v>-7.9669537922128031</v>
      </c>
      <c r="S128" s="4"/>
      <c r="U128" t="s">
        <v>20</v>
      </c>
      <c r="V128" t="e">
        <f>V125-2*V126</f>
        <v>#DIV/0!</v>
      </c>
      <c r="W128">
        <f t="shared" ref="W128:Y128" si="276">W125-2*W126</f>
        <v>-5.8013721138653525</v>
      </c>
      <c r="X128">
        <f t="shared" si="276"/>
        <v>-9.417300906847311</v>
      </c>
      <c r="Y128">
        <f t="shared" si="276"/>
        <v>0.49922743169753891</v>
      </c>
      <c r="AA128" t="s">
        <v>20</v>
      </c>
      <c r="AB128" t="e">
        <f>AB125-2*AB126</f>
        <v>#DIV/0!</v>
      </c>
      <c r="AC128">
        <f t="shared" ref="AC128:AE128" si="277">AC125-2*AC126</f>
        <v>-8.3778778623645191</v>
      </c>
      <c r="AD128">
        <f t="shared" si="277"/>
        <v>-6.7194081162018175</v>
      </c>
      <c r="AE128">
        <f t="shared" si="277"/>
        <v>-5.5424762455659362</v>
      </c>
      <c r="AG128" t="s">
        <v>20</v>
      </c>
      <c r="AH128" t="e">
        <f>AH125-2*AH126</f>
        <v>#DIV/0!</v>
      </c>
      <c r="AI128">
        <f t="shared" ref="AI128:AK128" si="278">AI125-2*AI126</f>
        <v>-4.115416242409534</v>
      </c>
      <c r="AJ128">
        <f t="shared" si="278"/>
        <v>-6.9707158708450105</v>
      </c>
      <c r="AK128">
        <f t="shared" si="278"/>
        <v>-7.9669537922128031</v>
      </c>
    </row>
    <row r="129" spans="1:37" x14ac:dyDescent="0.25">
      <c r="A129" t="s">
        <v>21</v>
      </c>
      <c r="B129" t="e">
        <f>VAR(B105:B120)</f>
        <v>#DIV/0!</v>
      </c>
      <c r="C129">
        <f t="shared" ref="C129:E129" si="279">VAR(C105:C120)</f>
        <v>9.0034014977101506</v>
      </c>
      <c r="D129">
        <f t="shared" si="279"/>
        <v>13.680711084482667</v>
      </c>
      <c r="E129">
        <f t="shared" si="279"/>
        <v>3.5723082873285961</v>
      </c>
      <c r="G129" t="s">
        <v>21</v>
      </c>
      <c r="H129" t="e">
        <f>VAR(H105:H120)</f>
        <v>#DIV/0!</v>
      </c>
      <c r="I129">
        <f t="shared" ref="I129:K129" si="280">VAR(I105:I120)</f>
        <v>15.287371488076158</v>
      </c>
      <c r="J129">
        <f t="shared" si="280"/>
        <v>11.287611358019703</v>
      </c>
      <c r="K129">
        <f t="shared" si="280"/>
        <v>9.7741886061066037</v>
      </c>
      <c r="M129" t="s">
        <v>21</v>
      </c>
      <c r="N129" t="e">
        <f>VAR(N105:N120)</f>
        <v>#DIV/0!</v>
      </c>
      <c r="O129">
        <f t="shared" ref="O129:Q129" si="281">VAR(O105:O120)</f>
        <v>7.9719318245312234</v>
      </c>
      <c r="P129">
        <f t="shared" si="281"/>
        <v>16.41343008324991</v>
      </c>
      <c r="Q129">
        <f t="shared" si="281"/>
        <v>17.314276959388643</v>
      </c>
      <c r="S129" s="4"/>
      <c r="U129" t="s">
        <v>21</v>
      </c>
      <c r="V129" t="e">
        <f>VAR(V105:V120)</f>
        <v>#DIV/0!</v>
      </c>
      <c r="W129">
        <f t="shared" ref="W129:Y129" si="282">VAR(W105:W120)</f>
        <v>9.0034014977101506</v>
      </c>
      <c r="X129">
        <f t="shared" si="282"/>
        <v>13.680711084482667</v>
      </c>
      <c r="Y129">
        <f t="shared" si="282"/>
        <v>3.5723082873285961</v>
      </c>
      <c r="AA129" t="s">
        <v>21</v>
      </c>
      <c r="AB129" t="e">
        <f>VAR(AB105:AB120)</f>
        <v>#DIV/0!</v>
      </c>
      <c r="AC129">
        <f t="shared" ref="AC129:AE129" si="283">VAR(AC105:AC120)</f>
        <v>15.287371488076156</v>
      </c>
      <c r="AD129">
        <f t="shared" si="283"/>
        <v>11.287611358019703</v>
      </c>
      <c r="AE129">
        <f t="shared" si="283"/>
        <v>9.7741886061066037</v>
      </c>
      <c r="AG129" t="s">
        <v>21</v>
      </c>
      <c r="AH129" t="e">
        <f>VAR(AH105:AH120)</f>
        <v>#DIV/0!</v>
      </c>
      <c r="AI129">
        <f t="shared" ref="AI129:AK129" si="284">VAR(AI105:AI120)</f>
        <v>7.9719318245312234</v>
      </c>
      <c r="AJ129">
        <f t="shared" si="284"/>
        <v>16.41343008324991</v>
      </c>
      <c r="AK129">
        <f t="shared" si="284"/>
        <v>17.314276959388643</v>
      </c>
    </row>
    <row r="130" spans="1:37" x14ac:dyDescent="0.25">
      <c r="S130" s="4"/>
    </row>
    <row r="131" spans="1:37" x14ac:dyDescent="0.25">
      <c r="A131" t="s">
        <v>22</v>
      </c>
      <c r="S131" s="4"/>
      <c r="U131" t="s">
        <v>22</v>
      </c>
    </row>
    <row r="132" spans="1:37" x14ac:dyDescent="0.25">
      <c r="A132" t="s">
        <v>1</v>
      </c>
      <c r="B132" t="e">
        <f>TTEST(B113:B120,H113:H120,2,3)</f>
        <v>#DIV/0!</v>
      </c>
      <c r="S132" s="4"/>
      <c r="U132" t="s">
        <v>1</v>
      </c>
      <c r="V132" t="e">
        <f>TTEST(V113:V120,AB113:AB120,2,3)</f>
        <v>#DIV/0!</v>
      </c>
    </row>
    <row r="133" spans="1:37" x14ac:dyDescent="0.25">
      <c r="A133" t="s">
        <v>2</v>
      </c>
      <c r="B133" t="e">
        <f>TTEST(C113:C120,I113:I120,2,3)</f>
        <v>#DIV/0!</v>
      </c>
      <c r="S133" s="4"/>
      <c r="U133" t="s">
        <v>2</v>
      </c>
      <c r="V133" t="e">
        <f>TTEST(W113:W120,AC113:AC120,2,3)</f>
        <v>#DIV/0!</v>
      </c>
    </row>
    <row r="134" spans="1:37" x14ac:dyDescent="0.25">
      <c r="A134" t="s">
        <v>3</v>
      </c>
      <c r="B134" t="e">
        <f>TTEST(D113:D120,J113:J120,2,3)</f>
        <v>#DIV/0!</v>
      </c>
      <c r="S134" s="4"/>
      <c r="U134" t="s">
        <v>3</v>
      </c>
      <c r="V134" t="e">
        <f>TTEST(X113:X120,AD113:AD120,2,3)</f>
        <v>#DIV/0!</v>
      </c>
    </row>
    <row r="135" spans="1:37" x14ac:dyDescent="0.25">
      <c r="A135" t="s">
        <v>4</v>
      </c>
      <c r="B135" t="e">
        <f>TTEST(E113:E120,K113:K120,2,3)</f>
        <v>#DIV/0!</v>
      </c>
      <c r="S135" s="4"/>
      <c r="U135" t="s">
        <v>4</v>
      </c>
      <c r="V135" t="e">
        <f>TTEST(Y113:Y120,AE113:AE120,2,3)</f>
        <v>#DIV/0!</v>
      </c>
    </row>
  </sheetData>
  <conditionalFormatting sqref="B30:B33">
    <cfRule type="cellIs" dxfId="578" priority="73" operator="lessThan">
      <formula>0.05</formula>
    </cfRule>
  </conditionalFormatting>
  <conditionalFormatting sqref="B64:B67">
    <cfRule type="cellIs" dxfId="577" priority="43" operator="lessThan">
      <formula>0.05</formula>
    </cfRule>
  </conditionalFormatting>
  <conditionalFormatting sqref="B98:B101">
    <cfRule type="cellIs" dxfId="576" priority="42" operator="lessThan">
      <formula>0.05</formula>
    </cfRule>
  </conditionalFormatting>
  <conditionalFormatting sqref="B105:B120">
    <cfRule type="cellIs" dxfId="575" priority="36" operator="greaterThan">
      <formula>B$93</formula>
    </cfRule>
    <cfRule type="cellIs" dxfId="574" priority="35" operator="lessThan">
      <formula>B$94</formula>
    </cfRule>
  </conditionalFormatting>
  <conditionalFormatting sqref="B132:B135">
    <cfRule type="cellIs" dxfId="573" priority="37" operator="lessThan">
      <formula>0.05</formula>
    </cfRule>
  </conditionalFormatting>
  <conditionalFormatting sqref="B3:E18">
    <cfRule type="cellIs" dxfId="572" priority="72" operator="greaterThan">
      <formula>B$25</formula>
    </cfRule>
    <cfRule type="cellIs" dxfId="571" priority="71" operator="lessThan">
      <formula>B$26</formula>
    </cfRule>
  </conditionalFormatting>
  <conditionalFormatting sqref="B37:E52">
    <cfRule type="cellIs" dxfId="570" priority="40" operator="lessThan">
      <formula>B$60</formula>
    </cfRule>
    <cfRule type="cellIs" dxfId="569" priority="41" operator="greaterThan">
      <formula>B$59</formula>
    </cfRule>
  </conditionalFormatting>
  <conditionalFormatting sqref="B71:E86">
    <cfRule type="cellIs" dxfId="568" priority="39" operator="greaterThan">
      <formula>B$93</formula>
    </cfRule>
    <cfRule type="cellIs" dxfId="567" priority="38" operator="lessThan">
      <formula>B$94</formula>
    </cfRule>
  </conditionalFormatting>
  <conditionalFormatting sqref="C105:E120">
    <cfRule type="cellIs" dxfId="566" priority="34" operator="greaterThan">
      <formula>C$127</formula>
    </cfRule>
    <cfRule type="cellIs" dxfId="565" priority="33" operator="lessThan">
      <formula>C$128</formula>
    </cfRule>
  </conditionalFormatting>
  <conditionalFormatting sqref="H3:K18">
    <cfRule type="cellIs" dxfId="564" priority="70" operator="greaterThan">
      <formula>H$25</formula>
    </cfRule>
    <cfRule type="cellIs" dxfId="563" priority="69" operator="lessThan">
      <formula>H$26</formula>
    </cfRule>
  </conditionalFormatting>
  <conditionalFormatting sqref="H37:K52">
    <cfRule type="cellIs" dxfId="562" priority="64" operator="greaterThan">
      <formula>H$59</formula>
    </cfRule>
    <cfRule type="cellIs" dxfId="561" priority="63" operator="lessThan">
      <formula>H$60</formula>
    </cfRule>
  </conditionalFormatting>
  <conditionalFormatting sqref="I71:K86">
    <cfRule type="cellIs" dxfId="560" priority="46" operator="lessThan">
      <formula>I$94</formula>
    </cfRule>
    <cfRule type="cellIs" dxfId="559" priority="47" operator="greaterThan">
      <formula>I$93</formula>
    </cfRule>
  </conditionalFormatting>
  <conditionalFormatting sqref="I105:K120">
    <cfRule type="cellIs" dxfId="558" priority="56" operator="lessThan">
      <formula>I$128</formula>
    </cfRule>
    <cfRule type="cellIs" dxfId="557" priority="57" operator="greaterThan">
      <formula>I$127</formula>
    </cfRule>
  </conditionalFormatting>
  <conditionalFormatting sqref="N3:R18 R19">
    <cfRule type="cellIs" dxfId="556" priority="53" operator="greaterThan">
      <formula>N$25</formula>
    </cfRule>
    <cfRule type="cellIs" dxfId="555" priority="52" operator="lessThan">
      <formula>N$26</formula>
    </cfRule>
  </conditionalFormatting>
  <conditionalFormatting sqref="N37:R52 R53">
    <cfRule type="cellIs" dxfId="554" priority="50" operator="lessThan">
      <formula>N$60</formula>
    </cfRule>
    <cfRule type="cellIs" dxfId="553" priority="51" operator="greaterThan">
      <formula>N$59</formula>
    </cfRule>
  </conditionalFormatting>
  <conditionalFormatting sqref="O71:Q86">
    <cfRule type="cellIs" dxfId="552" priority="45" operator="greaterThan">
      <formula>O$93</formula>
    </cfRule>
    <cfRule type="cellIs" dxfId="551" priority="44" operator="lessThan">
      <formula>O$94</formula>
    </cfRule>
  </conditionalFormatting>
  <conditionalFormatting sqref="O105:R120 R121:R123">
    <cfRule type="cellIs" dxfId="550" priority="48" operator="lessThan">
      <formula>O$128</formula>
    </cfRule>
    <cfRule type="cellIs" dxfId="549" priority="49" operator="greaterThan">
      <formula>O$127</formula>
    </cfRule>
  </conditionalFormatting>
  <conditionalFormatting sqref="R71:R88">
    <cfRule type="cellIs" dxfId="548" priority="55" operator="greaterThan">
      <formula>R$93</formula>
    </cfRule>
    <cfRule type="cellIs" dxfId="547" priority="54" operator="lessThan">
      <formula>R$94</formula>
    </cfRule>
  </conditionalFormatting>
  <conditionalFormatting sqref="V30:V33">
    <cfRule type="cellIs" dxfId="546" priority="32" operator="lessThan">
      <formula>0.05</formula>
    </cfRule>
  </conditionalFormatting>
  <conditionalFormatting sqref="V64:V67">
    <cfRule type="cellIs" dxfId="545" priority="13" operator="lessThan">
      <formula>0.05</formula>
    </cfRule>
  </conditionalFormatting>
  <conditionalFormatting sqref="V98:V101">
    <cfRule type="cellIs" dxfId="544" priority="12" operator="lessThan">
      <formula>0.05</formula>
    </cfRule>
  </conditionalFormatting>
  <conditionalFormatting sqref="V105:V120">
    <cfRule type="cellIs" dxfId="543" priority="5" operator="lessThan">
      <formula>V$94</formula>
    </cfRule>
    <cfRule type="cellIs" dxfId="542" priority="6" operator="greaterThan">
      <formula>V$93</formula>
    </cfRule>
  </conditionalFormatting>
  <conditionalFormatting sqref="V132:V135">
    <cfRule type="cellIs" dxfId="541" priority="7" operator="lessThan">
      <formula>0.05</formula>
    </cfRule>
  </conditionalFormatting>
  <conditionalFormatting sqref="V3:Y18">
    <cfRule type="cellIs" dxfId="540" priority="31" operator="greaterThan">
      <formula>V$25</formula>
    </cfRule>
    <cfRule type="cellIs" dxfId="539" priority="30" operator="lessThan">
      <formula>V$26</formula>
    </cfRule>
  </conditionalFormatting>
  <conditionalFormatting sqref="V37:Y52">
    <cfRule type="cellIs" dxfId="538" priority="10" operator="lessThan">
      <formula>V$60</formula>
    </cfRule>
    <cfRule type="cellIs" dxfId="537" priority="11" operator="greaterThan">
      <formula>V$59</formula>
    </cfRule>
  </conditionalFormatting>
  <conditionalFormatting sqref="V71:Y86">
    <cfRule type="cellIs" dxfId="536" priority="9" operator="greaterThan">
      <formula>V$93</formula>
    </cfRule>
    <cfRule type="cellIs" dxfId="535" priority="8" operator="lessThan">
      <formula>V$94</formula>
    </cfRule>
  </conditionalFormatting>
  <conditionalFormatting sqref="W105:Y120">
    <cfRule type="cellIs" dxfId="534" priority="3" operator="lessThan">
      <formula>W$128</formula>
    </cfRule>
    <cfRule type="cellIs" dxfId="533" priority="4" operator="greaterThan">
      <formula>W$127</formula>
    </cfRule>
  </conditionalFormatting>
  <conditionalFormatting sqref="AB3:AE18">
    <cfRule type="cellIs" dxfId="532" priority="28" operator="lessThan">
      <formula>AB$26</formula>
    </cfRule>
    <cfRule type="cellIs" dxfId="531" priority="29" operator="greaterThan">
      <formula>AB$25</formula>
    </cfRule>
  </conditionalFormatting>
  <conditionalFormatting sqref="AB37:AE52">
    <cfRule type="cellIs" dxfId="530" priority="27" operator="greaterThan">
      <formula>AB$59</formula>
    </cfRule>
    <cfRule type="cellIs" dxfId="529" priority="26" operator="lessThan">
      <formula>AB$60</formula>
    </cfRule>
  </conditionalFormatting>
  <conditionalFormatting sqref="AC71:AE86">
    <cfRule type="cellIs" dxfId="528" priority="17" operator="greaterThan">
      <formula>AC$93</formula>
    </cfRule>
    <cfRule type="cellIs" dxfId="527" priority="16" operator="lessThan">
      <formula>AC$94</formula>
    </cfRule>
  </conditionalFormatting>
  <conditionalFormatting sqref="AC105:AE120">
    <cfRule type="cellIs" dxfId="526" priority="24" operator="lessThan">
      <formula>AC$128</formula>
    </cfRule>
    <cfRule type="cellIs" dxfId="525" priority="25" operator="greaterThan">
      <formula>AC$127</formula>
    </cfRule>
  </conditionalFormatting>
  <conditionalFormatting sqref="AH3:AK18">
    <cfRule type="cellIs" dxfId="524" priority="22" operator="lessThan">
      <formula>AH$26</formula>
    </cfRule>
    <cfRule type="cellIs" dxfId="523" priority="23" operator="greaterThan">
      <formula>AH$25</formula>
    </cfRule>
  </conditionalFormatting>
  <conditionalFormatting sqref="AH37:AK52">
    <cfRule type="cellIs" dxfId="522" priority="1" operator="lessThan">
      <formula>AH$60</formula>
    </cfRule>
    <cfRule type="cellIs" dxfId="521" priority="2" operator="greaterThan">
      <formula>AH$59</formula>
    </cfRule>
  </conditionalFormatting>
  <conditionalFormatting sqref="AI71:AK86">
    <cfRule type="cellIs" dxfId="520" priority="15" operator="greaterThan">
      <formula>AI$93</formula>
    </cfRule>
    <cfRule type="cellIs" dxfId="519" priority="14" operator="lessThan">
      <formula>AI$94</formula>
    </cfRule>
  </conditionalFormatting>
  <conditionalFormatting sqref="AI105:AK120">
    <cfRule type="cellIs" dxfId="518" priority="19" operator="greaterThan">
      <formula>AI$127</formula>
    </cfRule>
    <cfRule type="cellIs" dxfId="517" priority="18" operator="lessThan">
      <formula>AI$128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19C1-E64C-47EC-9C98-534A47A34D97}">
  <sheetPr codeName="Sheet2"/>
  <dimension ref="A1:AK135"/>
  <sheetViews>
    <sheetView topLeftCell="R1" workbookViewId="0">
      <selection activeCell="AH7" sqref="AH7:AH10"/>
    </sheetView>
  </sheetViews>
  <sheetFormatPr defaultRowHeight="15" x14ac:dyDescent="0.25"/>
  <sheetData>
    <row r="1" spans="1:37" x14ac:dyDescent="0.25">
      <c r="A1" t="s">
        <v>0</v>
      </c>
      <c r="S1" s="4"/>
      <c r="U1" t="s">
        <v>0</v>
      </c>
    </row>
    <row r="2" spans="1:3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  <c r="R2" s="1"/>
      <c r="S2" s="4"/>
      <c r="U2" s="1" t="s">
        <v>29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30</v>
      </c>
      <c r="AB2" s="1" t="s">
        <v>1</v>
      </c>
      <c r="AC2" s="1" t="s">
        <v>2</v>
      </c>
      <c r="AD2" s="1" t="s">
        <v>3</v>
      </c>
      <c r="AE2" s="1" t="s">
        <v>4</v>
      </c>
      <c r="AG2" s="1" t="s">
        <v>31</v>
      </c>
      <c r="AH2" s="1" t="s">
        <v>1</v>
      </c>
      <c r="AI2" s="1" t="s">
        <v>2</v>
      </c>
      <c r="AJ2" s="1" t="s">
        <v>3</v>
      </c>
      <c r="AK2" s="1" t="s">
        <v>4</v>
      </c>
    </row>
    <row r="3" spans="1:37" x14ac:dyDescent="0.25">
      <c r="A3" t="s">
        <v>5</v>
      </c>
      <c r="B3">
        <v>231.19077181763299</v>
      </c>
      <c r="C3">
        <v>108.13761907599</v>
      </c>
      <c r="D3">
        <v>141.69756982371001</v>
      </c>
      <c r="E3">
        <v>218.76116042958799</v>
      </c>
      <c r="G3" t="s">
        <v>5</v>
      </c>
      <c r="H3">
        <v>220.004121568393</v>
      </c>
      <c r="I3">
        <v>293.33882875785702</v>
      </c>
      <c r="J3">
        <v>265.993683704158</v>
      </c>
      <c r="K3">
        <v>208.81747131915199</v>
      </c>
      <c r="M3" t="s">
        <v>5</v>
      </c>
      <c r="N3">
        <v>206.33154904154301</v>
      </c>
      <c r="O3">
        <v>315.71212925633699</v>
      </c>
      <c r="P3">
        <v>309.49732356231499</v>
      </c>
      <c r="Q3">
        <v>74.5776683282687</v>
      </c>
      <c r="S3" s="4"/>
      <c r="U3" t="s">
        <v>5</v>
      </c>
      <c r="V3">
        <v>231.19077181763299</v>
      </c>
      <c r="W3">
        <v>108.13761907599</v>
      </c>
      <c r="X3">
        <v>141.69756982371001</v>
      </c>
      <c r="Y3">
        <v>218.76116042958799</v>
      </c>
      <c r="AA3" t="s">
        <v>5</v>
      </c>
      <c r="AB3">
        <v>220.004121568393</v>
      </c>
      <c r="AC3">
        <v>293.33882875785702</v>
      </c>
      <c r="AD3">
        <v>265.993683704158</v>
      </c>
      <c r="AE3">
        <v>208.81747131915199</v>
      </c>
      <c r="AG3" t="s">
        <v>5</v>
      </c>
      <c r="AH3">
        <v>206.33154904154301</v>
      </c>
      <c r="AI3">
        <v>315.71212925633699</v>
      </c>
      <c r="AJ3">
        <v>309.49732356231499</v>
      </c>
      <c r="AK3">
        <v>74.5776683282687</v>
      </c>
    </row>
    <row r="4" spans="1:37" x14ac:dyDescent="0.25">
      <c r="A4" t="s">
        <v>7</v>
      </c>
      <c r="B4">
        <v>177.74344284904001</v>
      </c>
      <c r="C4">
        <v>186.44417082067201</v>
      </c>
      <c r="D4">
        <v>186.44417082067201</v>
      </c>
      <c r="G4" t="s">
        <v>7</v>
      </c>
      <c r="H4">
        <v>218.76116042958799</v>
      </c>
      <c r="I4">
        <v>275.93737281459403</v>
      </c>
      <c r="J4">
        <v>232.43373295643701</v>
      </c>
      <c r="K4">
        <v>300.79659559068398</v>
      </c>
      <c r="M4" t="s">
        <v>7</v>
      </c>
      <c r="N4">
        <v>247.34926662209099</v>
      </c>
      <c r="O4">
        <v>231.19077181763299</v>
      </c>
      <c r="P4">
        <v>316.95509039514201</v>
      </c>
      <c r="Q4">
        <v>239.891499789264</v>
      </c>
      <c r="S4" s="4"/>
      <c r="U4" t="s">
        <v>7</v>
      </c>
      <c r="V4">
        <v>177.74344284904001</v>
      </c>
      <c r="W4">
        <v>186.44417082067201</v>
      </c>
      <c r="X4">
        <v>186.44417082067201</v>
      </c>
      <c r="AA4" t="s">
        <v>7</v>
      </c>
      <c r="AB4">
        <v>218.76116042958799</v>
      </c>
      <c r="AC4">
        <v>275.93737281459403</v>
      </c>
      <c r="AD4">
        <v>232.43373295643701</v>
      </c>
      <c r="AE4">
        <v>300.79659559068398</v>
      </c>
      <c r="AG4" t="s">
        <v>7</v>
      </c>
      <c r="AH4">
        <v>247.34926662209099</v>
      </c>
      <c r="AI4">
        <v>231.19077181763299</v>
      </c>
      <c r="AJ4">
        <v>316.95509039514201</v>
      </c>
      <c r="AK4">
        <v>239.891499789264</v>
      </c>
    </row>
    <row r="5" spans="1:37" x14ac:dyDescent="0.25">
      <c r="A5" t="s">
        <v>8</v>
      </c>
      <c r="B5">
        <v>293.33882875785702</v>
      </c>
      <c r="C5">
        <v>233.676694095242</v>
      </c>
      <c r="D5">
        <v>141.69756982371001</v>
      </c>
      <c r="E5">
        <v>154.12718121175499</v>
      </c>
      <c r="G5" t="s">
        <v>8</v>
      </c>
      <c r="H5">
        <v>298.31067331307497</v>
      </c>
      <c r="I5">
        <v>208.81747131915199</v>
      </c>
      <c r="J5">
        <v>213.78931587437</v>
      </c>
      <c r="K5">
        <v>201.359704486325</v>
      </c>
      <c r="M5" t="s">
        <v>8</v>
      </c>
      <c r="N5">
        <v>365.43057480851598</v>
      </c>
      <c r="O5">
        <v>241.13446092806899</v>
      </c>
      <c r="P5">
        <v>144.18349210131899</v>
      </c>
      <c r="Q5">
        <v>264.75072256535401</v>
      </c>
      <c r="S5" s="4"/>
      <c r="U5" t="s">
        <v>8</v>
      </c>
      <c r="V5">
        <v>293.33882875785702</v>
      </c>
      <c r="W5">
        <v>233.676694095242</v>
      </c>
      <c r="X5">
        <v>141.69756982371001</v>
      </c>
      <c r="Y5">
        <v>154.12718121175499</v>
      </c>
      <c r="AA5" t="s">
        <v>8</v>
      </c>
      <c r="AB5">
        <v>298.31067331307497</v>
      </c>
      <c r="AC5">
        <v>208.81747131915199</v>
      </c>
      <c r="AD5">
        <v>213.78931587437</v>
      </c>
      <c r="AE5">
        <v>201.359704486325</v>
      </c>
      <c r="AG5" t="s">
        <v>8</v>
      </c>
      <c r="AH5">
        <v>365.43057480851598</v>
      </c>
      <c r="AI5">
        <v>241.13446092806899</v>
      </c>
      <c r="AJ5">
        <v>144.18349210131899</v>
      </c>
      <c r="AK5">
        <v>264.75072256535401</v>
      </c>
    </row>
    <row r="6" spans="1:37" x14ac:dyDescent="0.25">
      <c r="A6" t="s">
        <v>9</v>
      </c>
      <c r="B6">
        <v>170.28567601621299</v>
      </c>
      <c r="C6">
        <v>303.28251786829298</v>
      </c>
      <c r="D6">
        <v>207.574510180348</v>
      </c>
      <c r="E6">
        <v>83.278396299899995</v>
      </c>
      <c r="G6" t="s">
        <v>9</v>
      </c>
      <c r="H6">
        <v>320.68397381155501</v>
      </c>
      <c r="I6">
        <v>269.72256712057202</v>
      </c>
      <c r="J6">
        <v>259.778878010136</v>
      </c>
      <c r="K6">
        <v>299.55363445187902</v>
      </c>
      <c r="M6" t="s">
        <v>9</v>
      </c>
      <c r="N6">
        <v>416.39198149949999</v>
      </c>
      <c r="O6">
        <v>218.76116042958799</v>
      </c>
      <c r="P6">
        <v>129.267958435666</v>
      </c>
      <c r="Q6">
        <v>213.78931587437</v>
      </c>
      <c r="S6" s="4"/>
      <c r="U6" t="s">
        <v>9</v>
      </c>
      <c r="V6">
        <v>170.28567601621299</v>
      </c>
      <c r="W6">
        <v>303.28251786829298</v>
      </c>
      <c r="X6">
        <v>207.574510180348</v>
      </c>
      <c r="Y6">
        <v>83.278396299899995</v>
      </c>
      <c r="AA6" t="s">
        <v>9</v>
      </c>
      <c r="AB6">
        <v>320.68397381155501</v>
      </c>
      <c r="AC6">
        <v>269.72256712057202</v>
      </c>
      <c r="AD6">
        <v>259.778878010136</v>
      </c>
      <c r="AE6">
        <v>299.55363445187902</v>
      </c>
      <c r="AG6" t="s">
        <v>9</v>
      </c>
      <c r="AH6">
        <v>416.39198149949999</v>
      </c>
      <c r="AI6">
        <v>218.76116042958799</v>
      </c>
      <c r="AJ6">
        <v>129.267958435666</v>
      </c>
      <c r="AK6">
        <v>213.78931587437</v>
      </c>
    </row>
    <row r="7" spans="1:37" x14ac:dyDescent="0.25">
      <c r="A7" t="s">
        <v>10</v>
      </c>
      <c r="B7">
        <v>130.51091957446999</v>
      </c>
      <c r="C7">
        <v>182.71528740425799</v>
      </c>
      <c r="D7" t="s">
        <v>6</v>
      </c>
      <c r="E7" t="s">
        <v>6</v>
      </c>
      <c r="G7" t="s">
        <v>10</v>
      </c>
      <c r="H7">
        <v>361.70169139210299</v>
      </c>
      <c r="I7">
        <v>205.08858790273899</v>
      </c>
      <c r="J7">
        <v>162.82790918338699</v>
      </c>
      <c r="K7">
        <v>162.82790918338699</v>
      </c>
      <c r="M7" t="s">
        <v>10</v>
      </c>
      <c r="N7">
        <v>228.70484954002399</v>
      </c>
      <c r="O7">
        <v>297.06771217427001</v>
      </c>
      <c r="P7">
        <v>93.222085410335794</v>
      </c>
      <c r="Q7">
        <v>431.30751516515397</v>
      </c>
      <c r="S7" s="4"/>
      <c r="U7" t="s">
        <v>10</v>
      </c>
      <c r="V7">
        <v>130.51091957446999</v>
      </c>
      <c r="W7">
        <v>182.71528740425799</v>
      </c>
      <c r="X7" t="s">
        <v>6</v>
      </c>
      <c r="Y7" t="s">
        <v>6</v>
      </c>
      <c r="AA7" t="s">
        <v>10</v>
      </c>
      <c r="AB7">
        <v>361.70169139210299</v>
      </c>
      <c r="AC7">
        <v>205.08858790273899</v>
      </c>
      <c r="AD7">
        <v>162.82790918338699</v>
      </c>
      <c r="AE7">
        <v>162.82790918338699</v>
      </c>
      <c r="AG7" t="s">
        <v>10</v>
      </c>
      <c r="AH7">
        <v>228.70484954002399</v>
      </c>
      <c r="AI7">
        <v>297.06771217427001</v>
      </c>
      <c r="AJ7">
        <v>93.222085410335794</v>
      </c>
      <c r="AK7">
        <v>431.30751516515397</v>
      </c>
    </row>
    <row r="8" spans="1:37" x14ac:dyDescent="0.25">
      <c r="A8" t="s">
        <v>11</v>
      </c>
      <c r="B8">
        <v>182.71528740425799</v>
      </c>
      <c r="C8">
        <v>169.042714877409</v>
      </c>
      <c r="D8">
        <v>389.046836445802</v>
      </c>
      <c r="E8" t="s">
        <v>6</v>
      </c>
      <c r="G8" t="s">
        <v>11</v>
      </c>
      <c r="H8">
        <v>165.313831460996</v>
      </c>
      <c r="I8">
        <v>151.64125893414601</v>
      </c>
      <c r="J8">
        <v>164.07087032219101</v>
      </c>
      <c r="K8">
        <v>130.51091957446999</v>
      </c>
      <c r="M8" t="s">
        <v>11</v>
      </c>
      <c r="N8">
        <v>195.144898792303</v>
      </c>
      <c r="O8">
        <v>185.201209681867</v>
      </c>
      <c r="P8">
        <v>348.02911886525402</v>
      </c>
      <c r="Q8">
        <v>150.39829779534199</v>
      </c>
      <c r="S8" s="4"/>
      <c r="U8" t="s">
        <v>11</v>
      </c>
      <c r="V8">
        <v>182.71528740425799</v>
      </c>
      <c r="W8">
        <v>169.042714877409</v>
      </c>
      <c r="X8">
        <v>389.046836445802</v>
      </c>
      <c r="Y8" t="s">
        <v>6</v>
      </c>
      <c r="AA8" t="s">
        <v>11</v>
      </c>
      <c r="AB8">
        <v>165.313831460996</v>
      </c>
      <c r="AC8">
        <v>151.64125893414601</v>
      </c>
      <c r="AD8">
        <v>164.07087032219101</v>
      </c>
      <c r="AE8">
        <v>130.51091957446999</v>
      </c>
      <c r="AG8" t="s">
        <v>11</v>
      </c>
      <c r="AH8">
        <v>195.144898792303</v>
      </c>
      <c r="AI8">
        <v>185.201209681867</v>
      </c>
      <c r="AJ8">
        <v>348.02911886525402</v>
      </c>
      <c r="AK8">
        <v>150.39829779534199</v>
      </c>
    </row>
    <row r="9" spans="1:37" x14ac:dyDescent="0.25">
      <c r="A9" t="s">
        <v>12</v>
      </c>
      <c r="B9">
        <v>109.38058021479399</v>
      </c>
      <c r="C9">
        <v>123.053152741643</v>
      </c>
      <c r="D9" t="s">
        <v>6</v>
      </c>
      <c r="E9">
        <v>69.605823773050801</v>
      </c>
      <c r="G9" t="s">
        <v>12</v>
      </c>
      <c r="H9">
        <v>182.71528740425799</v>
      </c>
      <c r="I9">
        <v>229.94781067882801</v>
      </c>
      <c r="J9">
        <v>247.34926662209099</v>
      </c>
      <c r="K9">
        <v>300.79659559068398</v>
      </c>
      <c r="M9" t="s">
        <v>12</v>
      </c>
      <c r="N9">
        <v>181.472326265454</v>
      </c>
      <c r="O9">
        <v>198.87378220871599</v>
      </c>
      <c r="P9">
        <v>259.778878010136</v>
      </c>
      <c r="Q9">
        <v>191.41601537589</v>
      </c>
      <c r="S9" s="4"/>
      <c r="U9" t="s">
        <v>12</v>
      </c>
      <c r="V9">
        <v>109.38058021479399</v>
      </c>
      <c r="W9">
        <v>123.053152741643</v>
      </c>
      <c r="X9" t="s">
        <v>6</v>
      </c>
      <c r="Y9">
        <v>69.605823773050801</v>
      </c>
      <c r="AA9" t="s">
        <v>12</v>
      </c>
      <c r="AB9">
        <v>182.71528740425799</v>
      </c>
      <c r="AC9">
        <v>229.94781067882801</v>
      </c>
      <c r="AD9">
        <v>247.34926662209099</v>
      </c>
      <c r="AE9">
        <v>300.79659559068398</v>
      </c>
      <c r="AG9" t="s">
        <v>12</v>
      </c>
      <c r="AH9">
        <v>181.472326265454</v>
      </c>
      <c r="AI9">
        <v>198.87378220871599</v>
      </c>
      <c r="AJ9">
        <v>259.778878010136</v>
      </c>
      <c r="AK9">
        <v>191.41601537589</v>
      </c>
    </row>
    <row r="10" spans="1:37" x14ac:dyDescent="0.25">
      <c r="A10" t="s">
        <v>13</v>
      </c>
      <c r="B10">
        <v>47.232523274570198</v>
      </c>
      <c r="C10">
        <v>89.493201993922398</v>
      </c>
      <c r="D10">
        <v>85.764318577509002</v>
      </c>
      <c r="E10">
        <v>83.278396299899995</v>
      </c>
      <c r="G10" t="s">
        <v>13</v>
      </c>
      <c r="H10">
        <v>141.69756982371001</v>
      </c>
      <c r="I10">
        <v>200.11674334752101</v>
      </c>
      <c r="J10">
        <v>221.24708270719699</v>
      </c>
      <c r="K10">
        <v>191.41601537589</v>
      </c>
      <c r="M10" t="s">
        <v>13</v>
      </c>
      <c r="N10">
        <v>224.97596612361099</v>
      </c>
      <c r="O10">
        <v>364.18761366971199</v>
      </c>
      <c r="P10">
        <v>224.97596612361099</v>
      </c>
      <c r="Q10">
        <v>249.8351888997</v>
      </c>
      <c r="S10" s="4"/>
      <c r="U10" t="s">
        <v>13</v>
      </c>
      <c r="V10">
        <v>47.232523274570198</v>
      </c>
      <c r="W10">
        <v>89.493201993922398</v>
      </c>
      <c r="X10">
        <v>85.764318577509002</v>
      </c>
      <c r="Y10">
        <v>83.278396299899995</v>
      </c>
      <c r="AA10" t="s">
        <v>13</v>
      </c>
      <c r="AB10">
        <v>141.69756982371001</v>
      </c>
      <c r="AC10">
        <v>200.11674334752101</v>
      </c>
      <c r="AD10">
        <v>221.24708270719699</v>
      </c>
      <c r="AE10">
        <v>191.41601537589</v>
      </c>
      <c r="AG10" t="s">
        <v>13</v>
      </c>
      <c r="AH10">
        <v>224.97596612361099</v>
      </c>
      <c r="AI10">
        <v>364.18761366971199</v>
      </c>
      <c r="AJ10">
        <v>224.97596612361099</v>
      </c>
      <c r="AK10">
        <v>249.8351888997</v>
      </c>
    </row>
    <row r="11" spans="1:37" x14ac:dyDescent="0.25">
      <c r="A11" t="s">
        <v>5</v>
      </c>
      <c r="G11" t="s">
        <v>5</v>
      </c>
      <c r="M11" t="s">
        <v>5</v>
      </c>
      <c r="S11" s="4"/>
      <c r="U11" t="s">
        <v>5</v>
      </c>
      <c r="AA11" t="s">
        <v>5</v>
      </c>
      <c r="AG11" t="s">
        <v>5</v>
      </c>
    </row>
    <row r="12" spans="1:37" x14ac:dyDescent="0.25">
      <c r="A12" t="s">
        <v>7</v>
      </c>
      <c r="G12" t="s">
        <v>7</v>
      </c>
      <c r="M12" t="s">
        <v>7</v>
      </c>
      <c r="S12" s="4"/>
      <c r="U12" t="s">
        <v>7</v>
      </c>
      <c r="AA12" t="s">
        <v>7</v>
      </c>
      <c r="AG12" t="s">
        <v>7</v>
      </c>
    </row>
    <row r="13" spans="1:37" x14ac:dyDescent="0.25">
      <c r="A13" t="s">
        <v>8</v>
      </c>
      <c r="G13" t="s">
        <v>8</v>
      </c>
      <c r="M13" t="s">
        <v>8</v>
      </c>
      <c r="S13" s="4"/>
      <c r="U13" t="s">
        <v>8</v>
      </c>
      <c r="AA13" t="s">
        <v>8</v>
      </c>
      <c r="AG13" t="s">
        <v>8</v>
      </c>
    </row>
    <row r="14" spans="1:37" x14ac:dyDescent="0.25">
      <c r="A14" t="s">
        <v>9</v>
      </c>
      <c r="G14" t="s">
        <v>9</v>
      </c>
      <c r="M14" t="s">
        <v>9</v>
      </c>
      <c r="S14" s="4"/>
      <c r="U14" t="s">
        <v>9</v>
      </c>
      <c r="AA14" t="s">
        <v>9</v>
      </c>
      <c r="AG14" t="s">
        <v>9</v>
      </c>
    </row>
    <row r="15" spans="1:37" x14ac:dyDescent="0.25">
      <c r="A15" t="s">
        <v>10</v>
      </c>
      <c r="G15" t="s">
        <v>10</v>
      </c>
      <c r="M15" t="s">
        <v>10</v>
      </c>
      <c r="S15" s="4"/>
      <c r="U15" t="s">
        <v>10</v>
      </c>
      <c r="AA15" t="s">
        <v>10</v>
      </c>
      <c r="AG15" t="s">
        <v>10</v>
      </c>
    </row>
    <row r="16" spans="1:37" x14ac:dyDescent="0.25">
      <c r="A16" t="s">
        <v>11</v>
      </c>
      <c r="G16" t="s">
        <v>11</v>
      </c>
      <c r="M16" t="s">
        <v>11</v>
      </c>
      <c r="S16" s="4"/>
      <c r="U16" t="s">
        <v>11</v>
      </c>
      <c r="AA16" t="s">
        <v>11</v>
      </c>
      <c r="AG16" t="s">
        <v>11</v>
      </c>
    </row>
    <row r="17" spans="1:37" x14ac:dyDescent="0.25">
      <c r="A17" t="s">
        <v>12</v>
      </c>
      <c r="G17" t="s">
        <v>12</v>
      </c>
      <c r="M17" t="s">
        <v>12</v>
      </c>
      <c r="S17" s="4"/>
      <c r="U17" t="s">
        <v>12</v>
      </c>
      <c r="AA17" t="s">
        <v>12</v>
      </c>
      <c r="AG17" t="s">
        <v>12</v>
      </c>
    </row>
    <row r="18" spans="1:37" x14ac:dyDescent="0.25">
      <c r="A18" t="s">
        <v>13</v>
      </c>
      <c r="G18" t="s">
        <v>13</v>
      </c>
      <c r="M18" t="s">
        <v>13</v>
      </c>
      <c r="S18" s="4"/>
      <c r="U18" t="s">
        <v>13</v>
      </c>
      <c r="AA18" t="s">
        <v>13</v>
      </c>
      <c r="AG18" t="s">
        <v>13</v>
      </c>
    </row>
    <row r="19" spans="1:3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  <c r="S19" s="4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</row>
    <row r="20" spans="1:37" x14ac:dyDescent="0.25">
      <c r="A20" t="s">
        <v>14</v>
      </c>
      <c r="B20">
        <f>COUNT(B3:B18)</f>
        <v>8</v>
      </c>
      <c r="C20">
        <f t="shared" ref="C20:E20" si="0">COUNT(C3:C18)</f>
        <v>8</v>
      </c>
      <c r="D20">
        <f t="shared" si="0"/>
        <v>6</v>
      </c>
      <c r="E20">
        <f t="shared" si="0"/>
        <v>5</v>
      </c>
      <c r="G20" t="s">
        <v>14</v>
      </c>
      <c r="H20">
        <f>COUNT(H3:H18)</f>
        <v>8</v>
      </c>
      <c r="I20">
        <f t="shared" ref="I20:K20" si="1">COUNT(I3:I18)</f>
        <v>8</v>
      </c>
      <c r="J20">
        <f t="shared" si="1"/>
        <v>8</v>
      </c>
      <c r="K20">
        <f t="shared" si="1"/>
        <v>8</v>
      </c>
      <c r="M20" t="s">
        <v>14</v>
      </c>
      <c r="N20">
        <f>COUNT(N3:N18)</f>
        <v>8</v>
      </c>
      <c r="O20">
        <f t="shared" ref="O20:Q20" si="2">COUNT(O3:O18)</f>
        <v>8</v>
      </c>
      <c r="P20">
        <f t="shared" si="2"/>
        <v>8</v>
      </c>
      <c r="Q20">
        <f t="shared" si="2"/>
        <v>8</v>
      </c>
      <c r="S20" s="4"/>
      <c r="U20" t="s">
        <v>14</v>
      </c>
      <c r="V20">
        <f>COUNT(V3:V18)</f>
        <v>8</v>
      </c>
      <c r="W20">
        <f t="shared" ref="W20:Y20" si="3">COUNT(W3:W18)</f>
        <v>8</v>
      </c>
      <c r="X20">
        <f t="shared" si="3"/>
        <v>6</v>
      </c>
      <c r="Y20">
        <f t="shared" si="3"/>
        <v>5</v>
      </c>
      <c r="AA20" t="s">
        <v>14</v>
      </c>
      <c r="AB20">
        <f>COUNT(AB3:AB18)</f>
        <v>8</v>
      </c>
      <c r="AC20">
        <f t="shared" ref="AC20:AE20" si="4">COUNT(AC3:AC18)</f>
        <v>8</v>
      </c>
      <c r="AD20">
        <f t="shared" si="4"/>
        <v>8</v>
      </c>
      <c r="AE20">
        <f t="shared" si="4"/>
        <v>8</v>
      </c>
      <c r="AG20" t="s">
        <v>14</v>
      </c>
      <c r="AH20">
        <f>COUNT(AH3:AH18)</f>
        <v>8</v>
      </c>
      <c r="AI20">
        <f t="shared" ref="AI20:AK20" si="5">COUNT(AI3:AI18)</f>
        <v>8</v>
      </c>
      <c r="AJ20">
        <f t="shared" si="5"/>
        <v>8</v>
      </c>
      <c r="AK20">
        <f t="shared" si="5"/>
        <v>8</v>
      </c>
    </row>
    <row r="21" spans="1:37" x14ac:dyDescent="0.25">
      <c r="A21" t="s">
        <v>15</v>
      </c>
      <c r="B21">
        <f>MAX(B3:B18)</f>
        <v>293.33882875785702</v>
      </c>
      <c r="C21">
        <f t="shared" ref="C21:E21" si="6">MAX(C3:C18)</f>
        <v>303.28251786829298</v>
      </c>
      <c r="D21">
        <f t="shared" si="6"/>
        <v>389.046836445802</v>
      </c>
      <c r="E21">
        <f t="shared" si="6"/>
        <v>218.76116042958799</v>
      </c>
      <c r="G21" t="s">
        <v>15</v>
      </c>
      <c r="H21">
        <f>MAX(H3:H18)</f>
        <v>361.70169139210299</v>
      </c>
      <c r="I21">
        <f t="shared" ref="I21:K21" si="7">MAX(I3:I18)</f>
        <v>293.33882875785702</v>
      </c>
      <c r="J21">
        <f t="shared" si="7"/>
        <v>265.993683704158</v>
      </c>
      <c r="K21">
        <f t="shared" si="7"/>
        <v>300.79659559068398</v>
      </c>
      <c r="M21" t="s">
        <v>15</v>
      </c>
      <c r="N21">
        <f>MAX(N3:N18)</f>
        <v>416.39198149949999</v>
      </c>
      <c r="O21">
        <f t="shared" ref="O21:Q21" si="8">MAX(O3:O18)</f>
        <v>364.18761366971199</v>
      </c>
      <c r="P21">
        <f t="shared" si="8"/>
        <v>348.02911886525402</v>
      </c>
      <c r="Q21">
        <f t="shared" si="8"/>
        <v>431.30751516515397</v>
      </c>
      <c r="S21" s="4"/>
      <c r="U21" t="s">
        <v>15</v>
      </c>
      <c r="V21">
        <f>MAX(V3:V18)</f>
        <v>293.33882875785702</v>
      </c>
      <c r="W21">
        <f t="shared" ref="W21:Y21" si="9">MAX(W3:W18)</f>
        <v>303.28251786829298</v>
      </c>
      <c r="X21">
        <f t="shared" si="9"/>
        <v>389.046836445802</v>
      </c>
      <c r="Y21">
        <f t="shared" si="9"/>
        <v>218.76116042958799</v>
      </c>
      <c r="AA21" t="s">
        <v>15</v>
      </c>
      <c r="AB21">
        <f>MAX(AB3:AB18)</f>
        <v>361.70169139210299</v>
      </c>
      <c r="AC21">
        <f t="shared" ref="AC21:AE21" si="10">MAX(AC3:AC18)</f>
        <v>293.33882875785702</v>
      </c>
      <c r="AD21">
        <f t="shared" si="10"/>
        <v>265.993683704158</v>
      </c>
      <c r="AE21">
        <f t="shared" si="10"/>
        <v>300.79659559068398</v>
      </c>
      <c r="AG21" t="s">
        <v>15</v>
      </c>
      <c r="AH21">
        <f>MAX(AH3:AH18)</f>
        <v>416.39198149949999</v>
      </c>
      <c r="AI21">
        <f t="shared" ref="AI21:AK21" si="11">MAX(AI3:AI18)</f>
        <v>364.18761366971199</v>
      </c>
      <c r="AJ21">
        <f t="shared" si="11"/>
        <v>348.02911886525402</v>
      </c>
      <c r="AK21">
        <f t="shared" si="11"/>
        <v>431.30751516515397</v>
      </c>
    </row>
    <row r="22" spans="1:37" x14ac:dyDescent="0.25">
      <c r="A22" t="s">
        <v>16</v>
      </c>
      <c r="B22">
        <f>MIN(B3:B18)</f>
        <v>47.232523274570198</v>
      </c>
      <c r="C22">
        <f t="shared" ref="C22:E22" si="12">MIN(C3:C18)</f>
        <v>89.493201993922398</v>
      </c>
      <c r="D22">
        <f t="shared" si="12"/>
        <v>85.764318577509002</v>
      </c>
      <c r="E22">
        <f t="shared" si="12"/>
        <v>69.605823773050801</v>
      </c>
      <c r="G22" t="s">
        <v>16</v>
      </c>
      <c r="H22">
        <f>MIN(H3:H18)</f>
        <v>141.69756982371001</v>
      </c>
      <c r="I22">
        <f t="shared" ref="I22:K22" si="13">MIN(I3:I18)</f>
        <v>151.64125893414601</v>
      </c>
      <c r="J22">
        <f t="shared" si="13"/>
        <v>162.82790918338699</v>
      </c>
      <c r="K22">
        <f t="shared" si="13"/>
        <v>130.51091957446999</v>
      </c>
      <c r="M22" t="s">
        <v>16</v>
      </c>
      <c r="N22">
        <f>MIN(N3:N18)</f>
        <v>181.472326265454</v>
      </c>
      <c r="O22">
        <f t="shared" ref="O22:Q22" si="14">MIN(O3:O18)</f>
        <v>185.201209681867</v>
      </c>
      <c r="P22">
        <f t="shared" si="14"/>
        <v>93.222085410335794</v>
      </c>
      <c r="Q22">
        <f t="shared" si="14"/>
        <v>74.5776683282687</v>
      </c>
      <c r="S22" s="4"/>
      <c r="U22" t="s">
        <v>16</v>
      </c>
      <c r="V22">
        <f>MIN(V3:V18)</f>
        <v>47.232523274570198</v>
      </c>
      <c r="W22">
        <f t="shared" ref="W22:Y22" si="15">MIN(W3:W18)</f>
        <v>89.493201993922398</v>
      </c>
      <c r="X22">
        <f t="shared" si="15"/>
        <v>85.764318577509002</v>
      </c>
      <c r="Y22">
        <f t="shared" si="15"/>
        <v>69.605823773050801</v>
      </c>
      <c r="AA22" t="s">
        <v>16</v>
      </c>
      <c r="AB22">
        <f>MIN(AB3:AB18)</f>
        <v>141.69756982371001</v>
      </c>
      <c r="AC22">
        <f t="shared" ref="AC22:AE22" si="16">MIN(AC3:AC18)</f>
        <v>151.64125893414601</v>
      </c>
      <c r="AD22">
        <f t="shared" si="16"/>
        <v>162.82790918338699</v>
      </c>
      <c r="AE22">
        <f t="shared" si="16"/>
        <v>130.51091957446999</v>
      </c>
      <c r="AG22" t="s">
        <v>16</v>
      </c>
      <c r="AH22">
        <f>MIN(AH3:AH18)</f>
        <v>181.472326265454</v>
      </c>
      <c r="AI22">
        <f t="shared" ref="AI22:AK22" si="17">MIN(AI3:AI18)</f>
        <v>185.201209681867</v>
      </c>
      <c r="AJ22">
        <f t="shared" si="17"/>
        <v>93.222085410335794</v>
      </c>
      <c r="AK22">
        <f t="shared" si="17"/>
        <v>74.5776683282687</v>
      </c>
    </row>
    <row r="23" spans="1:37" x14ac:dyDescent="0.25">
      <c r="A23" t="s">
        <v>17</v>
      </c>
      <c r="B23">
        <f>AVERAGE(B3:B18)</f>
        <v>167.79975373860441</v>
      </c>
      <c r="C23">
        <f t="shared" ref="C23:E23" si="18">AVERAGE(C3:C18)</f>
        <v>174.4806698596787</v>
      </c>
      <c r="D23">
        <f t="shared" si="18"/>
        <v>192.03749594529179</v>
      </c>
      <c r="E23">
        <f t="shared" si="18"/>
        <v>121.81019160283877</v>
      </c>
      <c r="G23" t="s">
        <v>17</v>
      </c>
      <c r="H23">
        <f>AVERAGE(H3:H18)</f>
        <v>238.64853865045976</v>
      </c>
      <c r="I23">
        <f t="shared" ref="I23:K23" si="19">AVERAGE(I3:I18)</f>
        <v>229.32633010942612</v>
      </c>
      <c r="J23">
        <f t="shared" si="19"/>
        <v>220.93634242249587</v>
      </c>
      <c r="K23">
        <f t="shared" si="19"/>
        <v>224.50985569655884</v>
      </c>
      <c r="M23" t="s">
        <v>17</v>
      </c>
      <c r="N23">
        <f>AVERAGE(N3:N18)</f>
        <v>258.22517658663025</v>
      </c>
      <c r="O23">
        <f t="shared" ref="O23:Q23" si="20">AVERAGE(O3:O18)</f>
        <v>256.51610502077398</v>
      </c>
      <c r="P23">
        <f t="shared" si="20"/>
        <v>228.23873911297233</v>
      </c>
      <c r="Q23">
        <f t="shared" si="20"/>
        <v>226.99577797416782</v>
      </c>
      <c r="S23" s="4"/>
      <c r="U23" t="s">
        <v>17</v>
      </c>
      <c r="V23">
        <f>AVERAGE(V3:V18)</f>
        <v>167.79975373860441</v>
      </c>
      <c r="W23">
        <f t="shared" ref="W23:Y23" si="21">AVERAGE(W3:W18)</f>
        <v>174.4806698596787</v>
      </c>
      <c r="X23">
        <f t="shared" si="21"/>
        <v>192.03749594529179</v>
      </c>
      <c r="Y23">
        <f t="shared" si="21"/>
        <v>121.81019160283877</v>
      </c>
      <c r="AA23" t="s">
        <v>17</v>
      </c>
      <c r="AB23">
        <f>AVERAGE(AB3:AB18)</f>
        <v>238.64853865045976</v>
      </c>
      <c r="AC23">
        <f t="shared" ref="AC23:AE23" si="22">AVERAGE(AC3:AC18)</f>
        <v>229.32633010942612</v>
      </c>
      <c r="AD23">
        <f t="shared" si="22"/>
        <v>220.93634242249587</v>
      </c>
      <c r="AE23">
        <f t="shared" si="22"/>
        <v>224.50985569655884</v>
      </c>
      <c r="AG23" t="s">
        <v>17</v>
      </c>
      <c r="AH23">
        <f>AVERAGE(AH3:AH18)</f>
        <v>258.22517658663025</v>
      </c>
      <c r="AI23">
        <f t="shared" ref="AI23:AK23" si="23">AVERAGE(AI3:AI18)</f>
        <v>256.51610502077398</v>
      </c>
      <c r="AJ23">
        <f t="shared" si="23"/>
        <v>228.23873911297233</v>
      </c>
      <c r="AK23">
        <f t="shared" si="23"/>
        <v>226.99577797416782</v>
      </c>
    </row>
    <row r="24" spans="1:37" x14ac:dyDescent="0.25">
      <c r="A24" t="s">
        <v>18</v>
      </c>
      <c r="B24">
        <f>STDEV(B3:B18)</f>
        <v>75.067326435583098</v>
      </c>
      <c r="C24">
        <f t="shared" ref="C24:E24" si="24">STDEV(C3:C18)</f>
        <v>70.309164785574822</v>
      </c>
      <c r="D24">
        <f t="shared" si="24"/>
        <v>105.3067603655463</v>
      </c>
      <c r="E24">
        <f t="shared" si="24"/>
        <v>63.518841088434215</v>
      </c>
      <c r="G24" t="s">
        <v>18</v>
      </c>
      <c r="H24">
        <f>STDEV(H3:H18)</f>
        <v>79.355062548954123</v>
      </c>
      <c r="I24">
        <f t="shared" ref="I24:K24" si="25">STDEV(I3:I18)</f>
        <v>47.507417716310314</v>
      </c>
      <c r="J24">
        <f t="shared" si="25"/>
        <v>39.69560538255277</v>
      </c>
      <c r="K24">
        <f t="shared" si="25"/>
        <v>67.388794437988778</v>
      </c>
      <c r="M24" t="s">
        <v>18</v>
      </c>
      <c r="N24">
        <f>STDEV(N3:N18)</f>
        <v>85.496909523085748</v>
      </c>
      <c r="O24">
        <f t="shared" ref="O24:Q24" si="26">STDEV(O3:O18)</f>
        <v>62.625429450553995</v>
      </c>
      <c r="P24">
        <f t="shared" si="26"/>
        <v>96.302133500386546</v>
      </c>
      <c r="Q24">
        <f t="shared" si="26"/>
        <v>103.09180679178144</v>
      </c>
      <c r="S24" s="4"/>
      <c r="U24" t="s">
        <v>18</v>
      </c>
      <c r="V24">
        <f>STDEV(V3:V18)</f>
        <v>75.067326435583098</v>
      </c>
      <c r="W24">
        <f t="shared" ref="W24:Y24" si="27">STDEV(W3:W18)</f>
        <v>70.309164785574822</v>
      </c>
      <c r="X24">
        <f t="shared" si="27"/>
        <v>105.3067603655463</v>
      </c>
      <c r="Y24">
        <f t="shared" si="27"/>
        <v>63.518841088434215</v>
      </c>
      <c r="AA24" t="s">
        <v>18</v>
      </c>
      <c r="AB24">
        <f>STDEV(AB3:AB18)</f>
        <v>79.355062548954123</v>
      </c>
      <c r="AC24">
        <f t="shared" ref="AC24:AE24" si="28">STDEV(AC3:AC18)</f>
        <v>47.507417716310314</v>
      </c>
      <c r="AD24">
        <f t="shared" si="28"/>
        <v>39.69560538255277</v>
      </c>
      <c r="AE24">
        <f t="shared" si="28"/>
        <v>67.388794437988778</v>
      </c>
      <c r="AG24" t="s">
        <v>18</v>
      </c>
      <c r="AH24">
        <f>STDEV(AH3:AH18)</f>
        <v>85.496909523085748</v>
      </c>
      <c r="AI24">
        <f t="shared" ref="AI24:AK24" si="29">STDEV(AI3:AI18)</f>
        <v>62.625429450553995</v>
      </c>
      <c r="AJ24">
        <f t="shared" si="29"/>
        <v>96.302133500386546</v>
      </c>
      <c r="AK24">
        <f t="shared" si="29"/>
        <v>103.09180679178144</v>
      </c>
    </row>
    <row r="25" spans="1:37" x14ac:dyDescent="0.25">
      <c r="A25" t="s">
        <v>19</v>
      </c>
      <c r="B25">
        <f>B23+2*B24</f>
        <v>317.93440660977058</v>
      </c>
      <c r="C25">
        <f t="shared" ref="C25:E25" si="30">C23+2*C24</f>
        <v>315.09899943082837</v>
      </c>
      <c r="D25">
        <f t="shared" si="30"/>
        <v>402.65101667638442</v>
      </c>
      <c r="E25">
        <f t="shared" si="30"/>
        <v>248.84787377970719</v>
      </c>
      <c r="G25" t="s">
        <v>19</v>
      </c>
      <c r="H25">
        <f>H23+2*H24</f>
        <v>397.35866374836803</v>
      </c>
      <c r="I25">
        <f t="shared" ref="I25:K25" si="31">I23+2*I24</f>
        <v>324.34116554204672</v>
      </c>
      <c r="J25">
        <f t="shared" si="31"/>
        <v>300.32755318760144</v>
      </c>
      <c r="K25">
        <f t="shared" si="31"/>
        <v>359.2874445725364</v>
      </c>
      <c r="M25" t="s">
        <v>19</v>
      </c>
      <c r="N25">
        <f>N23+2*N24</f>
        <v>429.21899563280175</v>
      </c>
      <c r="O25">
        <f t="shared" ref="O25:Q25" si="32">O23+2*O24</f>
        <v>381.76696392188194</v>
      </c>
      <c r="P25">
        <f t="shared" si="32"/>
        <v>420.84300611374545</v>
      </c>
      <c r="Q25">
        <f t="shared" si="32"/>
        <v>433.1793915577307</v>
      </c>
      <c r="S25" s="4"/>
      <c r="U25" t="s">
        <v>19</v>
      </c>
      <c r="V25">
        <f>V23+2*V24</f>
        <v>317.93440660977058</v>
      </c>
      <c r="W25">
        <f t="shared" ref="W25:Y25" si="33">W23+2*W24</f>
        <v>315.09899943082837</v>
      </c>
      <c r="X25">
        <f t="shared" si="33"/>
        <v>402.65101667638442</v>
      </c>
      <c r="Y25">
        <f t="shared" si="33"/>
        <v>248.84787377970719</v>
      </c>
      <c r="AA25" t="s">
        <v>19</v>
      </c>
      <c r="AB25">
        <f>AB23+2*AB24</f>
        <v>397.35866374836803</v>
      </c>
      <c r="AC25">
        <f t="shared" ref="AC25:AE25" si="34">AC23+2*AC24</f>
        <v>324.34116554204672</v>
      </c>
      <c r="AD25">
        <f t="shared" si="34"/>
        <v>300.32755318760144</v>
      </c>
      <c r="AE25">
        <f t="shared" si="34"/>
        <v>359.2874445725364</v>
      </c>
      <c r="AG25" t="s">
        <v>19</v>
      </c>
      <c r="AH25">
        <f>AH23+2*AH24</f>
        <v>429.21899563280175</v>
      </c>
      <c r="AI25">
        <f t="shared" ref="AI25:AK25" si="35">AI23+2*AI24</f>
        <v>381.76696392188194</v>
      </c>
      <c r="AJ25">
        <f t="shared" si="35"/>
        <v>420.84300611374545</v>
      </c>
      <c r="AK25">
        <f t="shared" si="35"/>
        <v>433.1793915577307</v>
      </c>
    </row>
    <row r="26" spans="1:37" x14ac:dyDescent="0.25">
      <c r="A26" t="s">
        <v>20</v>
      </c>
      <c r="B26">
        <f>B23-2*B24</f>
        <v>17.665100867438213</v>
      </c>
      <c r="C26">
        <f t="shared" ref="C26:E26" si="36">C23-2*C24</f>
        <v>33.862340288529055</v>
      </c>
      <c r="D26">
        <f t="shared" si="36"/>
        <v>-18.576024785800797</v>
      </c>
      <c r="E26">
        <f t="shared" si="36"/>
        <v>-5.2274905740296589</v>
      </c>
      <c r="G26" t="s">
        <v>20</v>
      </c>
      <c r="H26">
        <f>H23-2*H24</f>
        <v>79.938413552551509</v>
      </c>
      <c r="I26">
        <f t="shared" ref="I26:K26" si="37">I23-2*I24</f>
        <v>134.31149467680549</v>
      </c>
      <c r="J26">
        <f t="shared" si="37"/>
        <v>141.54513165739033</v>
      </c>
      <c r="K26">
        <f t="shared" si="37"/>
        <v>89.732266820581287</v>
      </c>
      <c r="M26" t="s">
        <v>20</v>
      </c>
      <c r="N26">
        <f>N23-2*N24</f>
        <v>87.23135754045876</v>
      </c>
      <c r="O26">
        <f t="shared" ref="O26:Q26" si="38">O23-2*O24</f>
        <v>131.26524611966599</v>
      </c>
      <c r="P26">
        <f t="shared" si="38"/>
        <v>35.634472112199234</v>
      </c>
      <c r="Q26">
        <f t="shared" si="38"/>
        <v>20.812164390604948</v>
      </c>
      <c r="S26" s="4"/>
      <c r="U26" t="s">
        <v>20</v>
      </c>
      <c r="V26">
        <f>V23-2*V24</f>
        <v>17.665100867438213</v>
      </c>
      <c r="W26">
        <f t="shared" ref="W26:Y26" si="39">W23-2*W24</f>
        <v>33.862340288529055</v>
      </c>
      <c r="X26">
        <f t="shared" si="39"/>
        <v>-18.576024785800797</v>
      </c>
      <c r="Y26">
        <f t="shared" si="39"/>
        <v>-5.2274905740296589</v>
      </c>
      <c r="AA26" t="s">
        <v>20</v>
      </c>
      <c r="AB26">
        <f>AB23-2*AB24</f>
        <v>79.938413552551509</v>
      </c>
      <c r="AC26">
        <f t="shared" ref="AC26:AE26" si="40">AC23-2*AC24</f>
        <v>134.31149467680549</v>
      </c>
      <c r="AD26">
        <f t="shared" si="40"/>
        <v>141.54513165739033</v>
      </c>
      <c r="AE26">
        <f t="shared" si="40"/>
        <v>89.732266820581287</v>
      </c>
      <c r="AG26" t="s">
        <v>20</v>
      </c>
      <c r="AH26">
        <f>AH23-2*AH24</f>
        <v>87.23135754045876</v>
      </c>
      <c r="AI26">
        <f t="shared" ref="AI26:AK26" si="41">AI23-2*AI24</f>
        <v>131.26524611966599</v>
      </c>
      <c r="AJ26">
        <f t="shared" si="41"/>
        <v>35.634472112199234</v>
      </c>
      <c r="AK26">
        <f t="shared" si="41"/>
        <v>20.812164390604948</v>
      </c>
    </row>
    <row r="27" spans="1:37" x14ac:dyDescent="0.25">
      <c r="A27" t="s">
        <v>21</v>
      </c>
      <c r="B27">
        <f>VAR(B3:B18)</f>
        <v>5635.1034981863922</v>
      </c>
      <c r="C27">
        <f t="shared" ref="C27:E27" si="42">VAR(C3:C18)</f>
        <v>4943.3786528451146</v>
      </c>
      <c r="D27">
        <f t="shared" si="42"/>
        <v>11089.513778686593</v>
      </c>
      <c r="E27">
        <f t="shared" si="42"/>
        <v>4034.6431732177589</v>
      </c>
      <c r="G27" t="s">
        <v>21</v>
      </c>
      <c r="H27">
        <f>VAR(H3:H18)</f>
        <v>6297.2259521484211</v>
      </c>
      <c r="I27">
        <f t="shared" ref="I27:K27" si="43">VAR(I3:I18)</f>
        <v>2256.9547380719951</v>
      </c>
      <c r="J27">
        <f t="shared" si="43"/>
        <v>1575.7410866873522</v>
      </c>
      <c r="K27">
        <f t="shared" si="43"/>
        <v>4541.2496158055064</v>
      </c>
      <c r="M27" t="s">
        <v>21</v>
      </c>
      <c r="N27">
        <f>VAR(N3:N18)</f>
        <v>7309.721537998711</v>
      </c>
      <c r="O27">
        <f t="shared" ref="O27:Q27" si="44">VAR(O3:O18)</f>
        <v>3921.9444138663157</v>
      </c>
      <c r="P27">
        <f t="shared" si="44"/>
        <v>9274.1009167262728</v>
      </c>
      <c r="Q27">
        <f t="shared" si="44"/>
        <v>10627.920627593994</v>
      </c>
      <c r="S27" s="4"/>
      <c r="U27" t="s">
        <v>21</v>
      </c>
      <c r="V27">
        <f>VAR(V3:V18)</f>
        <v>5635.1034981863922</v>
      </c>
      <c r="W27">
        <f t="shared" ref="W27:Y27" si="45">VAR(W3:W18)</f>
        <v>4943.3786528451146</v>
      </c>
      <c r="X27">
        <f t="shared" si="45"/>
        <v>11089.513778686593</v>
      </c>
      <c r="Y27">
        <f t="shared" si="45"/>
        <v>4034.6431732177589</v>
      </c>
      <c r="AA27" t="s">
        <v>21</v>
      </c>
      <c r="AB27">
        <f>VAR(AB3:AB18)</f>
        <v>6297.2259521484211</v>
      </c>
      <c r="AC27">
        <f t="shared" ref="AC27:AE27" si="46">VAR(AC3:AC18)</f>
        <v>2256.9547380719951</v>
      </c>
      <c r="AD27">
        <f t="shared" si="46"/>
        <v>1575.7410866873522</v>
      </c>
      <c r="AE27">
        <f t="shared" si="46"/>
        <v>4541.2496158055064</v>
      </c>
      <c r="AG27" t="s">
        <v>21</v>
      </c>
      <c r="AH27">
        <f>VAR(AH3:AH18)</f>
        <v>7309.721537998711</v>
      </c>
      <c r="AI27">
        <f t="shared" ref="AI27:AK27" si="47">VAR(AI3:AI18)</f>
        <v>3921.9444138663157</v>
      </c>
      <c r="AJ27">
        <f t="shared" si="47"/>
        <v>9274.1009167262728</v>
      </c>
      <c r="AK27">
        <f t="shared" si="47"/>
        <v>10627.920627593994</v>
      </c>
    </row>
    <row r="28" spans="1:37" x14ac:dyDescent="0.25">
      <c r="S28" s="4"/>
    </row>
    <row r="29" spans="1:37" x14ac:dyDescent="0.25">
      <c r="A29" t="s">
        <v>22</v>
      </c>
      <c r="G29" t="s">
        <v>23</v>
      </c>
      <c r="H29">
        <f>AVERAGE(H3:H10)</f>
        <v>238.64853865045976</v>
      </c>
      <c r="I29">
        <f t="shared" ref="I29:K29" si="48">AVERAGE(I3:I10)</f>
        <v>229.32633010942612</v>
      </c>
      <c r="J29">
        <f t="shared" si="48"/>
        <v>220.93634242249587</v>
      </c>
      <c r="K29">
        <f t="shared" si="48"/>
        <v>224.50985569655884</v>
      </c>
      <c r="M29" t="s">
        <v>23</v>
      </c>
      <c r="N29">
        <f>AVERAGE(N3:N10)</f>
        <v>258.22517658663025</v>
      </c>
      <c r="O29">
        <f t="shared" ref="O29:Q29" si="49">AVERAGE(O3:O10)</f>
        <v>256.51610502077398</v>
      </c>
      <c r="P29">
        <f t="shared" si="49"/>
        <v>228.23873911297233</v>
      </c>
      <c r="Q29">
        <f t="shared" si="49"/>
        <v>226.99577797416782</v>
      </c>
      <c r="S29" s="4"/>
      <c r="U29" t="s">
        <v>22</v>
      </c>
      <c r="AA29" t="s">
        <v>23</v>
      </c>
      <c r="AB29">
        <f>AVERAGE(AB3:AB10)</f>
        <v>238.64853865045976</v>
      </c>
      <c r="AC29">
        <f t="shared" ref="AC29:AE29" si="50">AVERAGE(AC3:AC10)</f>
        <v>229.32633010942612</v>
      </c>
      <c r="AD29">
        <f t="shared" si="50"/>
        <v>220.93634242249587</v>
      </c>
      <c r="AE29">
        <f t="shared" si="50"/>
        <v>224.50985569655884</v>
      </c>
      <c r="AG29" t="s">
        <v>23</v>
      </c>
      <c r="AH29">
        <f>AVERAGE(AH3:AH10)</f>
        <v>258.22517658663025</v>
      </c>
      <c r="AI29">
        <f t="shared" ref="AI29:AK29" si="51">AVERAGE(AI3:AI10)</f>
        <v>256.51610502077398</v>
      </c>
      <c r="AJ29">
        <f t="shared" si="51"/>
        <v>228.23873911297233</v>
      </c>
      <c r="AK29">
        <f t="shared" si="51"/>
        <v>226.99577797416782</v>
      </c>
    </row>
    <row r="30" spans="1:37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52">AVERAGE(I11:I18)</f>
        <v>#DIV/0!</v>
      </c>
      <c r="J30" t="e">
        <f t="shared" si="52"/>
        <v>#DIV/0!</v>
      </c>
      <c r="K30" t="e">
        <f t="shared" si="52"/>
        <v>#DIV/0!</v>
      </c>
      <c r="M30" t="s">
        <v>24</v>
      </c>
      <c r="N30" t="e">
        <f>AVERAGE(N11:N18)</f>
        <v>#DIV/0!</v>
      </c>
      <c r="O30" t="e">
        <f t="shared" ref="O30:Q30" si="53">AVERAGE(O11:O18)</f>
        <v>#DIV/0!</v>
      </c>
      <c r="P30" t="e">
        <f t="shared" si="53"/>
        <v>#DIV/0!</v>
      </c>
      <c r="Q30" t="e">
        <f t="shared" si="53"/>
        <v>#DIV/0!</v>
      </c>
      <c r="S30" s="4"/>
      <c r="U30" t="s">
        <v>1</v>
      </c>
      <c r="V30" t="e">
        <f>TTEST(V11:V18,AB11:AB18,2,3)</f>
        <v>#DIV/0!</v>
      </c>
      <c r="AA30" t="s">
        <v>24</v>
      </c>
      <c r="AB30" t="e">
        <f>AVERAGE(AB11:AB18)</f>
        <v>#DIV/0!</v>
      </c>
      <c r="AC30" t="e">
        <f t="shared" ref="AC30:AE30" si="54">AVERAGE(AC11:AC18)</f>
        <v>#DIV/0!</v>
      </c>
      <c r="AD30" t="e">
        <f t="shared" si="54"/>
        <v>#DIV/0!</v>
      </c>
      <c r="AE30" t="e">
        <f t="shared" si="54"/>
        <v>#DIV/0!</v>
      </c>
      <c r="AG30" t="s">
        <v>24</v>
      </c>
      <c r="AH30" t="e">
        <f>AVERAGE(AH11:AH18)</f>
        <v>#DIV/0!</v>
      </c>
      <c r="AI30" t="e">
        <f t="shared" ref="AI30:AK30" si="55">AVERAGE(AI11:AI18)</f>
        <v>#DIV/0!</v>
      </c>
      <c r="AJ30" t="e">
        <f t="shared" si="55"/>
        <v>#DIV/0!</v>
      </c>
      <c r="AK30" t="e">
        <f t="shared" si="55"/>
        <v>#DIV/0!</v>
      </c>
    </row>
    <row r="31" spans="1:37" x14ac:dyDescent="0.25">
      <c r="A31" t="s">
        <v>2</v>
      </c>
      <c r="B31" t="e">
        <f>TTEST(C11:C18,I11:I18,2,3)</f>
        <v>#DIV/0!</v>
      </c>
      <c r="S31" s="4"/>
      <c r="U31" t="s">
        <v>2</v>
      </c>
      <c r="V31" t="e">
        <f>TTEST(W11:W18,AC11:AC18,2,3)</f>
        <v>#DIV/0!</v>
      </c>
    </row>
    <row r="32" spans="1:37" x14ac:dyDescent="0.25">
      <c r="A32" t="s">
        <v>3</v>
      </c>
      <c r="B32" t="e">
        <f>TTEST(D11:D18,J11:J18,2,3)</f>
        <v>#DIV/0!</v>
      </c>
      <c r="S32" s="4"/>
      <c r="U32" t="s">
        <v>3</v>
      </c>
      <c r="V32" t="e">
        <f>TTEST(X11:X18,AD11:AD18,2,3)</f>
        <v>#DIV/0!</v>
      </c>
    </row>
    <row r="33" spans="1:37" x14ac:dyDescent="0.25">
      <c r="A33" t="s">
        <v>4</v>
      </c>
      <c r="B33" t="e">
        <f>TTEST(E11:E18,K11:K18,2,3)</f>
        <v>#DIV/0!</v>
      </c>
      <c r="S33" s="4"/>
      <c r="U33" t="s">
        <v>4</v>
      </c>
      <c r="V33" t="e">
        <f>TTEST(Y11:Y18,AE11:AE18,2,3)</f>
        <v>#DIV/0!</v>
      </c>
    </row>
    <row r="34" spans="1:37" x14ac:dyDescent="0.25">
      <c r="S34" s="4"/>
    </row>
    <row r="35" spans="1:37" x14ac:dyDescent="0.25">
      <c r="A35" t="s">
        <v>25</v>
      </c>
      <c r="S35" s="5" t="s">
        <v>28</v>
      </c>
      <c r="U35" t="s">
        <v>25</v>
      </c>
    </row>
    <row r="36" spans="1:37" x14ac:dyDescent="0.25">
      <c r="A36" s="1" t="s">
        <v>29</v>
      </c>
      <c r="B36" s="1" t="s">
        <v>1</v>
      </c>
      <c r="C36" s="1" t="s">
        <v>2</v>
      </c>
      <c r="D36" s="1" t="s">
        <v>3</v>
      </c>
      <c r="E36" s="1" t="s">
        <v>4</v>
      </c>
      <c r="G36" s="1" t="s">
        <v>30</v>
      </c>
      <c r="H36" s="1" t="s">
        <v>1</v>
      </c>
      <c r="I36" s="1" t="s">
        <v>2</v>
      </c>
      <c r="J36" s="1" t="s">
        <v>3</v>
      </c>
      <c r="K36" s="1" t="s">
        <v>4</v>
      </c>
      <c r="M36" s="1" t="s">
        <v>31</v>
      </c>
      <c r="N36" s="1" t="s">
        <v>1</v>
      </c>
      <c r="O36" s="1" t="s">
        <v>2</v>
      </c>
      <c r="P36" s="1" t="s">
        <v>3</v>
      </c>
      <c r="Q36" s="1" t="s">
        <v>4</v>
      </c>
      <c r="R36" s="1"/>
      <c r="S36" s="4"/>
      <c r="U36" s="1" t="s">
        <v>29</v>
      </c>
      <c r="V36" s="1" t="s">
        <v>1</v>
      </c>
      <c r="W36" s="1" t="s">
        <v>2</v>
      </c>
      <c r="X36" s="1" t="s">
        <v>3</v>
      </c>
      <c r="Y36" s="1" t="s">
        <v>4</v>
      </c>
      <c r="AA36" s="1" t="s">
        <v>30</v>
      </c>
      <c r="AB36" s="1" t="s">
        <v>1</v>
      </c>
      <c r="AC36" s="1" t="s">
        <v>2</v>
      </c>
      <c r="AD36" s="1" t="s">
        <v>3</v>
      </c>
      <c r="AE36" s="1" t="s">
        <v>4</v>
      </c>
      <c r="AG36" s="1" t="s">
        <v>31</v>
      </c>
      <c r="AH36" s="1" t="s">
        <v>1</v>
      </c>
      <c r="AI36" s="1" t="s">
        <v>2</v>
      </c>
      <c r="AJ36" s="1" t="s">
        <v>3</v>
      </c>
      <c r="AK36" s="1" t="s">
        <v>4</v>
      </c>
    </row>
    <row r="37" spans="1:37" x14ac:dyDescent="0.25">
      <c r="A37" t="s">
        <v>5</v>
      </c>
      <c r="B37" s="3">
        <f>-((B3-$B$23)/$B$23)*100</f>
        <v>-37.777777777777928</v>
      </c>
      <c r="C37" s="3">
        <f t="shared" ref="C37:E44" si="56">-((C3-$B$23)/$B$23)*100</f>
        <v>35.555555555555266</v>
      </c>
      <c r="D37" s="3">
        <f t="shared" si="56"/>
        <v>15.555555555555781</v>
      </c>
      <c r="E37" s="3">
        <f t="shared" si="56"/>
        <v>-30.370370370370381</v>
      </c>
      <c r="G37" t="s">
        <v>5</v>
      </c>
      <c r="H37" s="3">
        <f>-((H3-$H$29)/$H$29)*100</f>
        <v>7.812499999999825</v>
      </c>
      <c r="I37" s="3">
        <f t="shared" ref="I37:K37" si="57">-((I3-$H$29)/$H$29)*100</f>
        <v>-22.916666666666764</v>
      </c>
      <c r="J37" s="3">
        <f t="shared" si="57"/>
        <v>-11.458333333333222</v>
      </c>
      <c r="K37" s="3">
        <f t="shared" si="57"/>
        <v>12.500000000000124</v>
      </c>
      <c r="M37" t="s">
        <v>5</v>
      </c>
      <c r="N37" s="3">
        <f>-((N3-$N$29)/$N$29)*100</f>
        <v>20.096269554753423</v>
      </c>
      <c r="O37" s="3">
        <f>-((O3-$N$29)/$N$29)*100</f>
        <v>-22.262334536702628</v>
      </c>
      <c r="P37" s="3">
        <f>-((P3-$N$29)/$N$29)*100</f>
        <v>-19.855595667870045</v>
      </c>
      <c r="Q37" s="3">
        <f>-((Q3-$N$29)/$N$29)*100</f>
        <v>71.119133574007193</v>
      </c>
      <c r="R37" s="3"/>
      <c r="S37" s="4"/>
      <c r="U37" t="s">
        <v>5</v>
      </c>
      <c r="V37" s="3">
        <f>-((V3-$V$23)/$V$23)*100</f>
        <v>-37.777777777777928</v>
      </c>
      <c r="W37" s="3">
        <f t="shared" ref="W37:Y37" si="58">-((W3-$V$23)/$V$23)*100</f>
        <v>35.555555555555266</v>
      </c>
      <c r="X37" s="3">
        <f t="shared" si="58"/>
        <v>15.555555555555781</v>
      </c>
      <c r="Y37" s="3">
        <f t="shared" si="58"/>
        <v>-30.370370370370381</v>
      </c>
      <c r="AA37" t="s">
        <v>5</v>
      </c>
      <c r="AB37" s="3">
        <f>-((AB3-$AB$29)/$AB$29)*100</f>
        <v>7.812499999999825</v>
      </c>
      <c r="AC37" s="3">
        <f t="shared" ref="AC37:AE37" si="59">-((AC3-$AB$29)/$AB$29)*100</f>
        <v>-22.916666666666764</v>
      </c>
      <c r="AD37" s="3">
        <f t="shared" si="59"/>
        <v>-11.458333333333222</v>
      </c>
      <c r="AE37" s="3">
        <f t="shared" si="59"/>
        <v>12.500000000000124</v>
      </c>
      <c r="AG37" t="s">
        <v>5</v>
      </c>
      <c r="AH37" s="3">
        <f>-((AH3-$AH$29)/$AH$29)*100</f>
        <v>20.096269554753423</v>
      </c>
      <c r="AI37" s="3">
        <f t="shared" ref="AI37:AK37" si="60">-((AI3-$AH$29)/$AH$29)*100</f>
        <v>-22.262334536702628</v>
      </c>
      <c r="AJ37" s="3">
        <f t="shared" si="60"/>
        <v>-19.855595667870045</v>
      </c>
      <c r="AK37" s="3">
        <f t="shared" si="60"/>
        <v>71.119133574007193</v>
      </c>
    </row>
    <row r="38" spans="1:37" x14ac:dyDescent="0.25">
      <c r="A38" t="s">
        <v>7</v>
      </c>
      <c r="B38" s="3">
        <f t="shared" ref="B38:B44" si="61">-((B4-$B$23)/$B$23)*100</f>
        <v>-5.9259259259257968</v>
      </c>
      <c r="C38" s="3">
        <f t="shared" si="56"/>
        <v>-11.111111111111379</v>
      </c>
      <c r="D38" s="3">
        <f t="shared" si="56"/>
        <v>-11.111111111111379</v>
      </c>
      <c r="E38" s="3"/>
      <c r="G38" t="s">
        <v>7</v>
      </c>
      <c r="H38" s="3">
        <f t="shared" ref="H38:K44" si="62">-((H4-$H$29)/$H$29)*100</f>
        <v>8.3333333333333837</v>
      </c>
      <c r="I38" s="3">
        <f t="shared" si="62"/>
        <v>-15.624999999999972</v>
      </c>
      <c r="J38" s="3">
        <f t="shared" si="62"/>
        <v>2.6041666666668148</v>
      </c>
      <c r="K38" s="3">
        <f t="shared" si="62"/>
        <v>-26.041666666666803</v>
      </c>
      <c r="M38" t="s">
        <v>7</v>
      </c>
      <c r="N38" s="3">
        <f t="shared" ref="N38:Q44" si="63">-((N4-$N$29)/$N$29)*100</f>
        <v>4.2117930204573115</v>
      </c>
      <c r="O38" s="3">
        <f t="shared" si="63"/>
        <v>10.469314079422332</v>
      </c>
      <c r="P38" s="3">
        <f t="shared" si="63"/>
        <v>-22.743682310469385</v>
      </c>
      <c r="Q38" s="3">
        <f t="shared" si="63"/>
        <v>7.0998796630566376</v>
      </c>
      <c r="R38" s="3"/>
      <c r="S38" s="4"/>
      <c r="U38" t="s">
        <v>7</v>
      </c>
      <c r="V38" s="3">
        <f t="shared" ref="V38:Y44" si="64">-((V4-$V$23)/$V$23)*100</f>
        <v>-5.9259259259257968</v>
      </c>
      <c r="W38" s="3">
        <f t="shared" si="64"/>
        <v>-11.111111111111379</v>
      </c>
      <c r="X38" s="3">
        <f t="shared" si="64"/>
        <v>-11.111111111111379</v>
      </c>
      <c r="Y38" s="3"/>
      <c r="AA38" t="s">
        <v>7</v>
      </c>
      <c r="AB38" s="3">
        <f t="shared" ref="AB38:AE39" si="65">-((AB4-$AB$29)/$AB$29)*100</f>
        <v>8.3333333333333837</v>
      </c>
      <c r="AC38" s="3">
        <f t="shared" si="65"/>
        <v>-15.624999999999972</v>
      </c>
      <c r="AD38" s="3">
        <f t="shared" si="65"/>
        <v>2.6041666666668148</v>
      </c>
      <c r="AE38" s="3">
        <f t="shared" si="65"/>
        <v>-26.041666666666803</v>
      </c>
      <c r="AG38" t="s">
        <v>7</v>
      </c>
      <c r="AH38" s="3">
        <f t="shared" ref="AH38:AK44" si="66">-((AH4-$AH$29)/$AH$29)*100</f>
        <v>4.2117930204573115</v>
      </c>
      <c r="AI38" s="3">
        <f t="shared" si="66"/>
        <v>10.469314079422332</v>
      </c>
      <c r="AJ38" s="3">
        <f t="shared" si="66"/>
        <v>-22.743682310469385</v>
      </c>
      <c r="AK38" s="3">
        <f t="shared" si="66"/>
        <v>7.0998796630566376</v>
      </c>
    </row>
    <row r="39" spans="1:37" x14ac:dyDescent="0.25">
      <c r="A39" t="s">
        <v>8</v>
      </c>
      <c r="B39" s="3">
        <f t="shared" si="61"/>
        <v>-74.814814814815065</v>
      </c>
      <c r="C39" s="3">
        <f t="shared" si="56"/>
        <v>-39.259259259259437</v>
      </c>
      <c r="D39" s="3">
        <f t="shared" si="56"/>
        <v>15.555555555555781</v>
      </c>
      <c r="E39" s="3">
        <f t="shared" si="56"/>
        <v>8.1481481481482518</v>
      </c>
      <c r="G39" t="s">
        <v>8</v>
      </c>
      <c r="H39" s="3">
        <f t="shared" si="62"/>
        <v>-25.000000000000117</v>
      </c>
      <c r="I39" s="3">
        <f t="shared" si="62"/>
        <v>12.500000000000124</v>
      </c>
      <c r="J39" s="3">
        <f t="shared" si="62"/>
        <v>10.416666666666748</v>
      </c>
      <c r="K39" s="3">
        <f t="shared" si="62"/>
        <v>15.625000000000174</v>
      </c>
      <c r="M39" t="s">
        <v>8</v>
      </c>
      <c r="N39" s="3">
        <f t="shared" si="63"/>
        <v>-41.516245487364436</v>
      </c>
      <c r="O39" s="3">
        <f t="shared" si="63"/>
        <v>6.6185318892898941</v>
      </c>
      <c r="P39" s="3">
        <f t="shared" si="63"/>
        <v>44.163658243080796</v>
      </c>
      <c r="Q39" s="3">
        <f t="shared" si="63"/>
        <v>-2.5270758122744641</v>
      </c>
      <c r="R39" s="3"/>
      <c r="S39" s="4"/>
      <c r="U39" t="s">
        <v>8</v>
      </c>
      <c r="V39" s="3">
        <f t="shared" si="64"/>
        <v>-74.814814814815065</v>
      </c>
      <c r="W39" s="3">
        <f t="shared" si="64"/>
        <v>-39.259259259259437</v>
      </c>
      <c r="X39" s="3">
        <f t="shared" si="64"/>
        <v>15.555555555555781</v>
      </c>
      <c r="Y39" s="3">
        <f t="shared" si="64"/>
        <v>8.1481481481482518</v>
      </c>
      <c r="AA39" t="s">
        <v>8</v>
      </c>
      <c r="AB39" s="3">
        <f>-((AB5-$AB$29)/$AB$29)*100</f>
        <v>-25.000000000000117</v>
      </c>
      <c r="AC39" s="3">
        <f t="shared" si="65"/>
        <v>12.500000000000124</v>
      </c>
      <c r="AD39" s="3">
        <f t="shared" si="65"/>
        <v>10.416666666666748</v>
      </c>
      <c r="AE39" s="3">
        <f t="shared" si="65"/>
        <v>15.625000000000174</v>
      </c>
      <c r="AG39" t="s">
        <v>8</v>
      </c>
      <c r="AH39" s="3">
        <f t="shared" si="66"/>
        <v>-41.516245487364436</v>
      </c>
      <c r="AI39" s="3">
        <f t="shared" si="66"/>
        <v>6.6185318892898941</v>
      </c>
      <c r="AJ39" s="3">
        <f t="shared" si="66"/>
        <v>44.163658243080796</v>
      </c>
      <c r="AK39" s="3">
        <f t="shared" si="66"/>
        <v>-2.5270758122744641</v>
      </c>
    </row>
    <row r="40" spans="1:37" x14ac:dyDescent="0.25">
      <c r="A40" t="s">
        <v>9</v>
      </c>
      <c r="B40" s="3">
        <f t="shared" si="61"/>
        <v>-1.4814814814812585</v>
      </c>
      <c r="C40" s="3">
        <f t="shared" si="56"/>
        <v>-80.740740740741074</v>
      </c>
      <c r="D40" s="3">
        <f t="shared" si="56"/>
        <v>-23.703703703703898</v>
      </c>
      <c r="E40" s="3">
        <f t="shared" si="56"/>
        <v>50.370370370370352</v>
      </c>
      <c r="G40" t="s">
        <v>9</v>
      </c>
      <c r="H40" s="3">
        <f t="shared" si="62"/>
        <v>-34.374999999999879</v>
      </c>
      <c r="I40" s="3">
        <f t="shared" si="62"/>
        <v>-13.020833333333467</v>
      </c>
      <c r="J40" s="3">
        <f t="shared" si="62"/>
        <v>-8.8541666666667158</v>
      </c>
      <c r="K40" s="3">
        <f t="shared" si="62"/>
        <v>-25.520833333333272</v>
      </c>
      <c r="M40" t="s">
        <v>9</v>
      </c>
      <c r="N40" s="3">
        <f t="shared" si="63"/>
        <v>-61.251504211792998</v>
      </c>
      <c r="O40" s="3">
        <f t="shared" si="63"/>
        <v>15.282791817087885</v>
      </c>
      <c r="P40" s="3">
        <f t="shared" si="63"/>
        <v>49.939831528279058</v>
      </c>
      <c r="Q40" s="3">
        <f t="shared" si="63"/>
        <v>17.208182912154097</v>
      </c>
      <c r="R40" s="3"/>
      <c r="S40" s="4"/>
      <c r="U40" t="s">
        <v>9</v>
      </c>
      <c r="V40" s="3">
        <f t="shared" si="64"/>
        <v>-1.4814814814812585</v>
      </c>
      <c r="W40" s="3">
        <f t="shared" si="64"/>
        <v>-80.740740740741074</v>
      </c>
      <c r="X40" s="3">
        <f t="shared" si="64"/>
        <v>-23.703703703703898</v>
      </c>
      <c r="Y40" s="3">
        <f t="shared" si="64"/>
        <v>50.370370370370352</v>
      </c>
      <c r="AA40" t="s">
        <v>9</v>
      </c>
      <c r="AB40" s="3">
        <f t="shared" ref="AB40:AE44" si="67">-((AB6-$AB$29)/$AB$29)*100</f>
        <v>-34.374999999999879</v>
      </c>
      <c r="AC40" s="3">
        <f t="shared" si="67"/>
        <v>-13.020833333333467</v>
      </c>
      <c r="AD40" s="3">
        <f t="shared" si="67"/>
        <v>-8.8541666666667158</v>
      </c>
      <c r="AE40" s="3">
        <f t="shared" si="67"/>
        <v>-25.520833333333272</v>
      </c>
      <c r="AG40" t="s">
        <v>9</v>
      </c>
      <c r="AH40" s="3">
        <f t="shared" si="66"/>
        <v>-61.251504211792998</v>
      </c>
      <c r="AI40" s="3">
        <f t="shared" si="66"/>
        <v>15.282791817087885</v>
      </c>
      <c r="AJ40" s="3">
        <f t="shared" si="66"/>
        <v>49.939831528279058</v>
      </c>
      <c r="AK40" s="3">
        <f t="shared" si="66"/>
        <v>17.208182912154097</v>
      </c>
    </row>
    <row r="41" spans="1:37" x14ac:dyDescent="0.25">
      <c r="A41" t="s">
        <v>10</v>
      </c>
      <c r="B41" s="3">
        <f t="shared" si="61"/>
        <v>22.222222222222282</v>
      </c>
      <c r="C41" s="3">
        <f t="shared" si="56"/>
        <v>-8.888888888888804</v>
      </c>
      <c r="D41" s="3"/>
      <c r="E41" s="3"/>
      <c r="G41" t="s">
        <v>10</v>
      </c>
      <c r="H41" s="3">
        <f t="shared" si="62"/>
        <v>-51.562499999999964</v>
      </c>
      <c r="I41" s="3">
        <f t="shared" si="62"/>
        <v>14.062499999999941</v>
      </c>
      <c r="J41" s="3">
        <f t="shared" si="62"/>
        <v>31.770833333333172</v>
      </c>
      <c r="K41" s="3">
        <f t="shared" si="62"/>
        <v>31.770833333333172</v>
      </c>
      <c r="M41" t="s">
        <v>10</v>
      </c>
      <c r="N41" s="3">
        <f t="shared" si="63"/>
        <v>11.432009626955447</v>
      </c>
      <c r="O41" s="3">
        <f t="shared" si="63"/>
        <v>-15.042117930204506</v>
      </c>
      <c r="P41" s="3">
        <f t="shared" si="63"/>
        <v>63.898916967509031</v>
      </c>
      <c r="Q41" s="3">
        <f t="shared" si="63"/>
        <v>-67.027677496991643</v>
      </c>
      <c r="R41" s="3"/>
      <c r="S41" s="4"/>
      <c r="U41" t="s">
        <v>10</v>
      </c>
      <c r="V41" s="3">
        <f t="shared" si="64"/>
        <v>22.222222222222282</v>
      </c>
      <c r="W41" s="3">
        <f t="shared" si="64"/>
        <v>-8.888888888888804</v>
      </c>
      <c r="X41" s="3"/>
      <c r="Y41" s="3"/>
      <c r="AA41" t="s">
        <v>10</v>
      </c>
      <c r="AB41" s="3">
        <f t="shared" si="67"/>
        <v>-51.562499999999964</v>
      </c>
      <c r="AC41" s="3">
        <f t="shared" si="67"/>
        <v>14.062499999999941</v>
      </c>
      <c r="AD41" s="3">
        <f t="shared" si="67"/>
        <v>31.770833333333172</v>
      </c>
      <c r="AE41" s="3">
        <f t="shared" si="67"/>
        <v>31.770833333333172</v>
      </c>
      <c r="AG41" t="s">
        <v>10</v>
      </c>
      <c r="AH41" s="3">
        <f t="shared" si="66"/>
        <v>11.432009626955447</v>
      </c>
      <c r="AI41" s="3">
        <f t="shared" si="66"/>
        <v>-15.042117930204506</v>
      </c>
      <c r="AJ41" s="3">
        <f t="shared" si="66"/>
        <v>63.898916967509031</v>
      </c>
      <c r="AK41" s="3">
        <f t="shared" si="66"/>
        <v>-67.027677496991643</v>
      </c>
    </row>
    <row r="42" spans="1:37" x14ac:dyDescent="0.25">
      <c r="A42" t="s">
        <v>11</v>
      </c>
      <c r="B42" s="3">
        <f t="shared" si="61"/>
        <v>-8.888888888888804</v>
      </c>
      <c r="C42" s="3">
        <f t="shared" si="56"/>
        <v>-0.74074074074080709</v>
      </c>
      <c r="D42" s="3">
        <f t="shared" si="56"/>
        <v>-131.85185185185225</v>
      </c>
      <c r="E42" s="3"/>
      <c r="G42" t="s">
        <v>11</v>
      </c>
      <c r="H42" s="3">
        <f t="shared" si="62"/>
        <v>30.729166666666487</v>
      </c>
      <c r="I42" s="3">
        <f t="shared" si="62"/>
        <v>36.458333333333456</v>
      </c>
      <c r="J42" s="3">
        <f t="shared" si="62"/>
        <v>31.250000000000028</v>
      </c>
      <c r="K42" s="3">
        <f t="shared" si="62"/>
        <v>45.312500000000078</v>
      </c>
      <c r="M42" t="s">
        <v>11</v>
      </c>
      <c r="N42" s="3">
        <f t="shared" si="63"/>
        <v>24.428399518652231</v>
      </c>
      <c r="O42" s="3">
        <f t="shared" si="63"/>
        <v>28.279181708784666</v>
      </c>
      <c r="P42" s="3">
        <f t="shared" si="63"/>
        <v>-34.777376654633066</v>
      </c>
      <c r="Q42" s="3">
        <f t="shared" si="63"/>
        <v>41.756919374247822</v>
      </c>
      <c r="R42" s="3"/>
      <c r="S42" s="4"/>
      <c r="U42" t="s">
        <v>11</v>
      </c>
      <c r="V42" s="3">
        <f t="shared" si="64"/>
        <v>-8.888888888888804</v>
      </c>
      <c r="W42" s="3">
        <f t="shared" si="64"/>
        <v>-0.74074074074080709</v>
      </c>
      <c r="X42" s="3">
        <f t="shared" si="64"/>
        <v>-131.85185185185225</v>
      </c>
      <c r="Y42" s="3"/>
      <c r="AA42" t="s">
        <v>11</v>
      </c>
      <c r="AB42" s="3">
        <f t="shared" si="67"/>
        <v>30.729166666666487</v>
      </c>
      <c r="AC42" s="3">
        <f t="shared" si="67"/>
        <v>36.458333333333456</v>
      </c>
      <c r="AD42" s="3">
        <f t="shared" si="67"/>
        <v>31.250000000000028</v>
      </c>
      <c r="AE42" s="3">
        <f t="shared" si="67"/>
        <v>45.312500000000078</v>
      </c>
      <c r="AG42" t="s">
        <v>11</v>
      </c>
      <c r="AH42" s="3">
        <f t="shared" si="66"/>
        <v>24.428399518652231</v>
      </c>
      <c r="AI42" s="3">
        <f t="shared" si="66"/>
        <v>28.279181708784666</v>
      </c>
      <c r="AJ42" s="3">
        <f t="shared" si="66"/>
        <v>-34.777376654633066</v>
      </c>
      <c r="AK42" s="3">
        <f t="shared" si="66"/>
        <v>41.756919374247822</v>
      </c>
    </row>
    <row r="43" spans="1:37" x14ac:dyDescent="0.25">
      <c r="A43" t="s">
        <v>12</v>
      </c>
      <c r="B43" s="3">
        <f t="shared" si="61"/>
        <v>34.81481481481481</v>
      </c>
      <c r="C43" s="3">
        <f t="shared" si="56"/>
        <v>26.666666666666806</v>
      </c>
      <c r="D43" s="3"/>
      <c r="E43" s="3">
        <f t="shared" si="56"/>
        <v>58.518518518518469</v>
      </c>
      <c r="G43" t="s">
        <v>12</v>
      </c>
      <c r="H43" s="3">
        <f t="shared" si="62"/>
        <v>23.437500000000107</v>
      </c>
      <c r="I43" s="3">
        <f t="shared" si="62"/>
        <v>3.6458333333335027</v>
      </c>
      <c r="J43" s="3">
        <f t="shared" si="62"/>
        <v>-3.6458333333332886</v>
      </c>
      <c r="K43" s="3">
        <f t="shared" si="62"/>
        <v>-26.041666666666803</v>
      </c>
      <c r="M43" t="s">
        <v>12</v>
      </c>
      <c r="N43" s="3">
        <f t="shared" si="63"/>
        <v>29.723225030084137</v>
      </c>
      <c r="O43" s="3">
        <f t="shared" si="63"/>
        <v>22.98435619735276</v>
      </c>
      <c r="P43" s="3">
        <f t="shared" si="63"/>
        <v>-0.60168471720823924</v>
      </c>
      <c r="Q43" s="3">
        <f t="shared" si="63"/>
        <v>25.872442839951702</v>
      </c>
      <c r="R43" s="3"/>
      <c r="S43" s="4"/>
      <c r="U43" t="s">
        <v>12</v>
      </c>
      <c r="V43" s="3">
        <f t="shared" si="64"/>
        <v>34.81481481481481</v>
      </c>
      <c r="W43" s="3">
        <f t="shared" si="64"/>
        <v>26.666666666666806</v>
      </c>
      <c r="X43" s="3"/>
      <c r="Y43" s="3">
        <f t="shared" si="64"/>
        <v>58.518518518518469</v>
      </c>
      <c r="AA43" t="s">
        <v>12</v>
      </c>
      <c r="AB43" s="3">
        <f t="shared" si="67"/>
        <v>23.437500000000107</v>
      </c>
      <c r="AC43" s="3">
        <f t="shared" si="67"/>
        <v>3.6458333333335027</v>
      </c>
      <c r="AD43" s="3">
        <f t="shared" si="67"/>
        <v>-3.6458333333332886</v>
      </c>
      <c r="AE43" s="3">
        <f t="shared" si="67"/>
        <v>-26.041666666666803</v>
      </c>
      <c r="AG43" t="s">
        <v>12</v>
      </c>
      <c r="AH43" s="3">
        <f t="shared" si="66"/>
        <v>29.723225030084137</v>
      </c>
      <c r="AI43" s="3">
        <f t="shared" si="66"/>
        <v>22.98435619735276</v>
      </c>
      <c r="AJ43" s="3">
        <f t="shared" si="66"/>
        <v>-0.60168471720823924</v>
      </c>
      <c r="AK43" s="3">
        <f t="shared" si="66"/>
        <v>25.872442839951702</v>
      </c>
    </row>
    <row r="44" spans="1:37" x14ac:dyDescent="0.25">
      <c r="A44" t="s">
        <v>13</v>
      </c>
      <c r="B44" s="3">
        <f t="shared" si="61"/>
        <v>71.851851851851805</v>
      </c>
      <c r="C44" s="3">
        <f t="shared" si="56"/>
        <v>46.666666666666643</v>
      </c>
      <c r="D44" s="3">
        <f t="shared" si="56"/>
        <v>48.888888888888843</v>
      </c>
      <c r="E44" s="3">
        <f t="shared" si="56"/>
        <v>50.370370370370352</v>
      </c>
      <c r="G44" t="s">
        <v>13</v>
      </c>
      <c r="H44" s="3">
        <f t="shared" si="62"/>
        <v>40.625000000000192</v>
      </c>
      <c r="I44" s="3">
        <f t="shared" si="62"/>
        <v>16.145833333333304</v>
      </c>
      <c r="J44" s="3">
        <f t="shared" si="62"/>
        <v>7.2916666666666963</v>
      </c>
      <c r="K44" s="3">
        <f t="shared" si="62"/>
        <v>19.791666666666501</v>
      </c>
      <c r="M44" t="s">
        <v>13</v>
      </c>
      <c r="N44" s="3">
        <f t="shared" si="63"/>
        <v>12.876052948254916</v>
      </c>
      <c r="O44" s="3">
        <f t="shared" si="63"/>
        <v>-41.034897713598077</v>
      </c>
      <c r="P44" s="3">
        <f t="shared" si="63"/>
        <v>12.876052948254916</v>
      </c>
      <c r="Q44" s="3">
        <f t="shared" si="63"/>
        <v>3.2490974729241993</v>
      </c>
      <c r="R44" s="3"/>
      <c r="S44" s="4"/>
      <c r="U44" t="s">
        <v>13</v>
      </c>
      <c r="V44" s="3">
        <f t="shared" si="64"/>
        <v>71.851851851851805</v>
      </c>
      <c r="W44" s="3">
        <f t="shared" si="64"/>
        <v>46.666666666666643</v>
      </c>
      <c r="X44" s="3">
        <f t="shared" si="64"/>
        <v>48.888888888888843</v>
      </c>
      <c r="Y44" s="3">
        <f t="shared" si="64"/>
        <v>50.370370370370352</v>
      </c>
      <c r="AA44" t="s">
        <v>13</v>
      </c>
      <c r="AB44" s="3">
        <f t="shared" si="67"/>
        <v>40.625000000000192</v>
      </c>
      <c r="AC44" s="3">
        <f t="shared" si="67"/>
        <v>16.145833333333304</v>
      </c>
      <c r="AD44" s="3">
        <f t="shared" si="67"/>
        <v>7.2916666666666963</v>
      </c>
      <c r="AE44" s="3">
        <f t="shared" si="67"/>
        <v>19.791666666666501</v>
      </c>
      <c r="AG44" t="s">
        <v>13</v>
      </c>
      <c r="AH44" s="3">
        <f t="shared" si="66"/>
        <v>12.876052948254916</v>
      </c>
      <c r="AI44" s="3">
        <f t="shared" si="66"/>
        <v>-41.034897713598077</v>
      </c>
      <c r="AJ44" s="3">
        <f t="shared" si="66"/>
        <v>12.876052948254916</v>
      </c>
      <c r="AK44" s="3">
        <f t="shared" si="66"/>
        <v>3.2490974729241993</v>
      </c>
    </row>
    <row r="45" spans="1:37" x14ac:dyDescent="0.25">
      <c r="A45" t="s">
        <v>5</v>
      </c>
      <c r="B45" s="3"/>
      <c r="C45" s="3"/>
      <c r="D45" s="3"/>
      <c r="E45" s="3"/>
      <c r="G45" t="s">
        <v>5</v>
      </c>
      <c r="H45" s="3"/>
      <c r="I45" s="3"/>
      <c r="J45" s="3"/>
      <c r="K45" s="3"/>
      <c r="M45" t="s">
        <v>5</v>
      </c>
      <c r="N45" s="3"/>
      <c r="O45" s="3"/>
      <c r="P45" s="3"/>
      <c r="Q45" s="3"/>
      <c r="S45" s="4"/>
      <c r="U45" t="s">
        <v>5</v>
      </c>
      <c r="V45" s="3"/>
      <c r="W45" s="3"/>
      <c r="X45" s="3"/>
      <c r="Y45" s="3"/>
      <c r="AA45" t="s">
        <v>5</v>
      </c>
      <c r="AB45" s="3"/>
      <c r="AC45" s="3"/>
      <c r="AD45" s="3"/>
      <c r="AE45" s="3"/>
      <c r="AG45" t="s">
        <v>5</v>
      </c>
      <c r="AH45" s="3"/>
      <c r="AI45" s="3"/>
      <c r="AJ45" s="3"/>
      <c r="AK45" s="3"/>
    </row>
    <row r="46" spans="1:37" x14ac:dyDescent="0.25">
      <c r="A46" t="s">
        <v>7</v>
      </c>
      <c r="B46" s="3"/>
      <c r="C46" s="3"/>
      <c r="D46" s="3"/>
      <c r="E46" s="3"/>
      <c r="G46" t="s">
        <v>7</v>
      </c>
      <c r="H46" s="3"/>
      <c r="I46" s="3"/>
      <c r="J46" s="3"/>
      <c r="K46" s="3"/>
      <c r="M46" t="s">
        <v>7</v>
      </c>
      <c r="N46" s="3"/>
      <c r="O46" s="3"/>
      <c r="P46" s="3"/>
      <c r="Q46" s="3"/>
      <c r="S46" s="4"/>
      <c r="U46" t="s">
        <v>7</v>
      </c>
      <c r="V46" s="3"/>
      <c r="W46" s="3"/>
      <c r="X46" s="3"/>
      <c r="Y46" s="3"/>
      <c r="AA46" t="s">
        <v>7</v>
      </c>
      <c r="AB46" s="3"/>
      <c r="AC46" s="3"/>
      <c r="AD46" s="3"/>
      <c r="AE46" s="3"/>
      <c r="AG46" t="s">
        <v>7</v>
      </c>
      <c r="AH46" s="3"/>
      <c r="AI46" s="3"/>
      <c r="AJ46" s="3"/>
      <c r="AK46" s="3"/>
    </row>
    <row r="47" spans="1:37" x14ac:dyDescent="0.25">
      <c r="A47" t="s">
        <v>8</v>
      </c>
      <c r="B47" s="3"/>
      <c r="C47" s="3"/>
      <c r="D47" s="3"/>
      <c r="E47" s="3"/>
      <c r="G47" t="s">
        <v>8</v>
      </c>
      <c r="H47" s="3"/>
      <c r="I47" s="3"/>
      <c r="J47" s="3"/>
      <c r="K47" s="3"/>
      <c r="M47" t="s">
        <v>8</v>
      </c>
      <c r="N47" s="3"/>
      <c r="O47" s="3"/>
      <c r="P47" s="3"/>
      <c r="Q47" s="3"/>
      <c r="S47" s="4"/>
      <c r="U47" t="s">
        <v>8</v>
      </c>
      <c r="V47" s="3"/>
      <c r="W47" s="3"/>
      <c r="X47" s="3"/>
      <c r="Y47" s="3"/>
      <c r="AA47" t="s">
        <v>8</v>
      </c>
      <c r="AB47" s="3"/>
      <c r="AC47" s="3"/>
      <c r="AD47" s="3"/>
      <c r="AE47" s="3"/>
      <c r="AG47" t="s">
        <v>8</v>
      </c>
      <c r="AH47" s="3"/>
      <c r="AI47" s="3"/>
      <c r="AJ47" s="3"/>
      <c r="AK47" s="3"/>
    </row>
    <row r="48" spans="1:37" x14ac:dyDescent="0.25">
      <c r="A48" t="s">
        <v>9</v>
      </c>
      <c r="B48" s="3"/>
      <c r="C48" s="3"/>
      <c r="D48" s="3"/>
      <c r="E48" s="3"/>
      <c r="G48" t="s">
        <v>9</v>
      </c>
      <c r="H48" s="3"/>
      <c r="I48" s="3"/>
      <c r="J48" s="3"/>
      <c r="K48" s="3"/>
      <c r="M48" t="s">
        <v>9</v>
      </c>
      <c r="N48" s="3"/>
      <c r="O48" s="3"/>
      <c r="P48" s="3"/>
      <c r="Q48" s="3"/>
      <c r="S48" s="4"/>
      <c r="U48" t="s">
        <v>9</v>
      </c>
      <c r="V48" s="3"/>
      <c r="W48" s="3"/>
      <c r="X48" s="3"/>
      <c r="Y48" s="3"/>
      <c r="AA48" t="s">
        <v>9</v>
      </c>
      <c r="AB48" s="3"/>
      <c r="AC48" s="3"/>
      <c r="AD48" s="3"/>
      <c r="AE48" s="3"/>
      <c r="AG48" t="s">
        <v>9</v>
      </c>
      <c r="AH48" s="3"/>
      <c r="AI48" s="3"/>
      <c r="AJ48" s="3"/>
      <c r="AK48" s="3"/>
    </row>
    <row r="49" spans="1:37" x14ac:dyDescent="0.25">
      <c r="A49" t="s">
        <v>10</v>
      </c>
      <c r="B49" s="3"/>
      <c r="C49" s="3"/>
      <c r="D49" s="3"/>
      <c r="E49" s="3"/>
      <c r="G49" t="s">
        <v>10</v>
      </c>
      <c r="H49" s="3"/>
      <c r="I49" s="3"/>
      <c r="J49" s="3"/>
      <c r="K49" s="3"/>
      <c r="M49" t="s">
        <v>10</v>
      </c>
      <c r="N49" s="3"/>
      <c r="O49" s="3"/>
      <c r="P49" s="3"/>
      <c r="Q49" s="3"/>
      <c r="S49" s="4"/>
      <c r="U49" t="s">
        <v>10</v>
      </c>
      <c r="V49" s="3"/>
      <c r="W49" s="3"/>
      <c r="X49" s="3"/>
      <c r="Y49" s="3"/>
      <c r="AA49" t="s">
        <v>10</v>
      </c>
      <c r="AB49" s="3"/>
      <c r="AC49" s="3"/>
      <c r="AD49" s="3"/>
      <c r="AE49" s="3"/>
      <c r="AG49" t="s">
        <v>10</v>
      </c>
      <c r="AH49" s="3"/>
      <c r="AI49" s="3"/>
      <c r="AJ49" s="3"/>
      <c r="AK49" s="3"/>
    </row>
    <row r="50" spans="1:37" x14ac:dyDescent="0.25">
      <c r="A50" t="s">
        <v>11</v>
      </c>
      <c r="B50" s="3"/>
      <c r="C50" s="3"/>
      <c r="D50" s="3"/>
      <c r="E50" s="3"/>
      <c r="G50" t="s">
        <v>11</v>
      </c>
      <c r="H50" s="3"/>
      <c r="I50" s="3"/>
      <c r="J50" s="3"/>
      <c r="K50" s="3"/>
      <c r="M50" t="s">
        <v>11</v>
      </c>
      <c r="N50" s="3"/>
      <c r="O50" s="3"/>
      <c r="P50" s="3"/>
      <c r="Q50" s="3"/>
      <c r="S50" s="4"/>
      <c r="U50" t="s">
        <v>11</v>
      </c>
      <c r="V50" s="3"/>
      <c r="W50" s="3"/>
      <c r="X50" s="3"/>
      <c r="Y50" s="3"/>
      <c r="AA50" t="s">
        <v>11</v>
      </c>
      <c r="AB50" s="3"/>
      <c r="AC50" s="3"/>
      <c r="AD50" s="3"/>
      <c r="AE50" s="3"/>
      <c r="AG50" t="s">
        <v>11</v>
      </c>
      <c r="AH50" s="3"/>
      <c r="AI50" s="3"/>
      <c r="AJ50" s="3"/>
      <c r="AK50" s="3"/>
    </row>
    <row r="51" spans="1:37" x14ac:dyDescent="0.25">
      <c r="A51" t="s">
        <v>12</v>
      </c>
      <c r="B51" s="3"/>
      <c r="C51" s="3"/>
      <c r="D51" s="3"/>
      <c r="E51" s="3"/>
      <c r="G51" t="s">
        <v>12</v>
      </c>
      <c r="H51" s="3"/>
      <c r="I51" s="3"/>
      <c r="J51" s="3"/>
      <c r="K51" s="3"/>
      <c r="M51" t="s">
        <v>12</v>
      </c>
      <c r="N51" s="3"/>
      <c r="O51" s="3"/>
      <c r="P51" s="3"/>
      <c r="Q51" s="3"/>
      <c r="S51" s="4"/>
      <c r="U51" t="s">
        <v>12</v>
      </c>
      <c r="V51" s="3"/>
      <c r="W51" s="3"/>
      <c r="X51" s="3"/>
      <c r="Y51" s="3"/>
      <c r="AA51" t="s">
        <v>12</v>
      </c>
      <c r="AB51" s="3"/>
      <c r="AC51" s="3"/>
      <c r="AD51" s="3"/>
      <c r="AE51" s="3"/>
      <c r="AG51" t="s">
        <v>12</v>
      </c>
      <c r="AH51" s="3"/>
      <c r="AI51" s="3"/>
      <c r="AJ51" s="3"/>
      <c r="AK51" s="3"/>
    </row>
    <row r="52" spans="1:37" x14ac:dyDescent="0.25">
      <c r="A52" t="s">
        <v>13</v>
      </c>
      <c r="B52" s="3"/>
      <c r="C52" s="3"/>
      <c r="D52" s="3"/>
      <c r="E52" s="3"/>
      <c r="G52" t="s">
        <v>13</v>
      </c>
      <c r="H52" s="3"/>
      <c r="I52" s="3"/>
      <c r="J52" s="3"/>
      <c r="K52" s="3"/>
      <c r="M52" t="s">
        <v>13</v>
      </c>
      <c r="N52" s="3"/>
      <c r="O52" s="3"/>
      <c r="P52" s="3"/>
      <c r="Q52" s="3"/>
      <c r="S52" s="4"/>
      <c r="U52" t="s">
        <v>13</v>
      </c>
      <c r="V52" s="3"/>
      <c r="W52" s="3"/>
      <c r="X52" s="3"/>
      <c r="Y52" s="3"/>
      <c r="AA52" t="s">
        <v>13</v>
      </c>
      <c r="AB52" s="3"/>
      <c r="AC52" s="3"/>
      <c r="AD52" s="3"/>
      <c r="AE52" s="3"/>
      <c r="AG52" t="s">
        <v>13</v>
      </c>
      <c r="AH52" s="3"/>
      <c r="AI52" s="3"/>
      <c r="AJ52" s="3"/>
      <c r="AK52" s="3"/>
    </row>
    <row r="53" spans="1:37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  <c r="S53" s="4"/>
      <c r="U53" s="2"/>
      <c r="V53" s="2"/>
      <c r="W53" s="2"/>
      <c r="X53" s="2"/>
      <c r="Y53" s="2"/>
      <c r="AA53" s="2"/>
      <c r="AB53" s="2"/>
      <c r="AC53" s="2"/>
      <c r="AD53" s="2"/>
      <c r="AE53" s="2"/>
      <c r="AG53" s="2"/>
      <c r="AH53" s="2"/>
      <c r="AI53" s="2"/>
      <c r="AJ53" s="2"/>
      <c r="AK53" s="2"/>
    </row>
    <row r="54" spans="1:37" x14ac:dyDescent="0.25">
      <c r="A54" t="s">
        <v>14</v>
      </c>
      <c r="B54">
        <f>COUNT(B37:B52)</f>
        <v>8</v>
      </c>
      <c r="C54">
        <f t="shared" ref="C54:E54" si="68">COUNT(C37:C52)</f>
        <v>8</v>
      </c>
      <c r="D54">
        <f t="shared" si="68"/>
        <v>6</v>
      </c>
      <c r="E54">
        <f t="shared" si="68"/>
        <v>5</v>
      </c>
      <c r="G54" t="s">
        <v>14</v>
      </c>
      <c r="H54">
        <f>COUNT(H37:H52)</f>
        <v>8</v>
      </c>
      <c r="I54">
        <f t="shared" ref="I54:K54" si="69">COUNT(I37:I52)</f>
        <v>8</v>
      </c>
      <c r="J54">
        <f t="shared" si="69"/>
        <v>8</v>
      </c>
      <c r="K54">
        <f t="shared" si="69"/>
        <v>8</v>
      </c>
      <c r="M54" t="s">
        <v>14</v>
      </c>
      <c r="N54">
        <f>COUNT(N37:N52)</f>
        <v>8</v>
      </c>
      <c r="O54">
        <f t="shared" ref="O54:Q54" si="70">COUNT(O37:O52)</f>
        <v>8</v>
      </c>
      <c r="P54">
        <f t="shared" si="70"/>
        <v>8</v>
      </c>
      <c r="Q54">
        <f t="shared" si="70"/>
        <v>8</v>
      </c>
      <c r="S54" s="4"/>
      <c r="U54" t="s">
        <v>14</v>
      </c>
      <c r="V54">
        <f>COUNT(V37:V52)</f>
        <v>8</v>
      </c>
      <c r="W54">
        <f t="shared" ref="W54:Y54" si="71">COUNT(W37:W52)</f>
        <v>8</v>
      </c>
      <c r="X54">
        <f t="shared" si="71"/>
        <v>6</v>
      </c>
      <c r="Y54">
        <f t="shared" si="71"/>
        <v>5</v>
      </c>
      <c r="AA54" t="s">
        <v>14</v>
      </c>
      <c r="AB54">
        <f>COUNT(AB37:AB52)</f>
        <v>8</v>
      </c>
      <c r="AC54">
        <f t="shared" ref="AC54:AE54" si="72">COUNT(AC37:AC52)</f>
        <v>8</v>
      </c>
      <c r="AD54">
        <f t="shared" si="72"/>
        <v>8</v>
      </c>
      <c r="AE54">
        <f t="shared" si="72"/>
        <v>8</v>
      </c>
      <c r="AG54" t="s">
        <v>14</v>
      </c>
      <c r="AH54">
        <f>COUNT(AH37:AH52)</f>
        <v>8</v>
      </c>
      <c r="AI54">
        <f t="shared" ref="AI54:AK54" si="73">COUNT(AI37:AI52)</f>
        <v>8</v>
      </c>
      <c r="AJ54">
        <f t="shared" si="73"/>
        <v>8</v>
      </c>
      <c r="AK54">
        <f t="shared" si="73"/>
        <v>8</v>
      </c>
    </row>
    <row r="55" spans="1:37" x14ac:dyDescent="0.25">
      <c r="A55" t="s">
        <v>15</v>
      </c>
      <c r="B55">
        <f>MAX(B37:B52)</f>
        <v>71.851851851851805</v>
      </c>
      <c r="C55">
        <f t="shared" ref="C55:E55" si="74">MAX(C37:C52)</f>
        <v>46.666666666666643</v>
      </c>
      <c r="D55">
        <f t="shared" si="74"/>
        <v>48.888888888888843</v>
      </c>
      <c r="E55">
        <f t="shared" si="74"/>
        <v>58.518518518518469</v>
      </c>
      <c r="G55" t="s">
        <v>15</v>
      </c>
      <c r="H55">
        <f>MAX(H37:H52)</f>
        <v>40.625000000000192</v>
      </c>
      <c r="I55">
        <f t="shared" ref="I55:K55" si="75">MAX(I37:I52)</f>
        <v>36.458333333333456</v>
      </c>
      <c r="J55">
        <f t="shared" si="75"/>
        <v>31.770833333333172</v>
      </c>
      <c r="K55">
        <f t="shared" si="75"/>
        <v>45.312500000000078</v>
      </c>
      <c r="M55" t="s">
        <v>15</v>
      </c>
      <c r="N55">
        <f>MAX(N37:N52)</f>
        <v>29.723225030084137</v>
      </c>
      <c r="O55">
        <f t="shared" ref="O55:Q55" si="76">MAX(O37:O52)</f>
        <v>28.279181708784666</v>
      </c>
      <c r="P55">
        <f t="shared" si="76"/>
        <v>63.898916967509031</v>
      </c>
      <c r="Q55">
        <f t="shared" si="76"/>
        <v>71.119133574007193</v>
      </c>
      <c r="S55" s="4"/>
      <c r="U55" t="s">
        <v>15</v>
      </c>
      <c r="V55">
        <f>MAX(V37:V52)</f>
        <v>71.851851851851805</v>
      </c>
      <c r="W55">
        <f t="shared" ref="W55:Y55" si="77">MAX(W37:W52)</f>
        <v>46.666666666666643</v>
      </c>
      <c r="X55">
        <f t="shared" si="77"/>
        <v>48.888888888888843</v>
      </c>
      <c r="Y55">
        <f t="shared" si="77"/>
        <v>58.518518518518469</v>
      </c>
      <c r="AA55" t="s">
        <v>15</v>
      </c>
      <c r="AB55">
        <f>MAX(AB37:AB52)</f>
        <v>40.625000000000192</v>
      </c>
      <c r="AC55">
        <f t="shared" ref="AC55:AE55" si="78">MAX(AC37:AC52)</f>
        <v>36.458333333333456</v>
      </c>
      <c r="AD55">
        <f t="shared" si="78"/>
        <v>31.770833333333172</v>
      </c>
      <c r="AE55">
        <f t="shared" si="78"/>
        <v>45.312500000000078</v>
      </c>
      <c r="AG55" t="s">
        <v>15</v>
      </c>
      <c r="AH55">
        <f>MAX(AH37:AH52)</f>
        <v>29.723225030084137</v>
      </c>
      <c r="AI55">
        <f t="shared" ref="AI55:AK55" si="79">MAX(AI37:AI52)</f>
        <v>28.279181708784666</v>
      </c>
      <c r="AJ55">
        <f t="shared" si="79"/>
        <v>63.898916967509031</v>
      </c>
      <c r="AK55">
        <f t="shared" si="79"/>
        <v>71.119133574007193</v>
      </c>
    </row>
    <row r="56" spans="1:37" x14ac:dyDescent="0.25">
      <c r="A56" t="s">
        <v>16</v>
      </c>
      <c r="B56">
        <f>MIN(B37:B52)</f>
        <v>-74.814814814815065</v>
      </c>
      <c r="C56">
        <f t="shared" ref="C56:E56" si="80">MIN(C37:C52)</f>
        <v>-80.740740740741074</v>
      </c>
      <c r="D56">
        <f t="shared" si="80"/>
        <v>-131.85185185185225</v>
      </c>
      <c r="E56">
        <f t="shared" si="80"/>
        <v>-30.370370370370381</v>
      </c>
      <c r="G56" t="s">
        <v>16</v>
      </c>
      <c r="H56">
        <f>MIN(H37:H52)</f>
        <v>-51.562499999999964</v>
      </c>
      <c r="I56">
        <f t="shared" ref="I56:K56" si="81">MIN(I37:I52)</f>
        <v>-22.916666666666764</v>
      </c>
      <c r="J56">
        <f t="shared" si="81"/>
        <v>-11.458333333333222</v>
      </c>
      <c r="K56">
        <f t="shared" si="81"/>
        <v>-26.041666666666803</v>
      </c>
      <c r="M56" t="s">
        <v>16</v>
      </c>
      <c r="N56">
        <f>MIN(N37:N52)</f>
        <v>-61.251504211792998</v>
      </c>
      <c r="O56">
        <f t="shared" ref="O56:Q56" si="82">MIN(O37:O52)</f>
        <v>-41.034897713598077</v>
      </c>
      <c r="P56">
        <f t="shared" si="82"/>
        <v>-34.777376654633066</v>
      </c>
      <c r="Q56">
        <f t="shared" si="82"/>
        <v>-67.027677496991643</v>
      </c>
      <c r="S56" s="4"/>
      <c r="U56" t="s">
        <v>16</v>
      </c>
      <c r="V56">
        <f>MIN(V37:V52)</f>
        <v>-74.814814814815065</v>
      </c>
      <c r="W56">
        <f t="shared" ref="W56:Y56" si="83">MIN(W37:W52)</f>
        <v>-80.740740740741074</v>
      </c>
      <c r="X56">
        <f t="shared" si="83"/>
        <v>-131.85185185185225</v>
      </c>
      <c r="Y56">
        <f t="shared" si="83"/>
        <v>-30.370370370370381</v>
      </c>
      <c r="AA56" t="s">
        <v>16</v>
      </c>
      <c r="AB56">
        <f>MIN(AB37:AB52)</f>
        <v>-51.562499999999964</v>
      </c>
      <c r="AC56">
        <f t="shared" ref="AC56:AE56" si="84">MIN(AC37:AC52)</f>
        <v>-22.916666666666764</v>
      </c>
      <c r="AD56">
        <f t="shared" si="84"/>
        <v>-11.458333333333222</v>
      </c>
      <c r="AE56">
        <f t="shared" si="84"/>
        <v>-26.041666666666803</v>
      </c>
      <c r="AG56" t="s">
        <v>16</v>
      </c>
      <c r="AH56">
        <f>MIN(AH37:AH52)</f>
        <v>-61.251504211792998</v>
      </c>
      <c r="AI56">
        <f t="shared" ref="AI56:AK56" si="85">MIN(AI37:AI52)</f>
        <v>-41.034897713598077</v>
      </c>
      <c r="AJ56">
        <f t="shared" si="85"/>
        <v>-34.777376654633066</v>
      </c>
      <c r="AK56">
        <f t="shared" si="85"/>
        <v>-67.027677496991643</v>
      </c>
    </row>
    <row r="57" spans="1:37" x14ac:dyDescent="0.25">
      <c r="A57" t="s">
        <v>17</v>
      </c>
      <c r="B57">
        <f>AVERAGE(B37:B52)</f>
        <v>0</v>
      </c>
      <c r="C57">
        <f t="shared" ref="C57:E57" si="86">AVERAGE(C37:C52)</f>
        <v>-3.9814814814815964</v>
      </c>
      <c r="D57">
        <f t="shared" si="86"/>
        <v>-14.444444444444521</v>
      </c>
      <c r="E57">
        <f t="shared" si="86"/>
        <v>27.407407407407408</v>
      </c>
      <c r="G57" t="s">
        <v>17</v>
      </c>
      <c r="H57">
        <f>AVERAGE(H37:H52)</f>
        <v>0</v>
      </c>
      <c r="I57">
        <f t="shared" ref="I57:K57" si="87">AVERAGE(I37:I52)</f>
        <v>3.906250000000016</v>
      </c>
      <c r="J57">
        <f t="shared" si="87"/>
        <v>7.4218750000000302</v>
      </c>
      <c r="K57">
        <f t="shared" si="87"/>
        <v>5.9244791666666465</v>
      </c>
      <c r="M57" t="s">
        <v>17</v>
      </c>
      <c r="N57">
        <f>AVERAGE(N37:N52)</f>
        <v>2.6645352591003757E-15</v>
      </c>
      <c r="O57">
        <f t="shared" ref="O57:Q57" si="88">AVERAGE(O37:O52)</f>
        <v>0.6618531889290411</v>
      </c>
      <c r="P57">
        <f t="shared" si="88"/>
        <v>11.612515042117884</v>
      </c>
      <c r="Q57">
        <f t="shared" si="88"/>
        <v>12.093862815884446</v>
      </c>
      <c r="S57" s="4"/>
      <c r="U57" t="s">
        <v>17</v>
      </c>
      <c r="V57">
        <f>AVERAGE(V37:V52)</f>
        <v>0</v>
      </c>
      <c r="W57">
        <f t="shared" ref="W57:Y57" si="89">AVERAGE(W37:W52)</f>
        <v>-3.9814814814815964</v>
      </c>
      <c r="X57">
        <f t="shared" si="89"/>
        <v>-14.444444444444521</v>
      </c>
      <c r="Y57">
        <f t="shared" si="89"/>
        <v>27.407407407407408</v>
      </c>
      <c r="AA57" t="s">
        <v>17</v>
      </c>
      <c r="AB57">
        <f>AVERAGE(AB37:AB52)</f>
        <v>0</v>
      </c>
      <c r="AC57">
        <f t="shared" ref="AC57:AE57" si="90">AVERAGE(AC37:AC52)</f>
        <v>3.906250000000016</v>
      </c>
      <c r="AD57">
        <f t="shared" si="90"/>
        <v>7.4218750000000302</v>
      </c>
      <c r="AE57">
        <f t="shared" si="90"/>
        <v>5.9244791666666465</v>
      </c>
      <c r="AG57" t="s">
        <v>17</v>
      </c>
      <c r="AH57">
        <f>AVERAGE(AH37:AH52)</f>
        <v>2.6645352591003757E-15</v>
      </c>
      <c r="AI57">
        <f t="shared" ref="AI57:AK57" si="91">AVERAGE(AI37:AI52)</f>
        <v>0.6618531889290411</v>
      </c>
      <c r="AJ57">
        <f t="shared" si="91"/>
        <v>11.612515042117884</v>
      </c>
      <c r="AK57">
        <f t="shared" si="91"/>
        <v>12.093862815884446</v>
      </c>
    </row>
    <row r="58" spans="1:37" x14ac:dyDescent="0.25">
      <c r="A58" t="s">
        <v>18</v>
      </c>
      <c r="B58">
        <f>STDEV(B37:B52)</f>
        <v>44.736255425333745</v>
      </c>
      <c r="C58">
        <f t="shared" ref="C58:E58" si="92">STDEV(C37:C52)</f>
        <v>41.900636454509524</v>
      </c>
      <c r="D58">
        <f t="shared" si="92"/>
        <v>62.757398636943925</v>
      </c>
      <c r="E58">
        <f t="shared" si="92"/>
        <v>37.853953699707333</v>
      </c>
      <c r="G58" t="s">
        <v>18</v>
      </c>
      <c r="H58">
        <f>STDEV(H37:H52)</f>
        <v>33.251853540650771</v>
      </c>
      <c r="I58">
        <f t="shared" ref="I58:K58" si="93">STDEV(I37:I52)</f>
        <v>19.906854651179252</v>
      </c>
      <c r="J58">
        <f t="shared" si="93"/>
        <v>16.633500295886385</v>
      </c>
      <c r="K58">
        <f t="shared" si="93"/>
        <v>28.237673198867032</v>
      </c>
      <c r="M58" t="s">
        <v>18</v>
      </c>
      <c r="N58">
        <f>STDEV(N37:N52)</f>
        <v>33.109439851386064</v>
      </c>
      <c r="O58">
        <f t="shared" ref="O58:Q58" si="94">STDEV(O37:O52)</f>
        <v>24.25225544556621</v>
      </c>
      <c r="P58">
        <f t="shared" si="94"/>
        <v>37.293859093587926</v>
      </c>
      <c r="Q58">
        <f t="shared" si="94"/>
        <v>39.923220560639571</v>
      </c>
      <c r="S58" s="4"/>
      <c r="U58" t="s">
        <v>18</v>
      </c>
      <c r="V58">
        <f>STDEV(V37:V52)</f>
        <v>44.736255425333745</v>
      </c>
      <c r="W58">
        <f t="shared" ref="W58:Y58" si="95">STDEV(W37:W52)</f>
        <v>41.900636454509524</v>
      </c>
      <c r="X58">
        <f t="shared" si="95"/>
        <v>62.757398636943925</v>
      </c>
      <c r="Y58">
        <f t="shared" si="95"/>
        <v>37.853953699707333</v>
      </c>
      <c r="AA58" t="s">
        <v>18</v>
      </c>
      <c r="AB58">
        <f>STDEV(AB37:AB52)</f>
        <v>33.251853540650771</v>
      </c>
      <c r="AC58">
        <f t="shared" ref="AC58:AE58" si="96">STDEV(AC37:AC52)</f>
        <v>19.906854651179252</v>
      </c>
      <c r="AD58">
        <f t="shared" si="96"/>
        <v>16.633500295886385</v>
      </c>
      <c r="AE58">
        <f t="shared" si="96"/>
        <v>28.237673198867032</v>
      </c>
      <c r="AG58" t="s">
        <v>18</v>
      </c>
      <c r="AH58">
        <f>STDEV(AH37:AH52)</f>
        <v>33.109439851386064</v>
      </c>
      <c r="AI58">
        <f t="shared" ref="AI58:AK58" si="97">STDEV(AI37:AI52)</f>
        <v>24.25225544556621</v>
      </c>
      <c r="AJ58">
        <f t="shared" si="97"/>
        <v>37.293859093587926</v>
      </c>
      <c r="AK58">
        <f t="shared" si="97"/>
        <v>39.923220560639571</v>
      </c>
    </row>
    <row r="59" spans="1:37" x14ac:dyDescent="0.25">
      <c r="A59" t="s">
        <v>19</v>
      </c>
      <c r="B59">
        <f>B57+2*B58</f>
        <v>89.47251085066749</v>
      </c>
      <c r="C59">
        <f t="shared" ref="C59:E59" si="98">C57+2*C58</f>
        <v>79.819791427537453</v>
      </c>
      <c r="D59">
        <f t="shared" si="98"/>
        <v>111.07035282944332</v>
      </c>
      <c r="E59">
        <f t="shared" si="98"/>
        <v>103.11531480682207</v>
      </c>
      <c r="G59" t="s">
        <v>19</v>
      </c>
      <c r="H59">
        <f>H57+2*H58</f>
        <v>66.503707081301542</v>
      </c>
      <c r="I59">
        <f t="shared" ref="I59:K59" si="99">I57+2*I58</f>
        <v>43.719959302358518</v>
      </c>
      <c r="J59">
        <f t="shared" si="99"/>
        <v>40.688875591772799</v>
      </c>
      <c r="K59">
        <f t="shared" si="99"/>
        <v>62.399825564400714</v>
      </c>
      <c r="M59" t="s">
        <v>19</v>
      </c>
      <c r="N59">
        <f>N57+2*N58</f>
        <v>66.218879702772128</v>
      </c>
      <c r="O59">
        <f t="shared" ref="O59:Q59" si="100">O57+2*O58</f>
        <v>49.166364080061463</v>
      </c>
      <c r="P59">
        <f t="shared" si="100"/>
        <v>86.20023322929373</v>
      </c>
      <c r="Q59">
        <f t="shared" si="100"/>
        <v>91.940303937163591</v>
      </c>
      <c r="S59" s="4"/>
      <c r="U59" t="s">
        <v>19</v>
      </c>
      <c r="V59">
        <f>V57+2*V58</f>
        <v>89.47251085066749</v>
      </c>
      <c r="W59">
        <f t="shared" ref="W59:Y59" si="101">W57+2*W58</f>
        <v>79.819791427537453</v>
      </c>
      <c r="X59">
        <f t="shared" si="101"/>
        <v>111.07035282944332</v>
      </c>
      <c r="Y59">
        <f t="shared" si="101"/>
        <v>103.11531480682207</v>
      </c>
      <c r="AA59" t="s">
        <v>19</v>
      </c>
      <c r="AB59">
        <f>AB57+2*AB58</f>
        <v>66.503707081301542</v>
      </c>
      <c r="AC59">
        <f t="shared" ref="AC59:AE59" si="102">AC57+2*AC58</f>
        <v>43.719959302358518</v>
      </c>
      <c r="AD59">
        <f t="shared" si="102"/>
        <v>40.688875591772799</v>
      </c>
      <c r="AE59">
        <f t="shared" si="102"/>
        <v>62.399825564400714</v>
      </c>
      <c r="AG59" t="s">
        <v>19</v>
      </c>
      <c r="AH59">
        <f>AH57+2*AH58</f>
        <v>66.218879702772128</v>
      </c>
      <c r="AI59">
        <f t="shared" ref="AI59:AK59" si="103">AI57+2*AI58</f>
        <v>49.166364080061463</v>
      </c>
      <c r="AJ59">
        <f t="shared" si="103"/>
        <v>86.20023322929373</v>
      </c>
      <c r="AK59">
        <f t="shared" si="103"/>
        <v>91.940303937163591</v>
      </c>
    </row>
    <row r="60" spans="1:37" x14ac:dyDescent="0.25">
      <c r="A60" t="s">
        <v>20</v>
      </c>
      <c r="B60">
        <f>B57-2*B58</f>
        <v>-89.47251085066749</v>
      </c>
      <c r="C60">
        <f t="shared" ref="C60:E60" si="104">C57-2*C58</f>
        <v>-87.782754390500642</v>
      </c>
      <c r="D60">
        <f t="shared" si="104"/>
        <v>-139.95924171833238</v>
      </c>
      <c r="E60">
        <f t="shared" si="104"/>
        <v>-48.300499992007261</v>
      </c>
      <c r="G60" t="s">
        <v>20</v>
      </c>
      <c r="H60">
        <f>H57-2*H58</f>
        <v>-66.503707081301542</v>
      </c>
      <c r="I60">
        <f t="shared" ref="I60:K60" si="105">I57-2*I58</f>
        <v>-35.90745930235849</v>
      </c>
      <c r="J60">
        <f t="shared" si="105"/>
        <v>-25.845125591772742</v>
      </c>
      <c r="K60">
        <f t="shared" si="105"/>
        <v>-50.550867231067414</v>
      </c>
      <c r="M60" t="s">
        <v>20</v>
      </c>
      <c r="N60">
        <f>N57-2*N58</f>
        <v>-66.218879702772128</v>
      </c>
      <c r="O60">
        <f t="shared" ref="O60:Q60" si="106">O57-2*O58</f>
        <v>-47.842657702203375</v>
      </c>
      <c r="P60">
        <f t="shared" si="106"/>
        <v>-62.975203145057968</v>
      </c>
      <c r="Q60">
        <f t="shared" si="106"/>
        <v>-67.752578305394692</v>
      </c>
      <c r="S60" s="4"/>
      <c r="U60" t="s">
        <v>20</v>
      </c>
      <c r="V60">
        <f>V57-2*V58</f>
        <v>-89.47251085066749</v>
      </c>
      <c r="W60">
        <f t="shared" ref="W60:Y60" si="107">W57-2*W58</f>
        <v>-87.782754390500642</v>
      </c>
      <c r="X60">
        <f t="shared" si="107"/>
        <v>-139.95924171833238</v>
      </c>
      <c r="Y60">
        <f t="shared" si="107"/>
        <v>-48.300499992007261</v>
      </c>
      <c r="AA60" t="s">
        <v>20</v>
      </c>
      <c r="AB60">
        <f>AB57-2*AB58</f>
        <v>-66.503707081301542</v>
      </c>
      <c r="AC60">
        <f t="shared" ref="AC60:AE60" si="108">AC57-2*AC58</f>
        <v>-35.90745930235849</v>
      </c>
      <c r="AD60">
        <f t="shared" si="108"/>
        <v>-25.845125591772742</v>
      </c>
      <c r="AE60">
        <f t="shared" si="108"/>
        <v>-50.550867231067414</v>
      </c>
      <c r="AG60" t="s">
        <v>20</v>
      </c>
      <c r="AH60">
        <f>AH57-2*AH58</f>
        <v>-66.218879702772128</v>
      </c>
      <c r="AI60">
        <f t="shared" ref="AI60:AK60" si="109">AI57-2*AI58</f>
        <v>-47.842657702203375</v>
      </c>
      <c r="AJ60">
        <f t="shared" si="109"/>
        <v>-62.975203145057968</v>
      </c>
      <c r="AK60">
        <f t="shared" si="109"/>
        <v>-67.752578305394692</v>
      </c>
    </row>
    <row r="61" spans="1:37" x14ac:dyDescent="0.25">
      <c r="A61" t="s">
        <v>21</v>
      </c>
      <c r="B61">
        <f>VAR(B37:B52)</f>
        <v>2001.3325494807032</v>
      </c>
      <c r="C61">
        <f t="shared" ref="C61:E61" si="110">VAR(C37:C52)</f>
        <v>1755.6633352929723</v>
      </c>
      <c r="D61">
        <f t="shared" si="110"/>
        <v>3938.4910836762915</v>
      </c>
      <c r="E61">
        <f t="shared" si="110"/>
        <v>1432.9218106995863</v>
      </c>
      <c r="G61" t="s">
        <v>21</v>
      </c>
      <c r="H61">
        <f>VAR(H37:H52)</f>
        <v>1105.6857638888891</v>
      </c>
      <c r="I61">
        <f t="shared" ref="I61:K61" si="111">VAR(I37:I52)</f>
        <v>396.28286210317702</v>
      </c>
      <c r="J61">
        <f t="shared" si="111"/>
        <v>276.67333209325244</v>
      </c>
      <c r="K61">
        <f t="shared" si="111"/>
        <v>797.36618768601352</v>
      </c>
      <c r="M61" t="s">
        <v>21</v>
      </c>
      <c r="N61">
        <f>VAR(N37:N52)</f>
        <v>1096.2350072725515</v>
      </c>
      <c r="O61">
        <f t="shared" ref="O61:Q61" si="112">VAR(O37:O52)</f>
        <v>588.17189419699582</v>
      </c>
      <c r="P61">
        <f t="shared" si="112"/>
        <v>1390.8319260923906</v>
      </c>
      <c r="Q61">
        <f t="shared" si="112"/>
        <v>1593.8635399334744</v>
      </c>
      <c r="S61" s="4"/>
      <c r="U61" t="s">
        <v>21</v>
      </c>
      <c r="V61">
        <f>VAR(V37:V52)</f>
        <v>2001.3325494807032</v>
      </c>
      <c r="W61">
        <f t="shared" ref="W61:Y61" si="113">VAR(W37:W52)</f>
        <v>1755.6633352929723</v>
      </c>
      <c r="X61">
        <f t="shared" si="113"/>
        <v>3938.4910836762915</v>
      </c>
      <c r="Y61">
        <f t="shared" si="113"/>
        <v>1432.9218106995863</v>
      </c>
      <c r="AA61" t="s">
        <v>21</v>
      </c>
      <c r="AB61">
        <f>VAR(AB37:AB52)</f>
        <v>1105.6857638888891</v>
      </c>
      <c r="AC61">
        <f t="shared" ref="AC61:AE61" si="114">VAR(AC37:AC52)</f>
        <v>396.28286210317702</v>
      </c>
      <c r="AD61">
        <f t="shared" si="114"/>
        <v>276.67333209325244</v>
      </c>
      <c r="AE61">
        <f t="shared" si="114"/>
        <v>797.36618768601352</v>
      </c>
      <c r="AG61" t="s">
        <v>21</v>
      </c>
      <c r="AH61">
        <f>VAR(AH37:AH52)</f>
        <v>1096.2350072725515</v>
      </c>
      <c r="AI61">
        <f t="shared" ref="AI61:AK61" si="115">VAR(AI37:AI52)</f>
        <v>588.17189419699582</v>
      </c>
      <c r="AJ61">
        <f t="shared" si="115"/>
        <v>1390.8319260923906</v>
      </c>
      <c r="AK61">
        <f t="shared" si="115"/>
        <v>1593.8635399334744</v>
      </c>
    </row>
    <row r="62" spans="1:37" x14ac:dyDescent="0.25">
      <c r="S62" s="4"/>
    </row>
    <row r="63" spans="1:37" x14ac:dyDescent="0.25">
      <c r="A63" t="s">
        <v>22</v>
      </c>
      <c r="S63" s="4"/>
      <c r="U63" t="s">
        <v>22</v>
      </c>
    </row>
    <row r="64" spans="1:37" x14ac:dyDescent="0.25">
      <c r="A64" t="s">
        <v>1</v>
      </c>
      <c r="B64" t="e">
        <f>TTEST(B45:B52,H45:H52,2,3)</f>
        <v>#DIV/0!</v>
      </c>
      <c r="S64" s="4"/>
      <c r="U64" t="s">
        <v>1</v>
      </c>
      <c r="V64" t="e">
        <f>TTEST(V45:V52,AB45:AB52,2,3)</f>
        <v>#DIV/0!</v>
      </c>
    </row>
    <row r="65" spans="1:37" x14ac:dyDescent="0.25">
      <c r="A65" t="s">
        <v>2</v>
      </c>
      <c r="B65" t="e">
        <f>TTEST(C45:C52,I45:I52,2,3)</f>
        <v>#DIV/0!</v>
      </c>
      <c r="S65" s="4"/>
      <c r="U65" t="s">
        <v>2</v>
      </c>
      <c r="V65" t="e">
        <f>TTEST(W45:W52,AC45:AC52,2,3)</f>
        <v>#DIV/0!</v>
      </c>
    </row>
    <row r="66" spans="1:37" x14ac:dyDescent="0.25">
      <c r="A66" t="s">
        <v>3</v>
      </c>
      <c r="B66" t="e">
        <f>TTEST(D45:D52,J45:J52,2,3)</f>
        <v>#DIV/0!</v>
      </c>
      <c r="S66" s="4"/>
      <c r="U66" t="s">
        <v>3</v>
      </c>
      <c r="V66" t="e">
        <f>TTEST(X45:X52,AD45:AD52,2,3)</f>
        <v>#DIV/0!</v>
      </c>
    </row>
    <row r="67" spans="1:37" x14ac:dyDescent="0.25">
      <c r="A67" t="s">
        <v>4</v>
      </c>
      <c r="B67" t="e">
        <f>TTEST(E45:E52,K45:K52,2,3)</f>
        <v>#DIV/0!</v>
      </c>
      <c r="S67" s="4"/>
      <c r="U67" t="s">
        <v>4</v>
      </c>
      <c r="V67" t="e">
        <f>TTEST(Y45:Y52,AE45:AE52,2,3)</f>
        <v>#DIV/0!</v>
      </c>
    </row>
    <row r="68" spans="1:37" x14ac:dyDescent="0.25">
      <c r="S68" s="4"/>
    </row>
    <row r="69" spans="1:37" x14ac:dyDescent="0.25">
      <c r="A69" t="s">
        <v>26</v>
      </c>
      <c r="S69" s="4"/>
      <c r="U69" t="s">
        <v>26</v>
      </c>
    </row>
    <row r="70" spans="1:37" x14ac:dyDescent="0.25">
      <c r="A70" s="1" t="s">
        <v>29</v>
      </c>
      <c r="B70" s="1" t="s">
        <v>1</v>
      </c>
      <c r="C70" s="1" t="s">
        <v>2</v>
      </c>
      <c r="D70" s="1" t="s">
        <v>3</v>
      </c>
      <c r="E70" s="1" t="s">
        <v>4</v>
      </c>
      <c r="G70" s="1" t="s">
        <v>30</v>
      </c>
      <c r="H70" s="1" t="s">
        <v>1</v>
      </c>
      <c r="I70" s="1" t="s">
        <v>2</v>
      </c>
      <c r="J70" s="1" t="s">
        <v>3</v>
      </c>
      <c r="K70" s="1" t="s">
        <v>4</v>
      </c>
      <c r="M70" s="1" t="s">
        <v>31</v>
      </c>
      <c r="N70" s="1" t="s">
        <v>1</v>
      </c>
      <c r="O70" s="1" t="s">
        <v>2</v>
      </c>
      <c r="P70" s="1" t="s">
        <v>3</v>
      </c>
      <c r="Q70" s="1" t="s">
        <v>4</v>
      </c>
      <c r="R70" s="1"/>
      <c r="S70" s="4"/>
      <c r="U70" s="1" t="s">
        <v>29</v>
      </c>
      <c r="V70" s="1" t="s">
        <v>1</v>
      </c>
      <c r="W70" s="1" t="s">
        <v>2</v>
      </c>
      <c r="X70" s="1" t="s">
        <v>3</v>
      </c>
      <c r="Y70" s="1" t="s">
        <v>4</v>
      </c>
      <c r="AA70" s="1" t="s">
        <v>30</v>
      </c>
      <c r="AB70" s="1" t="s">
        <v>1</v>
      </c>
      <c r="AC70" s="1" t="s">
        <v>2</v>
      </c>
      <c r="AD70" s="1" t="s">
        <v>3</v>
      </c>
      <c r="AE70" s="1" t="s">
        <v>4</v>
      </c>
      <c r="AG70" s="1" t="s">
        <v>31</v>
      </c>
      <c r="AH70" s="1" t="s">
        <v>1</v>
      </c>
      <c r="AI70" s="1" t="s">
        <v>2</v>
      </c>
      <c r="AJ70" s="1" t="s">
        <v>3</v>
      </c>
      <c r="AK70" s="1" t="s">
        <v>4</v>
      </c>
    </row>
    <row r="71" spans="1:37" x14ac:dyDescent="0.25">
      <c r="A71" t="s">
        <v>5</v>
      </c>
      <c r="B71" s="3"/>
      <c r="C71" s="3">
        <f>-((C3-B$23)/B$23)*100</f>
        <v>35.555555555555266</v>
      </c>
      <c r="D71" s="3">
        <f t="shared" ref="D71:E78" si="116">-((D3-C$23)/C$23)*100</f>
        <v>18.788958147818665</v>
      </c>
      <c r="E71" s="3">
        <f t="shared" si="116"/>
        <v>-13.915857605177953</v>
      </c>
      <c r="G71" t="s">
        <v>5</v>
      </c>
      <c r="H71" s="3"/>
      <c r="I71" s="3">
        <f>-((I3-H$23)/H$23)*100</f>
        <v>-22.916666666666764</v>
      </c>
      <c r="J71" s="3">
        <f>-((J3-I$23)/I$23)*100</f>
        <v>-15.989159891598822</v>
      </c>
      <c r="K71" s="3">
        <f>-((K3-J$23)/J$23)*100</f>
        <v>5.4852320675106494</v>
      </c>
      <c r="M71" t="s">
        <v>5</v>
      </c>
      <c r="N71" s="3"/>
      <c r="O71" s="3">
        <f>-((O3-N$23)/N$23)*100</f>
        <v>-22.262334536702628</v>
      </c>
      <c r="P71" s="3">
        <f t="shared" ref="P71:Q78" si="117">-((P3-O$23)/O$23)*100</f>
        <v>-20.654149000605759</v>
      </c>
      <c r="Q71" s="3">
        <f t="shared" si="117"/>
        <v>67.324710687542549</v>
      </c>
      <c r="R71" s="3"/>
      <c r="S71" s="4"/>
      <c r="U71" t="s">
        <v>5</v>
      </c>
      <c r="V71" s="3"/>
      <c r="W71" s="3">
        <f>-((W3-V$23)/V$23)*100</f>
        <v>35.555555555555266</v>
      </c>
      <c r="X71" s="3">
        <f t="shared" ref="X71:X74" si="118">-((X3-W$23)/W$23)*100</f>
        <v>18.788958147818665</v>
      </c>
      <c r="Y71" s="3">
        <f t="shared" ref="Y71" si="119">-((Y3-X$23)/X$23)*100</f>
        <v>-13.915857605177953</v>
      </c>
      <c r="AA71" t="s">
        <v>5</v>
      </c>
      <c r="AB71" s="3"/>
      <c r="AC71" s="3">
        <f>-((AC3-AB$23)/AB$23)*100</f>
        <v>-22.916666666666764</v>
      </c>
      <c r="AD71" s="3">
        <f>-((AD3-AC$23)/AC$23)*100</f>
        <v>-15.989159891598822</v>
      </c>
      <c r="AE71" s="3">
        <f>-((AE3-AD$23)/AD$23)*100</f>
        <v>5.4852320675106494</v>
      </c>
      <c r="AG71" t="s">
        <v>5</v>
      </c>
      <c r="AH71" s="3"/>
      <c r="AI71" s="3">
        <f>-((AI3-AH$23)/AH$23)*100</f>
        <v>-22.262334536702628</v>
      </c>
      <c r="AJ71" s="3">
        <f t="shared" ref="AJ71:AJ78" si="120">-((AJ3-AI$23)/AI$23)*100</f>
        <v>-20.654149000605759</v>
      </c>
      <c r="AK71" s="3">
        <f t="shared" ref="AK71:AK78" si="121">-((AK3-AJ$23)/AJ$23)*100</f>
        <v>67.324710687542549</v>
      </c>
    </row>
    <row r="72" spans="1:37" x14ac:dyDescent="0.25">
      <c r="A72" t="s">
        <v>7</v>
      </c>
      <c r="B72" s="3"/>
      <c r="C72" s="3">
        <f t="shared" ref="C72:C78" si="122">-((C4-B$23)/B$23)*100</f>
        <v>-11.111111111111379</v>
      </c>
      <c r="D72" s="3">
        <f t="shared" si="116"/>
        <v>-6.8566340160286137</v>
      </c>
      <c r="E72" s="3"/>
      <c r="G72" t="s">
        <v>7</v>
      </c>
      <c r="H72" s="3"/>
      <c r="I72" s="3">
        <f t="shared" ref="I72:K78" si="123">-((I4-H$23)/H$23)*100</f>
        <v>-15.624999999999972</v>
      </c>
      <c r="J72" s="3">
        <f t="shared" si="123"/>
        <v>-1.355013550135368</v>
      </c>
      <c r="K72" s="3">
        <f t="shared" si="123"/>
        <v>-36.146272855133809</v>
      </c>
      <c r="M72" t="s">
        <v>7</v>
      </c>
      <c r="N72" s="3"/>
      <c r="O72" s="3">
        <f t="shared" ref="O72:O78" si="124">-((O4-N$23)/N$23)*100</f>
        <v>10.469314079422332</v>
      </c>
      <c r="P72" s="3">
        <f t="shared" si="117"/>
        <v>-23.56147789218668</v>
      </c>
      <c r="Q72" s="3">
        <f t="shared" si="117"/>
        <v>-5.1055139550713431</v>
      </c>
      <c r="R72" s="3"/>
      <c r="S72" s="4"/>
      <c r="U72" t="s">
        <v>7</v>
      </c>
      <c r="V72" s="3"/>
      <c r="W72" s="3">
        <f t="shared" ref="W72:W78" si="125">-((W4-V$23)/V$23)*100</f>
        <v>-11.111111111111379</v>
      </c>
      <c r="X72" s="3">
        <f t="shared" si="118"/>
        <v>-6.8566340160286137</v>
      </c>
      <c r="Y72" s="3"/>
      <c r="AA72" t="s">
        <v>7</v>
      </c>
      <c r="AB72" s="3"/>
      <c r="AC72" s="3">
        <f t="shared" ref="AC72:AE72" si="126">-((AC4-AB$23)/AB$23)*100</f>
        <v>-15.624999999999972</v>
      </c>
      <c r="AD72" s="3">
        <f t="shared" si="126"/>
        <v>-1.355013550135368</v>
      </c>
      <c r="AE72" s="3">
        <f t="shared" si="126"/>
        <v>-36.146272855133809</v>
      </c>
      <c r="AG72" t="s">
        <v>7</v>
      </c>
      <c r="AH72" s="3"/>
      <c r="AI72" s="3">
        <f t="shared" ref="AI72:AI78" si="127">-((AI4-AH$23)/AH$23)*100</f>
        <v>10.469314079422332</v>
      </c>
      <c r="AJ72" s="3">
        <f t="shared" si="120"/>
        <v>-23.56147789218668</v>
      </c>
      <c r="AK72" s="3">
        <f t="shared" si="121"/>
        <v>-5.1055139550713431</v>
      </c>
    </row>
    <row r="73" spans="1:37" x14ac:dyDescent="0.25">
      <c r="A73" t="s">
        <v>8</v>
      </c>
      <c r="B73" s="3"/>
      <c r="C73" s="3">
        <f t="shared" si="122"/>
        <v>-39.259259259259437</v>
      </c>
      <c r="D73" s="3">
        <f t="shared" si="116"/>
        <v>18.788958147818665</v>
      </c>
      <c r="E73" s="3">
        <f t="shared" si="116"/>
        <v>19.741100323624718</v>
      </c>
      <c r="G73" t="s">
        <v>8</v>
      </c>
      <c r="H73" s="3"/>
      <c r="I73" s="3">
        <f t="shared" si="123"/>
        <v>12.500000000000124</v>
      </c>
      <c r="J73" s="3">
        <f t="shared" si="123"/>
        <v>6.7750677506775716</v>
      </c>
      <c r="K73" s="3">
        <f t="shared" si="123"/>
        <v>8.8607594936710434</v>
      </c>
      <c r="M73" t="s">
        <v>8</v>
      </c>
      <c r="N73" s="3"/>
      <c r="O73" s="3">
        <f t="shared" si="124"/>
        <v>6.6185318892898941</v>
      </c>
      <c r="P73" s="3">
        <f t="shared" si="117"/>
        <v>43.791641429436844</v>
      </c>
      <c r="Q73" s="3">
        <f t="shared" si="117"/>
        <v>-15.997277059224022</v>
      </c>
      <c r="R73" s="3"/>
      <c r="S73" s="4"/>
      <c r="U73" t="s">
        <v>8</v>
      </c>
      <c r="V73" s="3"/>
      <c r="W73" s="3">
        <f t="shared" si="125"/>
        <v>-39.259259259259437</v>
      </c>
      <c r="X73" s="3">
        <f t="shared" si="118"/>
        <v>18.788958147818665</v>
      </c>
      <c r="Y73" s="3">
        <f t="shared" ref="Y73:Y74" si="128">-((Y5-X$23)/X$23)*100</f>
        <v>19.741100323624718</v>
      </c>
      <c r="AA73" t="s">
        <v>8</v>
      </c>
      <c r="AB73" s="3"/>
      <c r="AC73" s="3">
        <f t="shared" ref="AC73:AE73" si="129">-((AC5-AB$23)/AB$23)*100</f>
        <v>12.500000000000124</v>
      </c>
      <c r="AD73" s="3">
        <f t="shared" si="129"/>
        <v>6.7750677506775716</v>
      </c>
      <c r="AE73" s="3">
        <f t="shared" si="129"/>
        <v>8.8607594936710434</v>
      </c>
      <c r="AG73" t="s">
        <v>8</v>
      </c>
      <c r="AH73" s="3"/>
      <c r="AI73" s="3">
        <f t="shared" si="127"/>
        <v>6.6185318892898941</v>
      </c>
      <c r="AJ73" s="3">
        <f t="shared" si="120"/>
        <v>43.791641429436844</v>
      </c>
      <c r="AK73" s="3">
        <f t="shared" si="121"/>
        <v>-15.997277059224022</v>
      </c>
    </row>
    <row r="74" spans="1:37" x14ac:dyDescent="0.25">
      <c r="A74" t="s">
        <v>9</v>
      </c>
      <c r="B74" s="3"/>
      <c r="C74" s="3">
        <f t="shared" si="122"/>
        <v>-80.740740740741074</v>
      </c>
      <c r="D74" s="3">
        <f t="shared" si="116"/>
        <v>-18.967052537845088</v>
      </c>
      <c r="E74" s="3">
        <f t="shared" si="116"/>
        <v>56.634304207119747</v>
      </c>
      <c r="G74" t="s">
        <v>9</v>
      </c>
      <c r="H74" s="3"/>
      <c r="I74" s="3">
        <f t="shared" si="123"/>
        <v>-13.020833333333467</v>
      </c>
      <c r="J74" s="3">
        <f t="shared" si="123"/>
        <v>-13.279132791327989</v>
      </c>
      <c r="K74" s="3">
        <f t="shared" si="123"/>
        <v>-35.583684950773538</v>
      </c>
      <c r="M74" t="s">
        <v>9</v>
      </c>
      <c r="N74" s="3"/>
      <c r="O74" s="3">
        <f t="shared" si="124"/>
        <v>15.282791817087885</v>
      </c>
      <c r="P74" s="3">
        <f t="shared" si="117"/>
        <v>49.606299212598273</v>
      </c>
      <c r="Q74" s="3">
        <f t="shared" si="117"/>
        <v>6.330837304288746</v>
      </c>
      <c r="R74" s="3"/>
      <c r="S74" s="4"/>
      <c r="U74" t="s">
        <v>9</v>
      </c>
      <c r="V74" s="3"/>
      <c r="W74" s="3">
        <f t="shared" si="125"/>
        <v>-80.740740740741074</v>
      </c>
      <c r="X74" s="3">
        <f t="shared" si="118"/>
        <v>-18.967052537845088</v>
      </c>
      <c r="Y74" s="3">
        <f t="shared" si="128"/>
        <v>56.634304207119747</v>
      </c>
      <c r="AA74" t="s">
        <v>9</v>
      </c>
      <c r="AB74" s="3"/>
      <c r="AC74" s="3">
        <f t="shared" ref="AC74:AE74" si="130">-((AC6-AB$23)/AB$23)*100</f>
        <v>-13.020833333333467</v>
      </c>
      <c r="AD74" s="3">
        <f t="shared" si="130"/>
        <v>-13.279132791327989</v>
      </c>
      <c r="AE74" s="3">
        <f t="shared" si="130"/>
        <v>-35.583684950773538</v>
      </c>
      <c r="AG74" t="s">
        <v>9</v>
      </c>
      <c r="AH74" s="3"/>
      <c r="AI74" s="3">
        <f t="shared" si="127"/>
        <v>15.282791817087885</v>
      </c>
      <c r="AJ74" s="3">
        <f t="shared" si="120"/>
        <v>49.606299212598273</v>
      </c>
      <c r="AK74" s="3">
        <f t="shared" si="121"/>
        <v>6.330837304288746</v>
      </c>
    </row>
    <row r="75" spans="1:37" x14ac:dyDescent="0.25">
      <c r="A75" t="s">
        <v>10</v>
      </c>
      <c r="B75" s="3"/>
      <c r="C75" s="3">
        <f t="shared" si="122"/>
        <v>-8.888888888888804</v>
      </c>
      <c r="D75" s="3"/>
      <c r="E75" s="3"/>
      <c r="G75" t="s">
        <v>10</v>
      </c>
      <c r="H75" s="3"/>
      <c r="I75" s="3">
        <f t="shared" si="123"/>
        <v>14.062499999999941</v>
      </c>
      <c r="J75" s="3">
        <f t="shared" si="123"/>
        <v>28.997289972899544</v>
      </c>
      <c r="K75" s="3">
        <f t="shared" si="123"/>
        <v>26.300984528832426</v>
      </c>
      <c r="M75" t="s">
        <v>10</v>
      </c>
      <c r="N75" s="3"/>
      <c r="O75" s="3">
        <f t="shared" si="124"/>
        <v>-15.042117930204506</v>
      </c>
      <c r="P75" s="3">
        <f t="shared" si="117"/>
        <v>63.658388855239245</v>
      </c>
      <c r="Q75" s="3">
        <f t="shared" si="117"/>
        <v>-88.972089857045617</v>
      </c>
      <c r="R75" s="3"/>
      <c r="S75" s="4"/>
      <c r="U75" t="s">
        <v>10</v>
      </c>
      <c r="V75" s="3"/>
      <c r="W75" s="3">
        <f t="shared" si="125"/>
        <v>-8.888888888888804</v>
      </c>
      <c r="X75" s="3"/>
      <c r="Y75" s="3"/>
      <c r="AA75" t="s">
        <v>10</v>
      </c>
      <c r="AB75" s="3"/>
      <c r="AC75" s="3">
        <f t="shared" ref="AC75:AE75" si="131">-((AC7-AB$23)/AB$23)*100</f>
        <v>14.062499999999941</v>
      </c>
      <c r="AD75" s="3">
        <f t="shared" si="131"/>
        <v>28.997289972899544</v>
      </c>
      <c r="AE75" s="3">
        <f t="shared" si="131"/>
        <v>26.300984528832426</v>
      </c>
      <c r="AG75" t="s">
        <v>10</v>
      </c>
      <c r="AH75" s="3"/>
      <c r="AI75" s="3">
        <f t="shared" si="127"/>
        <v>-15.042117930204506</v>
      </c>
      <c r="AJ75" s="3">
        <f t="shared" si="120"/>
        <v>63.658388855239245</v>
      </c>
      <c r="AK75" s="3">
        <f t="shared" si="121"/>
        <v>-88.972089857045617</v>
      </c>
    </row>
    <row r="76" spans="1:37" x14ac:dyDescent="0.25">
      <c r="A76" t="s">
        <v>11</v>
      </c>
      <c r="B76" s="3"/>
      <c r="C76" s="3">
        <f t="shared" si="122"/>
        <v>-0.74074074074080709</v>
      </c>
      <c r="D76" s="3">
        <f t="shared" si="116"/>
        <v>-122.97417631344622</v>
      </c>
      <c r="E76" s="3"/>
      <c r="G76" t="s">
        <v>11</v>
      </c>
      <c r="H76" s="3"/>
      <c r="I76" s="3">
        <f t="shared" si="123"/>
        <v>36.458333333333456</v>
      </c>
      <c r="J76" s="3">
        <f t="shared" si="123"/>
        <v>28.455284552845544</v>
      </c>
      <c r="K76" s="3">
        <f t="shared" si="123"/>
        <v>40.928270042194157</v>
      </c>
      <c r="M76" t="s">
        <v>11</v>
      </c>
      <c r="N76" s="3"/>
      <c r="O76" s="3">
        <f t="shared" si="124"/>
        <v>28.279181708784666</v>
      </c>
      <c r="P76" s="3">
        <f t="shared" si="117"/>
        <v>-35.675348273773636</v>
      </c>
      <c r="Q76" s="3">
        <f t="shared" si="117"/>
        <v>34.10483321987742</v>
      </c>
      <c r="R76" s="3"/>
      <c r="S76" s="4"/>
      <c r="U76" t="s">
        <v>11</v>
      </c>
      <c r="V76" s="3"/>
      <c r="W76" s="3">
        <f t="shared" si="125"/>
        <v>-0.74074074074080709</v>
      </c>
      <c r="X76" s="3">
        <f t="shared" ref="X76" si="132">-((X8-W$23)/W$23)*100</f>
        <v>-122.97417631344622</v>
      </c>
      <c r="Y76" s="3"/>
      <c r="AA76" t="s">
        <v>11</v>
      </c>
      <c r="AB76" s="3"/>
      <c r="AC76" s="3">
        <f t="shared" ref="AC76:AE76" si="133">-((AC8-AB$23)/AB$23)*100</f>
        <v>36.458333333333456</v>
      </c>
      <c r="AD76" s="3">
        <f t="shared" si="133"/>
        <v>28.455284552845544</v>
      </c>
      <c r="AE76" s="3">
        <f t="shared" si="133"/>
        <v>40.928270042194157</v>
      </c>
      <c r="AG76" t="s">
        <v>11</v>
      </c>
      <c r="AH76" s="3"/>
      <c r="AI76" s="3">
        <f t="shared" si="127"/>
        <v>28.279181708784666</v>
      </c>
      <c r="AJ76" s="3">
        <f t="shared" si="120"/>
        <v>-35.675348273773636</v>
      </c>
      <c r="AK76" s="3">
        <f t="shared" si="121"/>
        <v>34.10483321987742</v>
      </c>
    </row>
    <row r="77" spans="1:37" x14ac:dyDescent="0.25">
      <c r="A77" t="s">
        <v>12</v>
      </c>
      <c r="B77" s="3"/>
      <c r="C77" s="3">
        <f t="shared" si="122"/>
        <v>26.666666666666806</v>
      </c>
      <c r="D77" s="3"/>
      <c r="E77" s="3">
        <f t="shared" si="116"/>
        <v>63.754045307443342</v>
      </c>
      <c r="G77" t="s">
        <v>12</v>
      </c>
      <c r="H77" s="3"/>
      <c r="I77" s="3">
        <f t="shared" si="123"/>
        <v>3.6458333333335027</v>
      </c>
      <c r="J77" s="3">
        <f t="shared" si="123"/>
        <v>-7.8590785907858844</v>
      </c>
      <c r="K77" s="3">
        <f t="shared" si="123"/>
        <v>-36.146272855133809</v>
      </c>
      <c r="M77" t="s">
        <v>12</v>
      </c>
      <c r="N77" s="3"/>
      <c r="O77" s="3">
        <f t="shared" si="124"/>
        <v>22.98435619735276</v>
      </c>
      <c r="P77" s="3">
        <f t="shared" si="117"/>
        <v>-1.2719563900667303</v>
      </c>
      <c r="Q77" s="3">
        <f t="shared" si="117"/>
        <v>16.133424098025717</v>
      </c>
      <c r="R77" s="3"/>
      <c r="S77" s="4"/>
      <c r="U77" t="s">
        <v>12</v>
      </c>
      <c r="V77" s="3"/>
      <c r="W77" s="3">
        <f t="shared" si="125"/>
        <v>26.666666666666806</v>
      </c>
      <c r="X77" s="3"/>
      <c r="Y77" s="3">
        <f t="shared" ref="Y77:Y78" si="134">-((Y9-X$23)/X$23)*100</f>
        <v>63.754045307443342</v>
      </c>
      <c r="AA77" t="s">
        <v>12</v>
      </c>
      <c r="AB77" s="3"/>
      <c r="AC77" s="3">
        <f t="shared" ref="AC77:AE77" si="135">-((AC9-AB$23)/AB$23)*100</f>
        <v>3.6458333333335027</v>
      </c>
      <c r="AD77" s="3">
        <f t="shared" si="135"/>
        <v>-7.8590785907858844</v>
      </c>
      <c r="AE77" s="3">
        <f t="shared" si="135"/>
        <v>-36.146272855133809</v>
      </c>
      <c r="AG77" t="s">
        <v>12</v>
      </c>
      <c r="AH77" s="3"/>
      <c r="AI77" s="3">
        <f t="shared" si="127"/>
        <v>22.98435619735276</v>
      </c>
      <c r="AJ77" s="3">
        <f t="shared" si="120"/>
        <v>-1.2719563900667303</v>
      </c>
      <c r="AK77" s="3">
        <f t="shared" si="121"/>
        <v>16.133424098025717</v>
      </c>
    </row>
    <row r="78" spans="1:37" x14ac:dyDescent="0.25">
      <c r="A78" t="s">
        <v>13</v>
      </c>
      <c r="B78" s="3"/>
      <c r="C78" s="3">
        <f t="shared" si="122"/>
        <v>46.666666666666643</v>
      </c>
      <c r="D78" s="3">
        <f t="shared" si="116"/>
        <v>50.845948352626912</v>
      </c>
      <c r="E78" s="3">
        <f t="shared" si="116"/>
        <v>56.634304207119747</v>
      </c>
      <c r="G78" t="s">
        <v>13</v>
      </c>
      <c r="H78" s="3"/>
      <c r="I78" s="3">
        <f t="shared" si="123"/>
        <v>16.145833333333304</v>
      </c>
      <c r="J78" s="3">
        <f t="shared" si="123"/>
        <v>3.5230352303523143</v>
      </c>
      <c r="K78" s="3">
        <f t="shared" si="123"/>
        <v>13.361462728551125</v>
      </c>
      <c r="M78" t="s">
        <v>13</v>
      </c>
      <c r="N78" s="3"/>
      <c r="O78" s="3">
        <f t="shared" si="124"/>
        <v>-41.034897713598077</v>
      </c>
      <c r="P78" s="3">
        <f t="shared" si="117"/>
        <v>12.29557843731048</v>
      </c>
      <c r="Q78" s="3">
        <f t="shared" si="117"/>
        <v>-9.462219196732411</v>
      </c>
      <c r="R78" s="3"/>
      <c r="S78" s="4"/>
      <c r="U78" t="s">
        <v>13</v>
      </c>
      <c r="V78" s="3"/>
      <c r="W78" s="3">
        <f t="shared" si="125"/>
        <v>46.666666666666643</v>
      </c>
      <c r="X78" s="3">
        <f t="shared" ref="X78" si="136">-((X10-W$23)/W$23)*100</f>
        <v>50.845948352626912</v>
      </c>
      <c r="Y78" s="3">
        <f t="shared" si="134"/>
        <v>56.634304207119747</v>
      </c>
      <c r="AA78" t="s">
        <v>13</v>
      </c>
      <c r="AB78" s="3"/>
      <c r="AC78" s="3">
        <f t="shared" ref="AC78:AE78" si="137">-((AC10-AB$23)/AB$23)*100</f>
        <v>16.145833333333304</v>
      </c>
      <c r="AD78" s="3">
        <f t="shared" si="137"/>
        <v>3.5230352303523143</v>
      </c>
      <c r="AE78" s="3">
        <f t="shared" si="137"/>
        <v>13.361462728551125</v>
      </c>
      <c r="AG78" t="s">
        <v>13</v>
      </c>
      <c r="AH78" s="3"/>
      <c r="AI78" s="3">
        <f t="shared" si="127"/>
        <v>-41.034897713598077</v>
      </c>
      <c r="AJ78" s="3">
        <f t="shared" si="120"/>
        <v>12.29557843731048</v>
      </c>
      <c r="AK78" s="3">
        <f t="shared" si="121"/>
        <v>-9.462219196732411</v>
      </c>
    </row>
    <row r="79" spans="1:37" x14ac:dyDescent="0.25">
      <c r="A79" t="s">
        <v>5</v>
      </c>
      <c r="C79" s="3"/>
      <c r="D79" s="3"/>
      <c r="E79" s="3"/>
      <c r="G79" t="s">
        <v>5</v>
      </c>
      <c r="I79" s="3"/>
      <c r="J79" s="3"/>
      <c r="K79" s="3"/>
      <c r="M79" t="s">
        <v>5</v>
      </c>
      <c r="O79" s="3"/>
      <c r="P79" s="3"/>
      <c r="Q79" s="3"/>
      <c r="S79" s="4"/>
      <c r="U79" t="s">
        <v>5</v>
      </c>
      <c r="W79" s="3"/>
      <c r="X79" s="3"/>
      <c r="Y79" s="3"/>
      <c r="AA79" t="s">
        <v>5</v>
      </c>
      <c r="AC79" s="3"/>
      <c r="AD79" s="3"/>
      <c r="AE79" s="3"/>
      <c r="AG79" t="s">
        <v>5</v>
      </c>
      <c r="AI79" s="3"/>
      <c r="AJ79" s="3"/>
      <c r="AK79" s="3"/>
    </row>
    <row r="80" spans="1:37" x14ac:dyDescent="0.25">
      <c r="A80" t="s">
        <v>7</v>
      </c>
      <c r="C80" s="3"/>
      <c r="D80" s="3"/>
      <c r="E80" s="3"/>
      <c r="G80" t="s">
        <v>7</v>
      </c>
      <c r="I80" s="3"/>
      <c r="J80" s="3"/>
      <c r="K80" s="3"/>
      <c r="M80" t="s">
        <v>7</v>
      </c>
      <c r="O80" s="3"/>
      <c r="P80" s="3"/>
      <c r="Q80" s="3"/>
      <c r="S80" s="4"/>
      <c r="U80" t="s">
        <v>7</v>
      </c>
      <c r="W80" s="3"/>
      <c r="X80" s="3"/>
      <c r="Y80" s="3"/>
      <c r="AA80" t="s">
        <v>7</v>
      </c>
      <c r="AC80" s="3"/>
      <c r="AD80" s="3"/>
      <c r="AE80" s="3"/>
      <c r="AG80" t="s">
        <v>7</v>
      </c>
      <c r="AI80" s="3"/>
      <c r="AJ80" s="3"/>
      <c r="AK80" s="3"/>
    </row>
    <row r="81" spans="1:37" x14ac:dyDescent="0.25">
      <c r="A81" t="s">
        <v>8</v>
      </c>
      <c r="C81" s="3"/>
      <c r="D81" s="3"/>
      <c r="E81" s="3"/>
      <c r="G81" t="s">
        <v>8</v>
      </c>
      <c r="I81" s="3"/>
      <c r="J81" s="3"/>
      <c r="K81" s="3"/>
      <c r="M81" t="s">
        <v>8</v>
      </c>
      <c r="O81" s="3"/>
      <c r="P81" s="3"/>
      <c r="Q81" s="3"/>
      <c r="S81" s="4"/>
      <c r="U81" t="s">
        <v>8</v>
      </c>
      <c r="W81" s="3"/>
      <c r="X81" s="3"/>
      <c r="Y81" s="3"/>
      <c r="AA81" t="s">
        <v>8</v>
      </c>
      <c r="AC81" s="3"/>
      <c r="AD81" s="3"/>
      <c r="AE81" s="3"/>
      <c r="AG81" t="s">
        <v>8</v>
      </c>
      <c r="AI81" s="3"/>
      <c r="AJ81" s="3"/>
      <c r="AK81" s="3"/>
    </row>
    <row r="82" spans="1:37" x14ac:dyDescent="0.25">
      <c r="A82" t="s">
        <v>9</v>
      </c>
      <c r="C82" s="3"/>
      <c r="D82" s="3"/>
      <c r="E82" s="3"/>
      <c r="G82" t="s">
        <v>9</v>
      </c>
      <c r="I82" s="3"/>
      <c r="J82" s="3"/>
      <c r="K82" s="3"/>
      <c r="M82" t="s">
        <v>9</v>
      </c>
      <c r="O82" s="3"/>
      <c r="P82" s="3"/>
      <c r="Q82" s="3"/>
      <c r="S82" s="4"/>
      <c r="U82" t="s">
        <v>9</v>
      </c>
      <c r="W82" s="3"/>
      <c r="X82" s="3"/>
      <c r="Y82" s="3"/>
      <c r="AA82" t="s">
        <v>9</v>
      </c>
      <c r="AC82" s="3"/>
      <c r="AD82" s="3"/>
      <c r="AE82" s="3"/>
      <c r="AG82" t="s">
        <v>9</v>
      </c>
      <c r="AI82" s="3"/>
      <c r="AJ82" s="3"/>
      <c r="AK82" s="3"/>
    </row>
    <row r="83" spans="1:37" x14ac:dyDescent="0.25">
      <c r="A83" t="s">
        <v>10</v>
      </c>
      <c r="C83" s="3"/>
      <c r="D83" s="3"/>
      <c r="E83" s="3"/>
      <c r="G83" t="s">
        <v>10</v>
      </c>
      <c r="I83" s="3"/>
      <c r="J83" s="3"/>
      <c r="K83" s="3"/>
      <c r="M83" t="s">
        <v>10</v>
      </c>
      <c r="O83" s="3"/>
      <c r="P83" s="3"/>
      <c r="Q83" s="3"/>
      <c r="S83" s="4"/>
      <c r="U83" t="s">
        <v>10</v>
      </c>
      <c r="W83" s="3"/>
      <c r="X83" s="3"/>
      <c r="Y83" s="3"/>
      <c r="AA83" t="s">
        <v>10</v>
      </c>
      <c r="AC83" s="3"/>
      <c r="AD83" s="3"/>
      <c r="AE83" s="3"/>
      <c r="AG83" t="s">
        <v>10</v>
      </c>
      <c r="AI83" s="3"/>
      <c r="AJ83" s="3"/>
      <c r="AK83" s="3"/>
    </row>
    <row r="84" spans="1:37" x14ac:dyDescent="0.25">
      <c r="A84" t="s">
        <v>11</v>
      </c>
      <c r="C84" s="3"/>
      <c r="D84" s="3"/>
      <c r="E84" s="3"/>
      <c r="G84" t="s">
        <v>11</v>
      </c>
      <c r="I84" s="3"/>
      <c r="J84" s="3"/>
      <c r="K84" s="3"/>
      <c r="M84" t="s">
        <v>11</v>
      </c>
      <c r="O84" s="3"/>
      <c r="P84" s="3"/>
      <c r="Q84" s="3"/>
      <c r="S84" s="4"/>
      <c r="U84" t="s">
        <v>11</v>
      </c>
      <c r="W84" s="3"/>
      <c r="X84" s="3"/>
      <c r="Y84" s="3"/>
      <c r="AA84" t="s">
        <v>11</v>
      </c>
      <c r="AC84" s="3"/>
      <c r="AD84" s="3"/>
      <c r="AE84" s="3"/>
      <c r="AG84" t="s">
        <v>11</v>
      </c>
      <c r="AI84" s="3"/>
      <c r="AJ84" s="3"/>
      <c r="AK84" s="3"/>
    </row>
    <row r="85" spans="1:37" x14ac:dyDescent="0.25">
      <c r="A85" t="s">
        <v>12</v>
      </c>
      <c r="C85" s="3"/>
      <c r="D85" s="3"/>
      <c r="E85" s="3"/>
      <c r="G85" t="s">
        <v>12</v>
      </c>
      <c r="I85" s="3"/>
      <c r="J85" s="3"/>
      <c r="K85" s="3"/>
      <c r="M85" t="s">
        <v>12</v>
      </c>
      <c r="O85" s="3"/>
      <c r="P85" s="3"/>
      <c r="Q85" s="3"/>
      <c r="S85" s="4"/>
      <c r="U85" t="s">
        <v>12</v>
      </c>
      <c r="W85" s="3"/>
      <c r="X85" s="3"/>
      <c r="Y85" s="3"/>
      <c r="AA85" t="s">
        <v>12</v>
      </c>
      <c r="AC85" s="3"/>
      <c r="AD85" s="3"/>
      <c r="AE85" s="3"/>
      <c r="AG85" t="s">
        <v>12</v>
      </c>
      <c r="AI85" s="3"/>
      <c r="AJ85" s="3"/>
      <c r="AK85" s="3"/>
    </row>
    <row r="86" spans="1:37" x14ac:dyDescent="0.25">
      <c r="A86" t="s">
        <v>13</v>
      </c>
      <c r="C86" s="3"/>
      <c r="D86" s="3"/>
      <c r="E86" s="3"/>
      <c r="G86" t="s">
        <v>13</v>
      </c>
      <c r="I86" s="3"/>
      <c r="J86" s="3"/>
      <c r="K86" s="3"/>
      <c r="M86" t="s">
        <v>13</v>
      </c>
      <c r="O86" s="3"/>
      <c r="P86" s="3"/>
      <c r="Q86" s="3"/>
      <c r="S86" s="4"/>
      <c r="U86" t="s">
        <v>13</v>
      </c>
      <c r="W86" s="3"/>
      <c r="X86" s="3"/>
      <c r="Y86" s="3"/>
      <c r="AA86" t="s">
        <v>13</v>
      </c>
      <c r="AC86" s="3"/>
      <c r="AD86" s="3"/>
      <c r="AE86" s="3"/>
      <c r="AG86" t="s">
        <v>13</v>
      </c>
      <c r="AI86" s="3"/>
      <c r="AJ86" s="3"/>
      <c r="AK86" s="3"/>
    </row>
    <row r="87" spans="1:37" x14ac:dyDescent="0.25">
      <c r="A87" s="2"/>
      <c r="B87" s="2"/>
      <c r="C87" s="2"/>
      <c r="D87" s="2"/>
      <c r="E87" s="2"/>
      <c r="G87" s="2"/>
      <c r="H87" s="2"/>
      <c r="I87" s="2"/>
      <c r="J87" s="2"/>
      <c r="K87" s="2"/>
      <c r="M87" s="2"/>
      <c r="N87" s="2"/>
      <c r="O87" s="2"/>
      <c r="P87" s="2"/>
      <c r="Q87" s="2"/>
      <c r="S87" s="4"/>
      <c r="U87" s="2"/>
      <c r="V87" s="2"/>
      <c r="W87" s="2"/>
      <c r="X87" s="2"/>
      <c r="Y87" s="2"/>
      <c r="AA87" s="2"/>
      <c r="AB87" s="2"/>
      <c r="AC87" s="2"/>
      <c r="AD87" s="2"/>
      <c r="AE87" s="2"/>
      <c r="AG87" s="2"/>
      <c r="AH87" s="2"/>
      <c r="AI87" s="2"/>
      <c r="AJ87" s="2"/>
      <c r="AK87" s="2"/>
    </row>
    <row r="88" spans="1:37" x14ac:dyDescent="0.25">
      <c r="A88" t="s">
        <v>14</v>
      </c>
      <c r="B88">
        <f>COUNT(B71:B86)</f>
        <v>0</v>
      </c>
      <c r="C88">
        <f t="shared" ref="C88:E88" si="138">COUNT(C71:C86)</f>
        <v>8</v>
      </c>
      <c r="D88">
        <f t="shared" si="138"/>
        <v>6</v>
      </c>
      <c r="E88">
        <f t="shared" si="138"/>
        <v>5</v>
      </c>
      <c r="G88" t="s">
        <v>14</v>
      </c>
      <c r="H88">
        <f>COUNT(H71:H86)</f>
        <v>0</v>
      </c>
      <c r="I88">
        <f t="shared" ref="I88:K88" si="139">COUNT(I71:I86)</f>
        <v>8</v>
      </c>
      <c r="J88">
        <f t="shared" si="139"/>
        <v>8</v>
      </c>
      <c r="K88">
        <f t="shared" si="139"/>
        <v>8</v>
      </c>
      <c r="M88" t="s">
        <v>14</v>
      </c>
      <c r="N88">
        <f>COUNT(N71:N86)</f>
        <v>0</v>
      </c>
      <c r="O88">
        <f t="shared" ref="O88:Q88" si="140">COUNT(O71:O86)</f>
        <v>8</v>
      </c>
      <c r="P88">
        <f t="shared" si="140"/>
        <v>8</v>
      </c>
      <c r="Q88">
        <f t="shared" si="140"/>
        <v>8</v>
      </c>
      <c r="S88" s="4"/>
      <c r="U88" t="s">
        <v>14</v>
      </c>
      <c r="V88">
        <f>COUNT(V71:V86)</f>
        <v>0</v>
      </c>
      <c r="W88">
        <f t="shared" ref="W88:Y88" si="141">COUNT(W71:W86)</f>
        <v>8</v>
      </c>
      <c r="X88">
        <f t="shared" si="141"/>
        <v>6</v>
      </c>
      <c r="Y88">
        <f t="shared" si="141"/>
        <v>5</v>
      </c>
      <c r="AA88" t="s">
        <v>14</v>
      </c>
      <c r="AB88">
        <f>COUNT(AB71:AB86)</f>
        <v>0</v>
      </c>
      <c r="AC88">
        <f t="shared" ref="AC88:AE88" si="142">COUNT(AC71:AC86)</f>
        <v>8</v>
      </c>
      <c r="AD88">
        <f t="shared" si="142"/>
        <v>8</v>
      </c>
      <c r="AE88">
        <f t="shared" si="142"/>
        <v>8</v>
      </c>
      <c r="AG88" t="s">
        <v>14</v>
      </c>
      <c r="AH88">
        <f>COUNT(AH71:AH86)</f>
        <v>0</v>
      </c>
      <c r="AI88">
        <f t="shared" ref="AI88:AK88" si="143">COUNT(AI71:AI86)</f>
        <v>8</v>
      </c>
      <c r="AJ88">
        <f t="shared" si="143"/>
        <v>8</v>
      </c>
      <c r="AK88">
        <f t="shared" si="143"/>
        <v>8</v>
      </c>
    </row>
    <row r="89" spans="1:37" x14ac:dyDescent="0.25">
      <c r="A89" t="s">
        <v>15</v>
      </c>
      <c r="B89">
        <f>MAX(B71:B86)</f>
        <v>0</v>
      </c>
      <c r="C89">
        <f t="shared" ref="C89:E89" si="144">MAX(C71:C86)</f>
        <v>46.666666666666643</v>
      </c>
      <c r="D89">
        <f t="shared" si="144"/>
        <v>50.845948352626912</v>
      </c>
      <c r="E89">
        <f t="shared" si="144"/>
        <v>63.754045307443342</v>
      </c>
      <c r="G89" t="s">
        <v>15</v>
      </c>
      <c r="H89">
        <f>MAX(H71:H86)</f>
        <v>0</v>
      </c>
      <c r="I89">
        <f t="shared" ref="I89:K89" si="145">MAX(I71:I86)</f>
        <v>36.458333333333456</v>
      </c>
      <c r="J89">
        <f t="shared" si="145"/>
        <v>28.997289972899544</v>
      </c>
      <c r="K89">
        <f t="shared" si="145"/>
        <v>40.928270042194157</v>
      </c>
      <c r="M89" t="s">
        <v>15</v>
      </c>
      <c r="N89">
        <f>MAX(N71:N86)</f>
        <v>0</v>
      </c>
      <c r="O89">
        <f t="shared" ref="O89:Q89" si="146">MAX(O71:O86)</f>
        <v>28.279181708784666</v>
      </c>
      <c r="P89">
        <f t="shared" si="146"/>
        <v>63.658388855239245</v>
      </c>
      <c r="Q89">
        <f t="shared" si="146"/>
        <v>67.324710687542549</v>
      </c>
      <c r="S89" s="4"/>
      <c r="U89" t="s">
        <v>15</v>
      </c>
      <c r="V89">
        <f>MAX(V71:V86)</f>
        <v>0</v>
      </c>
      <c r="W89">
        <f t="shared" ref="W89:Y89" si="147">MAX(W71:W86)</f>
        <v>46.666666666666643</v>
      </c>
      <c r="X89">
        <f t="shared" si="147"/>
        <v>50.845948352626912</v>
      </c>
      <c r="Y89">
        <f t="shared" si="147"/>
        <v>63.754045307443342</v>
      </c>
      <c r="AA89" t="s">
        <v>15</v>
      </c>
      <c r="AB89">
        <f>MAX(AB71:AB86)</f>
        <v>0</v>
      </c>
      <c r="AC89">
        <f t="shared" ref="AC89:AE89" si="148">MAX(AC71:AC86)</f>
        <v>36.458333333333456</v>
      </c>
      <c r="AD89">
        <f t="shared" si="148"/>
        <v>28.997289972899544</v>
      </c>
      <c r="AE89">
        <f t="shared" si="148"/>
        <v>40.928270042194157</v>
      </c>
      <c r="AG89" t="s">
        <v>15</v>
      </c>
      <c r="AH89">
        <f>MAX(AH71:AH86)</f>
        <v>0</v>
      </c>
      <c r="AI89">
        <f t="shared" ref="AI89:AK89" si="149">MAX(AI71:AI86)</f>
        <v>28.279181708784666</v>
      </c>
      <c r="AJ89">
        <f t="shared" si="149"/>
        <v>63.658388855239245</v>
      </c>
      <c r="AK89">
        <f t="shared" si="149"/>
        <v>67.324710687542549</v>
      </c>
    </row>
    <row r="90" spans="1:37" x14ac:dyDescent="0.25">
      <c r="A90" t="s">
        <v>16</v>
      </c>
      <c r="B90">
        <f>MIN(B71:B86)</f>
        <v>0</v>
      </c>
      <c r="C90">
        <f t="shared" ref="C90:E90" si="150">MIN(C71:C86)</f>
        <v>-80.740740740741074</v>
      </c>
      <c r="D90">
        <f t="shared" si="150"/>
        <v>-122.97417631344622</v>
      </c>
      <c r="E90">
        <f t="shared" si="150"/>
        <v>-13.915857605177953</v>
      </c>
      <c r="G90" t="s">
        <v>16</v>
      </c>
      <c r="H90">
        <f>MIN(H71:H86)</f>
        <v>0</v>
      </c>
      <c r="I90">
        <f t="shared" ref="I90:K90" si="151">MIN(I71:I86)</f>
        <v>-22.916666666666764</v>
      </c>
      <c r="J90">
        <f t="shared" si="151"/>
        <v>-15.989159891598822</v>
      </c>
      <c r="K90">
        <f t="shared" si="151"/>
        <v>-36.146272855133809</v>
      </c>
      <c r="M90" t="s">
        <v>16</v>
      </c>
      <c r="N90">
        <f>MIN(N71:N86)</f>
        <v>0</v>
      </c>
      <c r="O90">
        <f t="shared" ref="O90:Q90" si="152">MIN(O71:O86)</f>
        <v>-41.034897713598077</v>
      </c>
      <c r="P90">
        <f t="shared" si="152"/>
        <v>-35.675348273773636</v>
      </c>
      <c r="Q90">
        <f t="shared" si="152"/>
        <v>-88.972089857045617</v>
      </c>
      <c r="S90" s="4"/>
      <c r="U90" t="s">
        <v>16</v>
      </c>
      <c r="V90">
        <f>MIN(V71:V86)</f>
        <v>0</v>
      </c>
      <c r="W90">
        <f t="shared" ref="W90:Y90" si="153">MIN(W71:W86)</f>
        <v>-80.740740740741074</v>
      </c>
      <c r="X90">
        <f t="shared" si="153"/>
        <v>-122.97417631344622</v>
      </c>
      <c r="Y90">
        <f t="shared" si="153"/>
        <v>-13.915857605177953</v>
      </c>
      <c r="AA90" t="s">
        <v>16</v>
      </c>
      <c r="AB90">
        <f>MIN(AB71:AB86)</f>
        <v>0</v>
      </c>
      <c r="AC90">
        <f t="shared" ref="AC90:AE90" si="154">MIN(AC71:AC86)</f>
        <v>-22.916666666666764</v>
      </c>
      <c r="AD90">
        <f t="shared" si="154"/>
        <v>-15.989159891598822</v>
      </c>
      <c r="AE90">
        <f t="shared" si="154"/>
        <v>-36.146272855133809</v>
      </c>
      <c r="AG90" t="s">
        <v>16</v>
      </c>
      <c r="AH90">
        <f>MIN(AH71:AH86)</f>
        <v>0</v>
      </c>
      <c r="AI90">
        <f t="shared" ref="AI90:AK90" si="155">MIN(AI71:AI86)</f>
        <v>-41.034897713598077</v>
      </c>
      <c r="AJ90">
        <f t="shared" si="155"/>
        <v>-35.675348273773636</v>
      </c>
      <c r="AK90">
        <f t="shared" si="155"/>
        <v>-88.972089857045617</v>
      </c>
    </row>
    <row r="91" spans="1:37" x14ac:dyDescent="0.25">
      <c r="A91" t="s">
        <v>17</v>
      </c>
      <c r="B91" t="e">
        <f>AVERAGE(B71:B86)</f>
        <v>#DIV/0!</v>
      </c>
      <c r="C91">
        <f t="shared" ref="C91:E91" si="156">AVERAGE(C71:C86)</f>
        <v>-3.9814814814815964</v>
      </c>
      <c r="D91">
        <f t="shared" si="156"/>
        <v>-10.062333036509282</v>
      </c>
      <c r="E91">
        <f t="shared" si="156"/>
        <v>36.569579288025921</v>
      </c>
      <c r="G91" t="s">
        <v>17</v>
      </c>
      <c r="H91" t="e">
        <f>AVERAGE(H71:H86)</f>
        <v>#DIV/0!</v>
      </c>
      <c r="I91">
        <f t="shared" ref="I91:K91" si="157">AVERAGE(I71:I86)</f>
        <v>3.906250000000016</v>
      </c>
      <c r="J91">
        <f t="shared" si="157"/>
        <v>3.6585365853658631</v>
      </c>
      <c r="K91">
        <f t="shared" si="157"/>
        <v>-1.6174402250352196</v>
      </c>
      <c r="M91" t="s">
        <v>17</v>
      </c>
      <c r="N91" t="e">
        <f>AVERAGE(N71:N86)</f>
        <v>#DIV/0!</v>
      </c>
      <c r="O91">
        <f t="shared" ref="O91:Q91" si="158">AVERAGE(O71:O86)</f>
        <v>0.6618531889290411</v>
      </c>
      <c r="P91">
        <f t="shared" si="158"/>
        <v>11.023622047244004</v>
      </c>
      <c r="Q91">
        <f t="shared" si="158"/>
        <v>0.5445881552076306</v>
      </c>
      <c r="S91" s="4"/>
      <c r="U91" t="s">
        <v>17</v>
      </c>
      <c r="V91" t="e">
        <f>AVERAGE(V71:V86)</f>
        <v>#DIV/0!</v>
      </c>
      <c r="W91">
        <f t="shared" ref="W91:Y91" si="159">AVERAGE(W71:W86)</f>
        <v>-3.9814814814815964</v>
      </c>
      <c r="X91">
        <f t="shared" si="159"/>
        <v>-10.062333036509282</v>
      </c>
      <c r="Y91">
        <f t="shared" si="159"/>
        <v>36.569579288025921</v>
      </c>
      <c r="AA91" t="s">
        <v>17</v>
      </c>
      <c r="AB91" t="e">
        <f>AVERAGE(AB71:AB86)</f>
        <v>#DIV/0!</v>
      </c>
      <c r="AC91">
        <f t="shared" ref="AC91:AE91" si="160">AVERAGE(AC71:AC86)</f>
        <v>3.906250000000016</v>
      </c>
      <c r="AD91">
        <f t="shared" si="160"/>
        <v>3.6585365853658631</v>
      </c>
      <c r="AE91">
        <f t="shared" si="160"/>
        <v>-1.6174402250352196</v>
      </c>
      <c r="AG91" t="s">
        <v>17</v>
      </c>
      <c r="AH91" t="e">
        <f>AVERAGE(AH71:AH86)</f>
        <v>#DIV/0!</v>
      </c>
      <c r="AI91">
        <f t="shared" ref="AI91:AK91" si="161">AVERAGE(AI71:AI86)</f>
        <v>0.6618531889290411</v>
      </c>
      <c r="AJ91">
        <f t="shared" si="161"/>
        <v>11.023622047244004</v>
      </c>
      <c r="AK91">
        <f t="shared" si="161"/>
        <v>0.5445881552076306</v>
      </c>
    </row>
    <row r="92" spans="1:37" x14ac:dyDescent="0.25">
      <c r="A92" t="s">
        <v>18</v>
      </c>
      <c r="B92" t="e">
        <f>STDEV(B71:B86)</f>
        <v>#DIV/0!</v>
      </c>
      <c r="C92">
        <f t="shared" ref="C92:E92" si="162">STDEV(C71:C86)</f>
        <v>41.900636454509524</v>
      </c>
      <c r="D92">
        <f t="shared" si="162"/>
        <v>60.354399401513234</v>
      </c>
      <c r="E92">
        <f t="shared" si="162"/>
        <v>33.076270223045228</v>
      </c>
      <c r="G92" t="s">
        <v>18</v>
      </c>
      <c r="H92" t="e">
        <f>STDEV(H71:H86)</f>
        <v>#DIV/0!</v>
      </c>
      <c r="I92">
        <f t="shared" ref="I92:K92" si="163">STDEV(I71:I86)</f>
        <v>19.906854651179252</v>
      </c>
      <c r="J92">
        <f t="shared" si="163"/>
        <v>17.309658844499655</v>
      </c>
      <c r="K92">
        <f t="shared" si="163"/>
        <v>30.501452906793091</v>
      </c>
      <c r="M92" t="s">
        <v>18</v>
      </c>
      <c r="N92" t="e">
        <f>STDEV(N71:N86)</f>
        <v>#DIV/0!</v>
      </c>
      <c r="O92">
        <f t="shared" ref="O92:Q92" si="164">STDEV(O71:O86)</f>
        <v>24.25225544556621</v>
      </c>
      <c r="P92">
        <f t="shared" si="164"/>
        <v>37.542334229886841</v>
      </c>
      <c r="Q92">
        <f t="shared" si="164"/>
        <v>45.168408830349186</v>
      </c>
      <c r="S92" s="4"/>
      <c r="U92" t="s">
        <v>18</v>
      </c>
      <c r="V92" t="e">
        <f>STDEV(V71:V86)</f>
        <v>#DIV/0!</v>
      </c>
      <c r="W92">
        <f t="shared" ref="W92:Y92" si="165">STDEV(W71:W86)</f>
        <v>41.900636454509524</v>
      </c>
      <c r="X92">
        <f t="shared" si="165"/>
        <v>60.354399401513234</v>
      </c>
      <c r="Y92">
        <f t="shared" si="165"/>
        <v>33.076270223045228</v>
      </c>
      <c r="AA92" t="s">
        <v>18</v>
      </c>
      <c r="AB92" t="e">
        <f>STDEV(AB71:AB86)</f>
        <v>#DIV/0!</v>
      </c>
      <c r="AC92">
        <f t="shared" ref="AC92:AE92" si="166">STDEV(AC71:AC86)</f>
        <v>19.906854651179252</v>
      </c>
      <c r="AD92">
        <f t="shared" si="166"/>
        <v>17.309658844499655</v>
      </c>
      <c r="AE92">
        <f t="shared" si="166"/>
        <v>30.501452906793091</v>
      </c>
      <c r="AG92" t="s">
        <v>18</v>
      </c>
      <c r="AH92" t="e">
        <f>STDEV(AH71:AH86)</f>
        <v>#DIV/0!</v>
      </c>
      <c r="AI92">
        <f t="shared" ref="AI92:AK92" si="167">STDEV(AI71:AI86)</f>
        <v>24.25225544556621</v>
      </c>
      <c r="AJ92">
        <f t="shared" si="167"/>
        <v>37.542334229886841</v>
      </c>
      <c r="AK92">
        <f t="shared" si="167"/>
        <v>45.168408830349186</v>
      </c>
    </row>
    <row r="93" spans="1:37" x14ac:dyDescent="0.25">
      <c r="A93" t="s">
        <v>19</v>
      </c>
      <c r="B93" t="e">
        <f>B91+2*B92</f>
        <v>#DIV/0!</v>
      </c>
      <c r="C93">
        <f t="shared" ref="C93:E93" si="168">C91+2*C92</f>
        <v>79.819791427537453</v>
      </c>
      <c r="D93">
        <f t="shared" si="168"/>
        <v>110.64646576651718</v>
      </c>
      <c r="E93">
        <f t="shared" si="168"/>
        <v>102.72211973411638</v>
      </c>
      <c r="G93" t="s">
        <v>19</v>
      </c>
      <c r="H93" t="e">
        <f>H91+2*H92</f>
        <v>#DIV/0!</v>
      </c>
      <c r="I93">
        <f t="shared" ref="I93:K93" si="169">I91+2*I92</f>
        <v>43.719959302358518</v>
      </c>
      <c r="J93">
        <f t="shared" si="169"/>
        <v>38.277854274365176</v>
      </c>
      <c r="K93">
        <f t="shared" si="169"/>
        <v>59.385465588550964</v>
      </c>
      <c r="M93" t="s">
        <v>19</v>
      </c>
      <c r="N93" t="e">
        <f>N91+2*N92</f>
        <v>#DIV/0!</v>
      </c>
      <c r="O93">
        <f t="shared" ref="O93:Q93" si="170">O91+2*O92</f>
        <v>49.166364080061463</v>
      </c>
      <c r="P93">
        <f t="shared" si="170"/>
        <v>86.108290507017685</v>
      </c>
      <c r="Q93">
        <f t="shared" si="170"/>
        <v>90.881405815906007</v>
      </c>
      <c r="S93" s="4"/>
      <c r="U93" t="s">
        <v>19</v>
      </c>
      <c r="V93" t="e">
        <f>V91+2*V92</f>
        <v>#DIV/0!</v>
      </c>
      <c r="W93">
        <f t="shared" ref="W93:Y93" si="171">W91+2*W92</f>
        <v>79.819791427537453</v>
      </c>
      <c r="X93">
        <f t="shared" si="171"/>
        <v>110.64646576651718</v>
      </c>
      <c r="Y93">
        <f t="shared" si="171"/>
        <v>102.72211973411638</v>
      </c>
      <c r="AA93" t="s">
        <v>19</v>
      </c>
      <c r="AB93" t="e">
        <f>AB91+2*AB92</f>
        <v>#DIV/0!</v>
      </c>
      <c r="AC93">
        <f t="shared" ref="AC93:AE93" si="172">AC91+2*AC92</f>
        <v>43.719959302358518</v>
      </c>
      <c r="AD93">
        <f t="shared" si="172"/>
        <v>38.277854274365176</v>
      </c>
      <c r="AE93">
        <f t="shared" si="172"/>
        <v>59.385465588550964</v>
      </c>
      <c r="AG93" t="s">
        <v>19</v>
      </c>
      <c r="AH93" t="e">
        <f>AH91+2*AH92</f>
        <v>#DIV/0!</v>
      </c>
      <c r="AI93">
        <f t="shared" ref="AI93:AK93" si="173">AI91+2*AI92</f>
        <v>49.166364080061463</v>
      </c>
      <c r="AJ93">
        <f t="shared" si="173"/>
        <v>86.108290507017685</v>
      </c>
      <c r="AK93">
        <f t="shared" si="173"/>
        <v>90.881405815906007</v>
      </c>
    </row>
    <row r="94" spans="1:37" x14ac:dyDescent="0.25">
      <c r="A94" t="s">
        <v>20</v>
      </c>
      <c r="B94" t="e">
        <f>B91-2*B92</f>
        <v>#DIV/0!</v>
      </c>
      <c r="C94">
        <f t="shared" ref="C94:E94" si="174">C91-2*C92</f>
        <v>-87.782754390500642</v>
      </c>
      <c r="D94">
        <f t="shared" si="174"/>
        <v>-130.77113183953574</v>
      </c>
      <c r="E94">
        <f t="shared" si="174"/>
        <v>-29.582961158064535</v>
      </c>
      <c r="G94" t="s">
        <v>20</v>
      </c>
      <c r="H94" t="e">
        <f>H91-2*H92</f>
        <v>#DIV/0!</v>
      </c>
      <c r="I94">
        <f t="shared" ref="I94:K94" si="175">I91-2*I92</f>
        <v>-35.90745930235849</v>
      </c>
      <c r="J94">
        <f t="shared" si="175"/>
        <v>-30.960781103633447</v>
      </c>
      <c r="K94">
        <f t="shared" si="175"/>
        <v>-62.620346038621399</v>
      </c>
      <c r="M94" t="s">
        <v>20</v>
      </c>
      <c r="N94" t="e">
        <f>N91-2*N92</f>
        <v>#DIV/0!</v>
      </c>
      <c r="O94">
        <f t="shared" ref="O94:Q94" si="176">O91-2*O92</f>
        <v>-47.842657702203375</v>
      </c>
      <c r="P94">
        <f t="shared" si="176"/>
        <v>-64.061046412529677</v>
      </c>
      <c r="Q94">
        <f t="shared" si="176"/>
        <v>-89.792229505490738</v>
      </c>
      <c r="S94" s="4"/>
      <c r="U94" t="s">
        <v>20</v>
      </c>
      <c r="V94" t="e">
        <f>V91-2*V92</f>
        <v>#DIV/0!</v>
      </c>
      <c r="W94">
        <f t="shared" ref="W94:Y94" si="177">W91-2*W92</f>
        <v>-87.782754390500642</v>
      </c>
      <c r="X94">
        <f t="shared" si="177"/>
        <v>-130.77113183953574</v>
      </c>
      <c r="Y94">
        <f t="shared" si="177"/>
        <v>-29.582961158064535</v>
      </c>
      <c r="AA94" t="s">
        <v>20</v>
      </c>
      <c r="AB94" t="e">
        <f>AB91-2*AB92</f>
        <v>#DIV/0!</v>
      </c>
      <c r="AC94">
        <f t="shared" ref="AC94:AE94" si="178">AC91-2*AC92</f>
        <v>-35.90745930235849</v>
      </c>
      <c r="AD94">
        <f t="shared" si="178"/>
        <v>-30.960781103633447</v>
      </c>
      <c r="AE94">
        <f t="shared" si="178"/>
        <v>-62.620346038621399</v>
      </c>
      <c r="AG94" t="s">
        <v>20</v>
      </c>
      <c r="AH94" t="e">
        <f>AH91-2*AH92</f>
        <v>#DIV/0!</v>
      </c>
      <c r="AI94">
        <f t="shared" ref="AI94:AK94" si="179">AI91-2*AI92</f>
        <v>-47.842657702203375</v>
      </c>
      <c r="AJ94">
        <f t="shared" si="179"/>
        <v>-64.061046412529677</v>
      </c>
      <c r="AK94">
        <f t="shared" si="179"/>
        <v>-89.792229505490738</v>
      </c>
    </row>
    <row r="95" spans="1:37" x14ac:dyDescent="0.25">
      <c r="A95" t="s">
        <v>21</v>
      </c>
      <c r="B95" t="e">
        <f>VAR(B71:B86)</f>
        <v>#DIV/0!</v>
      </c>
      <c r="C95">
        <f t="shared" ref="C95:E95" si="180">VAR(C71:C86)</f>
        <v>1755.6633352929723</v>
      </c>
      <c r="D95">
        <f t="shared" si="180"/>
        <v>3642.6535271173807</v>
      </c>
      <c r="E95">
        <f t="shared" si="180"/>
        <v>1094.0396518679083</v>
      </c>
      <c r="G95" t="s">
        <v>21</v>
      </c>
      <c r="H95" t="e">
        <f>VAR(H71:H86)</f>
        <v>#DIV/0!</v>
      </c>
      <c r="I95">
        <f t="shared" ref="I95:K95" si="181">VAR(I71:I86)</f>
        <v>396.28286210317702</v>
      </c>
      <c r="J95">
        <f t="shared" si="181"/>
        <v>299.62428931296512</v>
      </c>
      <c r="K95">
        <f t="shared" si="181"/>
        <v>930.33862942531675</v>
      </c>
      <c r="M95" t="s">
        <v>21</v>
      </c>
      <c r="N95" t="e">
        <f>VAR(N71:N86)</f>
        <v>#DIV/0!</v>
      </c>
      <c r="O95">
        <f t="shared" ref="O95:Q95" si="182">VAR(O71:O86)</f>
        <v>588.17189419699582</v>
      </c>
      <c r="P95">
        <f t="shared" si="182"/>
        <v>1409.4268594285329</v>
      </c>
      <c r="Q95">
        <f t="shared" si="182"/>
        <v>2040.1851562655665</v>
      </c>
      <c r="S95" s="4"/>
      <c r="U95" t="s">
        <v>21</v>
      </c>
      <c r="V95" t="e">
        <f>VAR(V71:V86)</f>
        <v>#DIV/0!</v>
      </c>
      <c r="W95">
        <f t="shared" ref="W95:Y95" si="183">VAR(W71:W86)</f>
        <v>1755.6633352929723</v>
      </c>
      <c r="X95">
        <f t="shared" si="183"/>
        <v>3642.6535271173807</v>
      </c>
      <c r="Y95">
        <f t="shared" si="183"/>
        <v>1094.0396518679083</v>
      </c>
      <c r="AA95" t="s">
        <v>21</v>
      </c>
      <c r="AB95" t="e">
        <f>VAR(AB71:AB86)</f>
        <v>#DIV/0!</v>
      </c>
      <c r="AC95">
        <f t="shared" ref="AC95:AE95" si="184">VAR(AC71:AC86)</f>
        <v>396.28286210317702</v>
      </c>
      <c r="AD95">
        <f t="shared" si="184"/>
        <v>299.62428931296512</v>
      </c>
      <c r="AE95">
        <f t="shared" si="184"/>
        <v>930.33862942531675</v>
      </c>
      <c r="AG95" t="s">
        <v>21</v>
      </c>
      <c r="AH95" t="e">
        <f>VAR(AH71:AH86)</f>
        <v>#DIV/0!</v>
      </c>
      <c r="AI95">
        <f t="shared" ref="AI95:AK95" si="185">VAR(AI71:AI86)</f>
        <v>588.17189419699582</v>
      </c>
      <c r="AJ95">
        <f t="shared" si="185"/>
        <v>1409.4268594285329</v>
      </c>
      <c r="AK95">
        <f t="shared" si="185"/>
        <v>2040.1851562655665</v>
      </c>
    </row>
    <row r="96" spans="1:37" x14ac:dyDescent="0.25">
      <c r="S96" s="4"/>
    </row>
    <row r="97" spans="1:37" x14ac:dyDescent="0.25">
      <c r="A97" t="s">
        <v>22</v>
      </c>
      <c r="S97" s="4"/>
      <c r="U97" t="s">
        <v>22</v>
      </c>
    </row>
    <row r="98" spans="1:37" x14ac:dyDescent="0.25">
      <c r="A98" t="s">
        <v>1</v>
      </c>
      <c r="B98" t="e">
        <f>TTEST(B79:B86,H79:H86,2,3)</f>
        <v>#DIV/0!</v>
      </c>
      <c r="S98" s="4"/>
      <c r="U98" t="s">
        <v>1</v>
      </c>
      <c r="V98" t="e">
        <f>TTEST(V79:V86,AB79:AB86,2,3)</f>
        <v>#DIV/0!</v>
      </c>
    </row>
    <row r="99" spans="1:37" x14ac:dyDescent="0.25">
      <c r="A99" t="s">
        <v>2</v>
      </c>
      <c r="B99" t="e">
        <f>TTEST(C79:C86,I79:I86,2,3)</f>
        <v>#DIV/0!</v>
      </c>
      <c r="S99" s="4"/>
      <c r="U99" t="s">
        <v>2</v>
      </c>
      <c r="V99" t="e">
        <f>TTEST(W79:W86,AC79:AC86,2,3)</f>
        <v>#DIV/0!</v>
      </c>
    </row>
    <row r="100" spans="1:37" x14ac:dyDescent="0.25">
      <c r="A100" t="s">
        <v>3</v>
      </c>
      <c r="B100" t="e">
        <f>TTEST(D79:D86,J79:J86,2,3)</f>
        <v>#DIV/0!</v>
      </c>
      <c r="S100" s="4"/>
      <c r="U100" t="s">
        <v>3</v>
      </c>
      <c r="V100" t="e">
        <f>TTEST(X79:X86,AD79:AD86,2,3)</f>
        <v>#DIV/0!</v>
      </c>
    </row>
    <row r="101" spans="1:37" x14ac:dyDescent="0.25">
      <c r="A101" t="s">
        <v>4</v>
      </c>
      <c r="B101" t="e">
        <f>TTEST(E79:E86,K79:K86,2,3)</f>
        <v>#DIV/0!</v>
      </c>
      <c r="S101" s="4"/>
      <c r="U101" t="s">
        <v>4</v>
      </c>
      <c r="V101" t="e">
        <f>TTEST(Y79:Y86,AE79:AE86,2,3)</f>
        <v>#DIV/0!</v>
      </c>
    </row>
    <row r="102" spans="1:37" x14ac:dyDescent="0.25">
      <c r="S102" s="4"/>
    </row>
    <row r="103" spans="1:37" x14ac:dyDescent="0.25">
      <c r="A103" t="s">
        <v>27</v>
      </c>
      <c r="S103" s="4"/>
      <c r="U103" t="s">
        <v>27</v>
      </c>
    </row>
    <row r="104" spans="1:37" x14ac:dyDescent="0.25">
      <c r="A104" s="1" t="s">
        <v>29</v>
      </c>
      <c r="B104" s="1" t="s">
        <v>1</v>
      </c>
      <c r="C104" s="1" t="s">
        <v>2</v>
      </c>
      <c r="D104" s="1" t="s">
        <v>3</v>
      </c>
      <c r="E104" s="1" t="s">
        <v>4</v>
      </c>
      <c r="G104" s="1" t="s">
        <v>30</v>
      </c>
      <c r="H104" s="1" t="s">
        <v>1</v>
      </c>
      <c r="I104" s="1" t="s">
        <v>2</v>
      </c>
      <c r="J104" s="1" t="s">
        <v>3</v>
      </c>
      <c r="K104" s="1" t="s">
        <v>4</v>
      </c>
      <c r="M104" s="1" t="s">
        <v>31</v>
      </c>
      <c r="N104" s="1" t="s">
        <v>1</v>
      </c>
      <c r="O104" s="1" t="s">
        <v>2</v>
      </c>
      <c r="P104" s="1" t="s">
        <v>3</v>
      </c>
      <c r="Q104" s="1" t="s">
        <v>4</v>
      </c>
      <c r="R104" s="1"/>
      <c r="S104" s="4"/>
      <c r="U104" s="1" t="s">
        <v>29</v>
      </c>
      <c r="V104" s="1" t="s">
        <v>1</v>
      </c>
      <c r="W104" s="1" t="s">
        <v>2</v>
      </c>
      <c r="X104" s="1" t="s">
        <v>3</v>
      </c>
      <c r="Y104" s="1" t="s">
        <v>4</v>
      </c>
      <c r="AA104" s="1" t="s">
        <v>30</v>
      </c>
      <c r="AB104" s="1" t="s">
        <v>1</v>
      </c>
      <c r="AC104" s="1" t="s">
        <v>2</v>
      </c>
      <c r="AD104" s="1" t="s">
        <v>3</v>
      </c>
      <c r="AE104" s="1" t="s">
        <v>4</v>
      </c>
      <c r="AG104" s="1" t="s">
        <v>31</v>
      </c>
      <c r="AH104" s="1" t="s">
        <v>1</v>
      </c>
      <c r="AI104" s="1" t="s">
        <v>2</v>
      </c>
      <c r="AJ104" s="1" t="s">
        <v>3</v>
      </c>
      <c r="AK104" s="1" t="s">
        <v>4</v>
      </c>
    </row>
    <row r="105" spans="1:37" x14ac:dyDescent="0.25">
      <c r="A105" t="s">
        <v>5</v>
      </c>
      <c r="B105" s="3"/>
      <c r="C105" s="3">
        <f>(B$23-C3)/7</f>
        <v>8.5231620946592006</v>
      </c>
      <c r="D105" s="3">
        <f t="shared" ref="D105:E112" si="186">(C$23-D3)/7</f>
        <v>4.683300005138384</v>
      </c>
      <c r="E105" s="3">
        <f t="shared" si="186"/>
        <v>-3.817666354899456</v>
      </c>
      <c r="G105" t="s">
        <v>5</v>
      </c>
      <c r="H105" s="3"/>
      <c r="I105" s="3">
        <f>(H$29-I3)/7</f>
        <v>-7.8128985867710368</v>
      </c>
      <c r="J105" s="3">
        <f t="shared" ref="J105:K112" si="187">(I$29-J3)/7</f>
        <v>-5.2381933706759822</v>
      </c>
      <c r="K105" s="3">
        <f t="shared" si="187"/>
        <v>1.7312673004776968</v>
      </c>
      <c r="M105" t="s">
        <v>5</v>
      </c>
      <c r="N105" s="3"/>
      <c r="O105" s="3">
        <f>(N$29-O3)/7</f>
        <v>-8.212421809958105</v>
      </c>
      <c r="P105" s="3">
        <f t="shared" ref="P105:Q112" si="188">(O$29-P3)/7</f>
        <v>-7.5687455059344302</v>
      </c>
      <c r="Q105" s="3">
        <f t="shared" si="188"/>
        <v>21.951581540671945</v>
      </c>
      <c r="R105" s="3"/>
      <c r="S105" s="4"/>
      <c r="U105" t="s">
        <v>5</v>
      </c>
      <c r="V105" s="3"/>
      <c r="W105" s="3">
        <f>(V$23-W3)/7</f>
        <v>8.5231620946592006</v>
      </c>
      <c r="X105" s="3">
        <f t="shared" ref="X105:X108" si="189">(W$23-X3)/7</f>
        <v>4.683300005138384</v>
      </c>
      <c r="Y105" s="3">
        <f t="shared" ref="Y105" si="190">(X$23-Y3)/7</f>
        <v>-3.817666354899456</v>
      </c>
      <c r="AA105" t="s">
        <v>5</v>
      </c>
      <c r="AB105" s="3"/>
      <c r="AC105" s="3">
        <f>(AB$29-AC3)/7</f>
        <v>-7.8128985867710368</v>
      </c>
      <c r="AD105" s="3">
        <f t="shared" ref="AD105:AD112" si="191">(AC$29-AD3)/7</f>
        <v>-5.2381933706759822</v>
      </c>
      <c r="AE105" s="3">
        <f t="shared" ref="AE105:AE112" si="192">(AD$29-AE3)/7</f>
        <v>1.7312673004776968</v>
      </c>
      <c r="AG105" t="s">
        <v>5</v>
      </c>
      <c r="AH105" s="3"/>
      <c r="AI105" s="3">
        <f>(AH$29-AI3)/7</f>
        <v>-8.212421809958105</v>
      </c>
      <c r="AJ105" s="3">
        <f t="shared" ref="AJ105:AJ112" si="193">(AI$29-AJ3)/7</f>
        <v>-7.5687455059344302</v>
      </c>
      <c r="AK105" s="3">
        <f t="shared" ref="AK105:AK112" si="194">(AJ$29-AK3)/7</f>
        <v>21.951581540671945</v>
      </c>
    </row>
    <row r="106" spans="1:37" x14ac:dyDescent="0.25">
      <c r="A106" t="s">
        <v>7</v>
      </c>
      <c r="B106" s="3"/>
      <c r="C106" s="3">
        <f t="shared" ref="C106:C112" si="195">(B$23-C4)/7</f>
        <v>-2.6634881545810862</v>
      </c>
      <c r="D106" s="3">
        <f t="shared" si="186"/>
        <v>-1.7090715658561879</v>
      </c>
      <c r="E106" s="3"/>
      <c r="G106" t="s">
        <v>7</v>
      </c>
      <c r="H106" s="3"/>
      <c r="I106" s="3">
        <f t="shared" ref="I106:I112" si="196">(H$29-I4)/7</f>
        <v>-5.3269763091620392</v>
      </c>
      <c r="J106" s="3">
        <f t="shared" si="187"/>
        <v>-0.44391469243012693</v>
      </c>
      <c r="K106" s="3">
        <f t="shared" si="187"/>
        <v>-11.408607595455445</v>
      </c>
      <c r="M106" t="s">
        <v>7</v>
      </c>
      <c r="N106" s="3"/>
      <c r="O106" s="3">
        <f t="shared" ref="O106:O112" si="197">(N$29-O4)/7</f>
        <v>3.8620578241424659</v>
      </c>
      <c r="P106" s="3">
        <f t="shared" si="188"/>
        <v>-8.634140767766862</v>
      </c>
      <c r="Q106" s="3">
        <f t="shared" si="188"/>
        <v>-1.6646800966130968</v>
      </c>
      <c r="R106" s="3"/>
      <c r="S106" s="4"/>
      <c r="U106" t="s">
        <v>7</v>
      </c>
      <c r="V106" s="3"/>
      <c r="W106" s="3">
        <f t="shared" ref="W106:W112" si="198">(V$23-W4)/7</f>
        <v>-2.6634881545810862</v>
      </c>
      <c r="X106" s="3">
        <f t="shared" si="189"/>
        <v>-1.7090715658561879</v>
      </c>
      <c r="Y106" s="3"/>
      <c r="AA106" t="s">
        <v>7</v>
      </c>
      <c r="AB106" s="3"/>
      <c r="AC106" s="3">
        <f t="shared" ref="AC106:AC112" si="199">(AB$29-AC4)/7</f>
        <v>-5.3269763091620392</v>
      </c>
      <c r="AD106" s="3">
        <f t="shared" si="191"/>
        <v>-0.44391469243012693</v>
      </c>
      <c r="AE106" s="3">
        <f t="shared" si="192"/>
        <v>-11.408607595455445</v>
      </c>
      <c r="AG106" t="s">
        <v>7</v>
      </c>
      <c r="AH106" s="3"/>
      <c r="AI106" s="3">
        <f t="shared" ref="AI106:AI112" si="200">(AH$29-AI4)/7</f>
        <v>3.8620578241424659</v>
      </c>
      <c r="AJ106" s="3">
        <f t="shared" si="193"/>
        <v>-8.634140767766862</v>
      </c>
      <c r="AK106" s="3">
        <f t="shared" si="194"/>
        <v>-1.6646800966130968</v>
      </c>
    </row>
    <row r="107" spans="1:37" x14ac:dyDescent="0.25">
      <c r="A107" t="s">
        <v>8</v>
      </c>
      <c r="B107" s="3"/>
      <c r="C107" s="3">
        <f t="shared" si="195"/>
        <v>-9.4109914795196552</v>
      </c>
      <c r="D107" s="3">
        <f t="shared" si="186"/>
        <v>4.683300005138384</v>
      </c>
      <c r="E107" s="3">
        <f t="shared" si="186"/>
        <v>5.4157592476481158</v>
      </c>
      <c r="G107" t="s">
        <v>8</v>
      </c>
      <c r="H107" s="3"/>
      <c r="I107" s="3">
        <f t="shared" si="196"/>
        <v>4.2615810473296802</v>
      </c>
      <c r="J107" s="3">
        <f t="shared" si="187"/>
        <v>2.219573462150874</v>
      </c>
      <c r="K107" s="3">
        <f t="shared" si="187"/>
        <v>2.7966625623101242</v>
      </c>
      <c r="M107" t="s">
        <v>8</v>
      </c>
      <c r="N107" s="3"/>
      <c r="O107" s="3">
        <f t="shared" si="197"/>
        <v>2.4415308083658949</v>
      </c>
      <c r="P107" s="3">
        <f t="shared" si="188"/>
        <v>16.047516131350712</v>
      </c>
      <c r="Q107" s="3">
        <f t="shared" si="188"/>
        <v>-5.2159976360545262</v>
      </c>
      <c r="R107" s="3"/>
      <c r="S107" s="4"/>
      <c r="U107" t="s">
        <v>8</v>
      </c>
      <c r="V107" s="3"/>
      <c r="W107" s="3">
        <f t="shared" si="198"/>
        <v>-9.4109914795196552</v>
      </c>
      <c r="X107" s="3">
        <f t="shared" si="189"/>
        <v>4.683300005138384</v>
      </c>
      <c r="Y107" s="3">
        <f t="shared" ref="Y107:Y108" si="201">(X$23-Y5)/7</f>
        <v>5.4157592476481158</v>
      </c>
      <c r="AA107" t="s">
        <v>8</v>
      </c>
      <c r="AB107" s="3"/>
      <c r="AC107" s="3">
        <f t="shared" si="199"/>
        <v>4.2615810473296802</v>
      </c>
      <c r="AD107" s="3">
        <f t="shared" si="191"/>
        <v>2.219573462150874</v>
      </c>
      <c r="AE107" s="3">
        <f t="shared" si="192"/>
        <v>2.7966625623101242</v>
      </c>
      <c r="AG107" t="s">
        <v>8</v>
      </c>
      <c r="AH107" s="3"/>
      <c r="AI107" s="3">
        <f t="shared" si="200"/>
        <v>2.4415308083658949</v>
      </c>
      <c r="AJ107" s="3">
        <f t="shared" si="193"/>
        <v>16.047516131350712</v>
      </c>
      <c r="AK107" s="3">
        <f t="shared" si="194"/>
        <v>-5.2159976360545262</v>
      </c>
    </row>
    <row r="108" spans="1:37" x14ac:dyDescent="0.25">
      <c r="A108" t="s">
        <v>9</v>
      </c>
      <c r="B108" s="3"/>
      <c r="C108" s="3">
        <f t="shared" si="195"/>
        <v>-19.35468058995551</v>
      </c>
      <c r="D108" s="3">
        <f t="shared" si="186"/>
        <v>-4.727691474381329</v>
      </c>
      <c r="E108" s="3">
        <f t="shared" si="186"/>
        <v>15.537014235055972</v>
      </c>
      <c r="G108" t="s">
        <v>9</v>
      </c>
      <c r="H108" s="3"/>
      <c r="I108" s="3">
        <f t="shared" si="196"/>
        <v>-4.4391469243017525</v>
      </c>
      <c r="J108" s="3">
        <f t="shared" si="187"/>
        <v>-4.3503639858156964</v>
      </c>
      <c r="K108" s="3">
        <f t="shared" si="187"/>
        <v>-11.231041718483308</v>
      </c>
      <c r="M108" t="s">
        <v>9</v>
      </c>
      <c r="N108" s="3"/>
      <c r="O108" s="3">
        <f t="shared" si="197"/>
        <v>5.637716593863181</v>
      </c>
      <c r="P108" s="3">
        <f t="shared" si="188"/>
        <v>18.178306655015426</v>
      </c>
      <c r="Q108" s="3">
        <f t="shared" si="188"/>
        <v>2.0642033198003316</v>
      </c>
      <c r="R108" s="3"/>
      <c r="S108" s="4"/>
      <c r="U108" t="s">
        <v>9</v>
      </c>
      <c r="V108" s="3"/>
      <c r="W108" s="3">
        <f t="shared" si="198"/>
        <v>-19.35468058995551</v>
      </c>
      <c r="X108" s="3">
        <f t="shared" si="189"/>
        <v>-4.727691474381329</v>
      </c>
      <c r="Y108" s="3">
        <f t="shared" si="201"/>
        <v>15.537014235055972</v>
      </c>
      <c r="AA108" t="s">
        <v>9</v>
      </c>
      <c r="AB108" s="3"/>
      <c r="AC108" s="3">
        <f t="shared" si="199"/>
        <v>-4.4391469243017525</v>
      </c>
      <c r="AD108" s="3">
        <f t="shared" si="191"/>
        <v>-4.3503639858156964</v>
      </c>
      <c r="AE108" s="3">
        <f t="shared" si="192"/>
        <v>-11.231041718483308</v>
      </c>
      <c r="AG108" t="s">
        <v>9</v>
      </c>
      <c r="AH108" s="3"/>
      <c r="AI108" s="3">
        <f t="shared" si="200"/>
        <v>5.637716593863181</v>
      </c>
      <c r="AJ108" s="3">
        <f t="shared" si="193"/>
        <v>18.178306655015426</v>
      </c>
      <c r="AK108" s="3">
        <f t="shared" si="194"/>
        <v>2.0642033198003316</v>
      </c>
    </row>
    <row r="109" spans="1:37" x14ac:dyDescent="0.25">
      <c r="A109" t="s">
        <v>10</v>
      </c>
      <c r="B109" s="3"/>
      <c r="C109" s="3">
        <f t="shared" si="195"/>
        <v>-2.1307905236647975</v>
      </c>
      <c r="D109" s="3"/>
      <c r="E109" s="3"/>
      <c r="G109" t="s">
        <v>10</v>
      </c>
      <c r="H109" s="3"/>
      <c r="I109" s="3">
        <f t="shared" si="196"/>
        <v>4.7942786782458233</v>
      </c>
      <c r="J109" s="3">
        <f t="shared" si="187"/>
        <v>9.4997744180055896</v>
      </c>
      <c r="K109" s="3">
        <f t="shared" si="187"/>
        <v>8.3012047484441247</v>
      </c>
      <c r="M109" t="s">
        <v>10</v>
      </c>
      <c r="N109" s="3"/>
      <c r="O109" s="3">
        <f t="shared" si="197"/>
        <v>-5.548933655377108</v>
      </c>
      <c r="P109" s="3">
        <f t="shared" si="188"/>
        <v>23.327717087205453</v>
      </c>
      <c r="Q109" s="3">
        <f t="shared" si="188"/>
        <v>-29.009825150311663</v>
      </c>
      <c r="R109" s="3"/>
      <c r="S109" s="4"/>
      <c r="U109" t="s">
        <v>10</v>
      </c>
      <c r="V109" s="3"/>
      <c r="W109" s="3">
        <f t="shared" si="198"/>
        <v>-2.1307905236647975</v>
      </c>
      <c r="X109" s="3"/>
      <c r="Y109" s="3"/>
      <c r="AA109" t="s">
        <v>10</v>
      </c>
      <c r="AB109" s="3"/>
      <c r="AC109" s="3">
        <f t="shared" si="199"/>
        <v>4.7942786782458233</v>
      </c>
      <c r="AD109" s="3">
        <f t="shared" si="191"/>
        <v>9.4997744180055896</v>
      </c>
      <c r="AE109" s="3">
        <f t="shared" si="192"/>
        <v>8.3012047484441247</v>
      </c>
      <c r="AG109" t="s">
        <v>10</v>
      </c>
      <c r="AH109" s="3"/>
      <c r="AI109" s="3">
        <f t="shared" si="200"/>
        <v>-5.548933655377108</v>
      </c>
      <c r="AJ109" s="3">
        <f t="shared" si="193"/>
        <v>23.327717087205453</v>
      </c>
      <c r="AK109" s="3">
        <f t="shared" si="194"/>
        <v>-29.009825150311663</v>
      </c>
    </row>
    <row r="110" spans="1:37" x14ac:dyDescent="0.25">
      <c r="A110" t="s">
        <v>11</v>
      </c>
      <c r="B110" s="3"/>
      <c r="C110" s="3">
        <f t="shared" si="195"/>
        <v>-0.17756587697208406</v>
      </c>
      <c r="D110" s="3">
        <f t="shared" si="186"/>
        <v>-30.652309512303329</v>
      </c>
      <c r="E110" s="3"/>
      <c r="G110" t="s">
        <v>11</v>
      </c>
      <c r="H110" s="3"/>
      <c r="I110" s="3">
        <f t="shared" si="196"/>
        <v>12.429611388044821</v>
      </c>
      <c r="J110" s="3">
        <f t="shared" si="187"/>
        <v>9.3222085410335875</v>
      </c>
      <c r="K110" s="3">
        <f t="shared" si="187"/>
        <v>12.917917549717982</v>
      </c>
      <c r="M110" t="s">
        <v>11</v>
      </c>
      <c r="N110" s="3"/>
      <c r="O110" s="3">
        <f t="shared" si="197"/>
        <v>10.431995272109036</v>
      </c>
      <c r="P110" s="3">
        <f t="shared" si="188"/>
        <v>-13.073287692068577</v>
      </c>
      <c r="Q110" s="3">
        <f t="shared" si="188"/>
        <v>11.120063045375762</v>
      </c>
      <c r="R110" s="3"/>
      <c r="S110" s="4"/>
      <c r="U110" t="s">
        <v>11</v>
      </c>
      <c r="V110" s="3"/>
      <c r="W110" s="3">
        <f t="shared" si="198"/>
        <v>-0.17756587697208406</v>
      </c>
      <c r="X110" s="3">
        <f t="shared" ref="X110" si="202">(W$23-X8)/7</f>
        <v>-30.652309512303329</v>
      </c>
      <c r="Y110" s="3"/>
      <c r="AA110" t="s">
        <v>11</v>
      </c>
      <c r="AB110" s="3"/>
      <c r="AC110" s="3">
        <f t="shared" si="199"/>
        <v>12.429611388044821</v>
      </c>
      <c r="AD110" s="3">
        <f t="shared" si="191"/>
        <v>9.3222085410335875</v>
      </c>
      <c r="AE110" s="3">
        <f t="shared" si="192"/>
        <v>12.917917549717982</v>
      </c>
      <c r="AG110" t="s">
        <v>11</v>
      </c>
      <c r="AH110" s="3"/>
      <c r="AI110" s="3">
        <f t="shared" si="200"/>
        <v>10.431995272109036</v>
      </c>
      <c r="AJ110" s="3">
        <f t="shared" si="193"/>
        <v>-13.073287692068577</v>
      </c>
      <c r="AK110" s="3">
        <f t="shared" si="194"/>
        <v>11.120063045375762</v>
      </c>
    </row>
    <row r="111" spans="1:37" x14ac:dyDescent="0.25">
      <c r="A111" t="s">
        <v>12</v>
      </c>
      <c r="B111" s="3"/>
      <c r="C111" s="3">
        <f t="shared" si="195"/>
        <v>6.3923715709944862</v>
      </c>
      <c r="D111" s="3"/>
      <c r="E111" s="3">
        <f t="shared" si="186"/>
        <v>17.490238881748713</v>
      </c>
      <c r="G111" t="s">
        <v>12</v>
      </c>
      <c r="H111" s="3"/>
      <c r="I111" s="3">
        <f t="shared" si="196"/>
        <v>1.2429611388045356</v>
      </c>
      <c r="J111" s="3">
        <f t="shared" si="187"/>
        <v>-2.5747052160949813</v>
      </c>
      <c r="K111" s="3">
        <f t="shared" si="187"/>
        <v>-11.408607595455445</v>
      </c>
      <c r="M111" t="s">
        <v>12</v>
      </c>
      <c r="N111" s="3"/>
      <c r="O111" s="3">
        <f t="shared" si="197"/>
        <v>8.4787706254163222</v>
      </c>
      <c r="P111" s="3">
        <f t="shared" si="188"/>
        <v>-0.46611042705171712</v>
      </c>
      <c r="Q111" s="3">
        <f t="shared" si="188"/>
        <v>5.2603891052974756</v>
      </c>
      <c r="R111" s="3"/>
      <c r="S111" s="4"/>
      <c r="U111" t="s">
        <v>12</v>
      </c>
      <c r="V111" s="3"/>
      <c r="W111" s="3">
        <f t="shared" si="198"/>
        <v>6.3923715709944862</v>
      </c>
      <c r="X111" s="3"/>
      <c r="Y111" s="3">
        <f t="shared" ref="Y111:Y112" si="203">(X$23-Y9)/7</f>
        <v>17.490238881748713</v>
      </c>
      <c r="AA111" t="s">
        <v>12</v>
      </c>
      <c r="AB111" s="3"/>
      <c r="AC111" s="3">
        <f t="shared" si="199"/>
        <v>1.2429611388045356</v>
      </c>
      <c r="AD111" s="3">
        <f t="shared" si="191"/>
        <v>-2.5747052160949813</v>
      </c>
      <c r="AE111" s="3">
        <f t="shared" si="192"/>
        <v>-11.408607595455445</v>
      </c>
      <c r="AG111" t="s">
        <v>12</v>
      </c>
      <c r="AH111" s="3"/>
      <c r="AI111" s="3">
        <f t="shared" si="200"/>
        <v>8.4787706254163222</v>
      </c>
      <c r="AJ111" s="3">
        <f t="shared" si="193"/>
        <v>-0.46611042705171712</v>
      </c>
      <c r="AK111" s="3">
        <f t="shared" si="194"/>
        <v>5.2603891052974756</v>
      </c>
    </row>
    <row r="112" spans="1:37" x14ac:dyDescent="0.25">
      <c r="A112" t="s">
        <v>13</v>
      </c>
      <c r="B112" s="3"/>
      <c r="C112" s="3">
        <f t="shared" si="195"/>
        <v>11.186650249240287</v>
      </c>
      <c r="D112" s="3">
        <f t="shared" si="186"/>
        <v>12.673764468881386</v>
      </c>
      <c r="E112" s="3">
        <f t="shared" si="186"/>
        <v>15.537014235055972</v>
      </c>
      <c r="G112" t="s">
        <v>13</v>
      </c>
      <c r="H112" s="3"/>
      <c r="I112" s="3">
        <f t="shared" si="196"/>
        <v>5.5045421861341071</v>
      </c>
      <c r="J112" s="3">
        <f t="shared" si="187"/>
        <v>1.1541782003184469</v>
      </c>
      <c r="K112" s="3">
        <f t="shared" si="187"/>
        <v>4.2171895780865531</v>
      </c>
      <c r="M112" t="s">
        <v>13</v>
      </c>
      <c r="N112" s="3"/>
      <c r="O112" s="3">
        <f t="shared" si="197"/>
        <v>-15.13749101186882</v>
      </c>
      <c r="P112" s="3">
        <f t="shared" si="188"/>
        <v>4.5057341281661412</v>
      </c>
      <c r="Q112" s="3">
        <f t="shared" si="188"/>
        <v>-3.0852071123896678</v>
      </c>
      <c r="R112" s="3"/>
      <c r="S112" s="4"/>
      <c r="U112" t="s">
        <v>13</v>
      </c>
      <c r="V112" s="3"/>
      <c r="W112" s="3">
        <f t="shared" si="198"/>
        <v>11.186650249240287</v>
      </c>
      <c r="X112" s="3">
        <f t="shared" ref="X112" si="204">(W$23-X10)/7</f>
        <v>12.673764468881386</v>
      </c>
      <c r="Y112" s="3">
        <f t="shared" si="203"/>
        <v>15.537014235055972</v>
      </c>
      <c r="AA112" t="s">
        <v>13</v>
      </c>
      <c r="AB112" s="3"/>
      <c r="AC112" s="3">
        <f t="shared" si="199"/>
        <v>5.5045421861341071</v>
      </c>
      <c r="AD112" s="3">
        <f t="shared" si="191"/>
        <v>1.1541782003184469</v>
      </c>
      <c r="AE112" s="3">
        <f t="shared" si="192"/>
        <v>4.2171895780865531</v>
      </c>
      <c r="AG112" t="s">
        <v>13</v>
      </c>
      <c r="AH112" s="3"/>
      <c r="AI112" s="3">
        <f t="shared" si="200"/>
        <v>-15.13749101186882</v>
      </c>
      <c r="AJ112" s="3">
        <f t="shared" si="193"/>
        <v>4.5057341281661412</v>
      </c>
      <c r="AK112" s="3">
        <f t="shared" si="194"/>
        <v>-3.0852071123896678</v>
      </c>
    </row>
    <row r="113" spans="1:37" x14ac:dyDescent="0.25">
      <c r="A113" t="s">
        <v>5</v>
      </c>
      <c r="C113" s="3"/>
      <c r="D113" s="3"/>
      <c r="E113" s="3"/>
      <c r="G113" t="s">
        <v>5</v>
      </c>
      <c r="I113" s="3"/>
      <c r="J113" s="3"/>
      <c r="K113" s="3"/>
      <c r="M113" t="s">
        <v>5</v>
      </c>
      <c r="O113" s="3"/>
      <c r="P113" s="3"/>
      <c r="Q113" s="3"/>
      <c r="R113" s="3"/>
      <c r="S113" s="4"/>
      <c r="U113" t="s">
        <v>5</v>
      </c>
      <c r="W113" s="3"/>
      <c r="X113" s="3"/>
      <c r="Y113" s="3"/>
      <c r="AA113" t="s">
        <v>5</v>
      </c>
      <c r="AC113" s="3"/>
      <c r="AD113" s="3"/>
      <c r="AE113" s="3"/>
      <c r="AG113" t="s">
        <v>5</v>
      </c>
      <c r="AI113" s="3"/>
      <c r="AJ113" s="3"/>
      <c r="AK113" s="3"/>
    </row>
    <row r="114" spans="1:37" x14ac:dyDescent="0.25">
      <c r="A114" t="s">
        <v>7</v>
      </c>
      <c r="C114" s="3"/>
      <c r="D114" s="3"/>
      <c r="E114" s="3"/>
      <c r="G114" t="s">
        <v>7</v>
      </c>
      <c r="I114" s="3"/>
      <c r="J114" s="3"/>
      <c r="K114" s="3"/>
      <c r="M114" t="s">
        <v>7</v>
      </c>
      <c r="O114" s="3"/>
      <c r="P114" s="3"/>
      <c r="Q114" s="3"/>
      <c r="R114" s="3"/>
      <c r="S114" s="4"/>
      <c r="U114" t="s">
        <v>7</v>
      </c>
      <c r="W114" s="3"/>
      <c r="X114" s="3"/>
      <c r="Y114" s="3"/>
      <c r="AA114" t="s">
        <v>7</v>
      </c>
      <c r="AC114" s="3"/>
      <c r="AD114" s="3"/>
      <c r="AE114" s="3"/>
      <c r="AG114" t="s">
        <v>7</v>
      </c>
      <c r="AI114" s="3"/>
      <c r="AJ114" s="3"/>
      <c r="AK114" s="3"/>
    </row>
    <row r="115" spans="1:37" x14ac:dyDescent="0.25">
      <c r="A115" t="s">
        <v>8</v>
      </c>
      <c r="C115" s="3"/>
      <c r="D115" s="3"/>
      <c r="E115" s="3"/>
      <c r="G115" t="s">
        <v>8</v>
      </c>
      <c r="I115" s="3"/>
      <c r="J115" s="3"/>
      <c r="K115" s="3"/>
      <c r="M115" t="s">
        <v>8</v>
      </c>
      <c r="O115" s="3"/>
      <c r="P115" s="3"/>
      <c r="Q115" s="3"/>
      <c r="R115" s="3"/>
      <c r="S115" s="4"/>
      <c r="U115" t="s">
        <v>8</v>
      </c>
      <c r="W115" s="3"/>
      <c r="X115" s="3"/>
      <c r="Y115" s="3"/>
      <c r="AA115" t="s">
        <v>8</v>
      </c>
      <c r="AC115" s="3"/>
      <c r="AD115" s="3"/>
      <c r="AE115" s="3"/>
      <c r="AG115" t="s">
        <v>8</v>
      </c>
      <c r="AI115" s="3"/>
      <c r="AJ115" s="3"/>
      <c r="AK115" s="3"/>
    </row>
    <row r="116" spans="1:37" x14ac:dyDescent="0.25">
      <c r="A116" t="s">
        <v>9</v>
      </c>
      <c r="C116" s="3"/>
      <c r="D116" s="3"/>
      <c r="E116" s="3"/>
      <c r="G116" t="s">
        <v>9</v>
      </c>
      <c r="I116" s="3"/>
      <c r="J116" s="3"/>
      <c r="K116" s="3"/>
      <c r="M116" t="s">
        <v>9</v>
      </c>
      <c r="O116" s="3"/>
      <c r="P116" s="3"/>
      <c r="Q116" s="3"/>
      <c r="R116" s="3"/>
      <c r="S116" s="4"/>
      <c r="U116" t="s">
        <v>9</v>
      </c>
      <c r="W116" s="3"/>
      <c r="X116" s="3"/>
      <c r="Y116" s="3"/>
      <c r="AA116" t="s">
        <v>9</v>
      </c>
      <c r="AC116" s="3"/>
      <c r="AD116" s="3"/>
      <c r="AE116" s="3"/>
      <c r="AG116" t="s">
        <v>9</v>
      </c>
      <c r="AI116" s="3"/>
      <c r="AJ116" s="3"/>
      <c r="AK116" s="3"/>
    </row>
    <row r="117" spans="1:37" x14ac:dyDescent="0.25">
      <c r="A117" t="s">
        <v>10</v>
      </c>
      <c r="C117" s="3"/>
      <c r="D117" s="3"/>
      <c r="E117" s="3"/>
      <c r="G117" t="s">
        <v>10</v>
      </c>
      <c r="I117" s="3"/>
      <c r="J117" s="3"/>
      <c r="K117" s="3"/>
      <c r="M117" t="s">
        <v>10</v>
      </c>
      <c r="O117" s="3"/>
      <c r="P117" s="3"/>
      <c r="Q117" s="3"/>
      <c r="R117" s="3"/>
      <c r="S117" s="4"/>
      <c r="U117" t="s">
        <v>10</v>
      </c>
      <c r="W117" s="3"/>
      <c r="X117" s="3"/>
      <c r="Y117" s="3"/>
      <c r="AA117" t="s">
        <v>10</v>
      </c>
      <c r="AC117" s="3"/>
      <c r="AD117" s="3"/>
      <c r="AE117" s="3"/>
      <c r="AG117" t="s">
        <v>10</v>
      </c>
      <c r="AI117" s="3"/>
      <c r="AJ117" s="3"/>
      <c r="AK117" s="3"/>
    </row>
    <row r="118" spans="1:37" x14ac:dyDescent="0.25">
      <c r="A118" t="s">
        <v>11</v>
      </c>
      <c r="C118" s="3"/>
      <c r="D118" s="3"/>
      <c r="E118" s="3"/>
      <c r="G118" t="s">
        <v>11</v>
      </c>
      <c r="I118" s="3"/>
      <c r="J118" s="3"/>
      <c r="K118" s="3"/>
      <c r="M118" t="s">
        <v>11</v>
      </c>
      <c r="O118" s="3"/>
      <c r="P118" s="3"/>
      <c r="Q118" s="3"/>
      <c r="R118" s="3"/>
      <c r="S118" s="4"/>
      <c r="U118" t="s">
        <v>11</v>
      </c>
      <c r="W118" s="3"/>
      <c r="X118" s="3"/>
      <c r="Y118" s="3"/>
      <c r="AA118" t="s">
        <v>11</v>
      </c>
      <c r="AC118" s="3"/>
      <c r="AD118" s="3"/>
      <c r="AE118" s="3"/>
      <c r="AG118" t="s">
        <v>11</v>
      </c>
      <c r="AI118" s="3"/>
      <c r="AJ118" s="3"/>
      <c r="AK118" s="3"/>
    </row>
    <row r="119" spans="1:37" x14ac:dyDescent="0.25">
      <c r="A119" t="s">
        <v>12</v>
      </c>
      <c r="C119" s="3"/>
      <c r="D119" s="3"/>
      <c r="E119" s="3"/>
      <c r="G119" t="s">
        <v>12</v>
      </c>
      <c r="I119" s="3"/>
      <c r="J119" s="3"/>
      <c r="K119" s="3"/>
      <c r="M119" t="s">
        <v>12</v>
      </c>
      <c r="O119" s="3"/>
      <c r="P119" s="3"/>
      <c r="Q119" s="3"/>
      <c r="R119" s="3"/>
      <c r="S119" s="4"/>
      <c r="U119" t="s">
        <v>12</v>
      </c>
      <c r="W119" s="3"/>
      <c r="X119" s="3"/>
      <c r="Y119" s="3"/>
      <c r="AA119" t="s">
        <v>12</v>
      </c>
      <c r="AC119" s="3"/>
      <c r="AD119" s="3"/>
      <c r="AE119" s="3"/>
      <c r="AG119" t="s">
        <v>12</v>
      </c>
      <c r="AI119" s="3"/>
      <c r="AJ119" s="3"/>
      <c r="AK119" s="3"/>
    </row>
    <row r="120" spans="1:37" x14ac:dyDescent="0.25">
      <c r="A120" t="s">
        <v>13</v>
      </c>
      <c r="C120" s="3"/>
      <c r="D120" s="3"/>
      <c r="E120" s="3"/>
      <c r="G120" t="s">
        <v>13</v>
      </c>
      <c r="I120" s="3"/>
      <c r="J120" s="3"/>
      <c r="K120" s="3"/>
      <c r="M120" t="s">
        <v>13</v>
      </c>
      <c r="O120" s="3"/>
      <c r="P120" s="3"/>
      <c r="Q120" s="3"/>
      <c r="R120" s="3"/>
      <c r="S120" s="4"/>
      <c r="U120" t="s">
        <v>13</v>
      </c>
      <c r="W120" s="3"/>
      <c r="X120" s="3"/>
      <c r="Y120" s="3"/>
      <c r="AA120" t="s">
        <v>13</v>
      </c>
      <c r="AC120" s="3"/>
      <c r="AD120" s="3"/>
      <c r="AE120" s="3"/>
      <c r="AG120" t="s">
        <v>13</v>
      </c>
      <c r="AI120" s="3"/>
      <c r="AJ120" s="3"/>
      <c r="AK120" s="3"/>
    </row>
    <row r="121" spans="1:37" x14ac:dyDescent="0.25">
      <c r="A121" s="2"/>
      <c r="B121" s="2"/>
      <c r="C121" s="2"/>
      <c r="D121" s="2"/>
      <c r="E121" s="2"/>
      <c r="G121" s="2"/>
      <c r="H121" s="2"/>
      <c r="I121" s="2"/>
      <c r="J121" s="2"/>
      <c r="K121" s="2"/>
      <c r="M121" s="2"/>
      <c r="N121" s="2"/>
      <c r="O121" s="2"/>
      <c r="P121" s="2"/>
      <c r="Q121" s="2"/>
      <c r="R121" s="3"/>
      <c r="S121" s="4"/>
      <c r="U121" s="2"/>
      <c r="V121" s="2"/>
      <c r="W121" s="2"/>
      <c r="X121" s="2"/>
      <c r="Y121" s="2"/>
      <c r="AA121" s="2"/>
      <c r="AB121" s="2"/>
      <c r="AC121" s="2"/>
      <c r="AD121" s="2"/>
      <c r="AE121" s="2"/>
      <c r="AG121" s="2"/>
      <c r="AH121" s="2"/>
      <c r="AI121" s="2"/>
      <c r="AJ121" s="2"/>
      <c r="AK121" s="2"/>
    </row>
    <row r="122" spans="1:37" x14ac:dyDescent="0.25">
      <c r="A122" t="s">
        <v>14</v>
      </c>
      <c r="B122">
        <f>COUNT(B105:B120)</f>
        <v>0</v>
      </c>
      <c r="C122">
        <f t="shared" ref="C122:E122" si="205">COUNT(C105:C120)</f>
        <v>8</v>
      </c>
      <c r="D122">
        <f t="shared" si="205"/>
        <v>6</v>
      </c>
      <c r="E122">
        <f t="shared" si="205"/>
        <v>5</v>
      </c>
      <c r="G122" t="s">
        <v>14</v>
      </c>
      <c r="H122">
        <f>COUNT(H105:H120)</f>
        <v>0</v>
      </c>
      <c r="I122">
        <f t="shared" ref="I122:K122" si="206">COUNT(I105:I120)</f>
        <v>8</v>
      </c>
      <c r="J122">
        <f t="shared" si="206"/>
        <v>8</v>
      </c>
      <c r="K122">
        <f t="shared" si="206"/>
        <v>8</v>
      </c>
      <c r="M122" t="s">
        <v>14</v>
      </c>
      <c r="N122">
        <f>COUNT(N105:N120)</f>
        <v>0</v>
      </c>
      <c r="O122">
        <f t="shared" ref="O122:Q122" si="207">COUNT(O105:O120)</f>
        <v>8</v>
      </c>
      <c r="P122">
        <f t="shared" si="207"/>
        <v>8</v>
      </c>
      <c r="Q122">
        <f t="shared" si="207"/>
        <v>8</v>
      </c>
      <c r="R122" s="3"/>
      <c r="S122" s="4"/>
      <c r="U122" t="s">
        <v>14</v>
      </c>
      <c r="V122">
        <f>COUNT(V105:V120)</f>
        <v>0</v>
      </c>
      <c r="W122">
        <f t="shared" ref="W122:Y122" si="208">COUNT(W105:W120)</f>
        <v>8</v>
      </c>
      <c r="X122">
        <f t="shared" si="208"/>
        <v>6</v>
      </c>
      <c r="Y122">
        <f t="shared" si="208"/>
        <v>5</v>
      </c>
      <c r="AA122" t="s">
        <v>14</v>
      </c>
      <c r="AB122">
        <f>COUNT(AB105:AB120)</f>
        <v>0</v>
      </c>
      <c r="AC122">
        <f t="shared" ref="AC122:AE122" si="209">COUNT(AC105:AC120)</f>
        <v>8</v>
      </c>
      <c r="AD122">
        <f t="shared" si="209"/>
        <v>8</v>
      </c>
      <c r="AE122">
        <f t="shared" si="209"/>
        <v>8</v>
      </c>
      <c r="AG122" t="s">
        <v>14</v>
      </c>
      <c r="AH122">
        <f>COUNT(AH105:AH120)</f>
        <v>0</v>
      </c>
      <c r="AI122">
        <f t="shared" ref="AI122:AK122" si="210">COUNT(AI105:AI120)</f>
        <v>8</v>
      </c>
      <c r="AJ122">
        <f t="shared" si="210"/>
        <v>8</v>
      </c>
      <c r="AK122">
        <f t="shared" si="210"/>
        <v>8</v>
      </c>
    </row>
    <row r="123" spans="1:37" x14ac:dyDescent="0.25">
      <c r="A123" t="s">
        <v>15</v>
      </c>
      <c r="B123">
        <f>MAX(B105:B120)</f>
        <v>0</v>
      </c>
      <c r="C123">
        <f t="shared" ref="C123:E123" si="211">MAX(C105:C120)</f>
        <v>11.186650249240287</v>
      </c>
      <c r="D123">
        <f t="shared" si="211"/>
        <v>12.673764468881386</v>
      </c>
      <c r="E123">
        <f t="shared" si="211"/>
        <v>17.490238881748713</v>
      </c>
      <c r="G123" t="s">
        <v>15</v>
      </c>
      <c r="H123">
        <f>MAX(H105:H120)</f>
        <v>0</v>
      </c>
      <c r="I123">
        <f t="shared" ref="I123:K123" si="212">MAX(I105:I120)</f>
        <v>12.429611388044821</v>
      </c>
      <c r="J123">
        <f t="shared" si="212"/>
        <v>9.4997744180055896</v>
      </c>
      <c r="K123">
        <f t="shared" si="212"/>
        <v>12.917917549717982</v>
      </c>
      <c r="M123" t="s">
        <v>15</v>
      </c>
      <c r="N123">
        <f>MAX(N105:N120)</f>
        <v>0</v>
      </c>
      <c r="O123">
        <f t="shared" ref="O123:Q123" si="213">MAX(O105:O120)</f>
        <v>10.431995272109036</v>
      </c>
      <c r="P123">
        <f t="shared" si="213"/>
        <v>23.327717087205453</v>
      </c>
      <c r="Q123">
        <f t="shared" si="213"/>
        <v>21.951581540671945</v>
      </c>
      <c r="R123" s="3"/>
      <c r="S123" s="4"/>
      <c r="U123" t="s">
        <v>15</v>
      </c>
      <c r="V123">
        <f>MAX(V105:V120)</f>
        <v>0</v>
      </c>
      <c r="W123">
        <f t="shared" ref="W123:Y123" si="214">MAX(W105:W120)</f>
        <v>11.186650249240287</v>
      </c>
      <c r="X123">
        <f t="shared" si="214"/>
        <v>12.673764468881386</v>
      </c>
      <c r="Y123">
        <f t="shared" si="214"/>
        <v>17.490238881748713</v>
      </c>
      <c r="AA123" t="s">
        <v>15</v>
      </c>
      <c r="AB123">
        <f>MAX(AB105:AB120)</f>
        <v>0</v>
      </c>
      <c r="AC123">
        <f t="shared" ref="AC123:AE123" si="215">MAX(AC105:AC120)</f>
        <v>12.429611388044821</v>
      </c>
      <c r="AD123">
        <f t="shared" si="215"/>
        <v>9.4997744180055896</v>
      </c>
      <c r="AE123">
        <f t="shared" si="215"/>
        <v>12.917917549717982</v>
      </c>
      <c r="AG123" t="s">
        <v>15</v>
      </c>
      <c r="AH123">
        <f>MAX(AH105:AH120)</f>
        <v>0</v>
      </c>
      <c r="AI123">
        <f t="shared" ref="AI123:AK123" si="216">MAX(AI105:AI120)</f>
        <v>10.431995272109036</v>
      </c>
      <c r="AJ123">
        <f t="shared" si="216"/>
        <v>23.327717087205453</v>
      </c>
      <c r="AK123">
        <f t="shared" si="216"/>
        <v>21.951581540671945</v>
      </c>
    </row>
    <row r="124" spans="1:37" x14ac:dyDescent="0.25">
      <c r="A124" t="s">
        <v>16</v>
      </c>
      <c r="B124">
        <f>MIN(B105:B120)</f>
        <v>0</v>
      </c>
      <c r="C124">
        <f t="shared" ref="C124:E124" si="217">MIN(C105:C120)</f>
        <v>-19.35468058995551</v>
      </c>
      <c r="D124">
        <f t="shared" si="217"/>
        <v>-30.652309512303329</v>
      </c>
      <c r="E124">
        <f t="shared" si="217"/>
        <v>-3.817666354899456</v>
      </c>
      <c r="G124" t="s">
        <v>16</v>
      </c>
      <c r="H124">
        <f>MIN(H105:H120)</f>
        <v>0</v>
      </c>
      <c r="I124">
        <f t="shared" ref="I124:K124" si="218">MIN(I105:I120)</f>
        <v>-7.8128985867710368</v>
      </c>
      <c r="J124">
        <f t="shared" si="218"/>
        <v>-5.2381933706759822</v>
      </c>
      <c r="K124">
        <f t="shared" si="218"/>
        <v>-11.408607595455445</v>
      </c>
      <c r="M124" t="s">
        <v>16</v>
      </c>
      <c r="N124">
        <f>MIN(N105:N120)</f>
        <v>0</v>
      </c>
      <c r="O124">
        <f t="shared" ref="O124:Q124" si="219">MIN(O105:O120)</f>
        <v>-15.13749101186882</v>
      </c>
      <c r="P124">
        <f t="shared" si="219"/>
        <v>-13.073287692068577</v>
      </c>
      <c r="Q124">
        <f t="shared" si="219"/>
        <v>-29.009825150311663</v>
      </c>
      <c r="S124" s="4"/>
      <c r="U124" t="s">
        <v>16</v>
      </c>
      <c r="V124">
        <f>MIN(V105:V120)</f>
        <v>0</v>
      </c>
      <c r="W124">
        <f t="shared" ref="W124:Y124" si="220">MIN(W105:W120)</f>
        <v>-19.35468058995551</v>
      </c>
      <c r="X124">
        <f t="shared" si="220"/>
        <v>-30.652309512303329</v>
      </c>
      <c r="Y124">
        <f t="shared" si="220"/>
        <v>-3.817666354899456</v>
      </c>
      <c r="AA124" t="s">
        <v>16</v>
      </c>
      <c r="AB124">
        <f>MIN(AB105:AB120)</f>
        <v>0</v>
      </c>
      <c r="AC124">
        <f t="shared" ref="AC124:AE124" si="221">MIN(AC105:AC120)</f>
        <v>-7.8128985867710368</v>
      </c>
      <c r="AD124">
        <f t="shared" si="221"/>
        <v>-5.2381933706759822</v>
      </c>
      <c r="AE124">
        <f t="shared" si="221"/>
        <v>-11.408607595455445</v>
      </c>
      <c r="AG124" t="s">
        <v>16</v>
      </c>
      <c r="AH124">
        <f>MIN(AH105:AH120)</f>
        <v>0</v>
      </c>
      <c r="AI124">
        <f t="shared" ref="AI124:AK124" si="222">MIN(AI105:AI120)</f>
        <v>-15.13749101186882</v>
      </c>
      <c r="AJ124">
        <f t="shared" si="222"/>
        <v>-13.073287692068577</v>
      </c>
      <c r="AK124">
        <f t="shared" si="222"/>
        <v>-29.009825150311663</v>
      </c>
    </row>
    <row r="125" spans="1:37" x14ac:dyDescent="0.25">
      <c r="A125" t="s">
        <v>17</v>
      </c>
      <c r="B125" t="e">
        <f>AVERAGE(B105:B120)</f>
        <v>#DIV/0!</v>
      </c>
      <c r="C125">
        <f t="shared" ref="C125:E125" si="223">AVERAGE(C105:C120)</f>
        <v>-0.95441658872489477</v>
      </c>
      <c r="D125">
        <f t="shared" si="223"/>
        <v>-2.5081180122304487</v>
      </c>
      <c r="E125">
        <f t="shared" si="223"/>
        <v>10.032472048921862</v>
      </c>
      <c r="G125" t="s">
        <v>17</v>
      </c>
      <c r="H125" t="e">
        <f>AVERAGE(H105:H120)</f>
        <v>#DIV/0!</v>
      </c>
      <c r="I125">
        <f t="shared" ref="I125:K125" si="224">AVERAGE(I105:I120)</f>
        <v>1.3317440772905176</v>
      </c>
      <c r="J125">
        <f t="shared" si="224"/>
        <v>1.1985696695614638</v>
      </c>
      <c r="K125">
        <f t="shared" si="224"/>
        <v>-0.51050189629471465</v>
      </c>
      <c r="M125" t="s">
        <v>17</v>
      </c>
      <c r="N125" t="e">
        <f>AVERAGE(N105:N120)</f>
        <v>#DIV/0!</v>
      </c>
      <c r="O125">
        <f t="shared" ref="O125:Q125" si="225">AVERAGE(O105:O120)</f>
        <v>0.24415308083660858</v>
      </c>
      <c r="P125">
        <f t="shared" si="225"/>
        <v>4.0396237011145182</v>
      </c>
      <c r="Q125">
        <f t="shared" si="225"/>
        <v>0.17756587697207027</v>
      </c>
      <c r="S125" s="4"/>
      <c r="U125" t="s">
        <v>17</v>
      </c>
      <c r="V125" t="e">
        <f>AVERAGE(V105:V120)</f>
        <v>#DIV/0!</v>
      </c>
      <c r="W125">
        <f t="shared" ref="W125:Y125" si="226">AVERAGE(W105:W120)</f>
        <v>-0.95441658872489477</v>
      </c>
      <c r="X125">
        <f t="shared" si="226"/>
        <v>-2.5081180122304487</v>
      </c>
      <c r="Y125">
        <f t="shared" si="226"/>
        <v>10.032472048921862</v>
      </c>
      <c r="AA125" t="s">
        <v>17</v>
      </c>
      <c r="AB125" t="e">
        <f>AVERAGE(AB105:AB120)</f>
        <v>#DIV/0!</v>
      </c>
      <c r="AC125">
        <f t="shared" ref="AC125:AE125" si="227">AVERAGE(AC105:AC120)</f>
        <v>1.3317440772905176</v>
      </c>
      <c r="AD125">
        <f t="shared" si="227"/>
        <v>1.1985696695614638</v>
      </c>
      <c r="AE125">
        <f t="shared" si="227"/>
        <v>-0.51050189629471465</v>
      </c>
      <c r="AG125" t="s">
        <v>17</v>
      </c>
      <c r="AH125" t="e">
        <f>AVERAGE(AH105:AH120)</f>
        <v>#DIV/0!</v>
      </c>
      <c r="AI125">
        <f t="shared" ref="AI125:AK125" si="228">AVERAGE(AI105:AI120)</f>
        <v>0.24415308083660858</v>
      </c>
      <c r="AJ125">
        <f t="shared" si="228"/>
        <v>4.0396237011145182</v>
      </c>
      <c r="AK125">
        <f t="shared" si="228"/>
        <v>0.17756587697207027</v>
      </c>
    </row>
    <row r="126" spans="1:37" x14ac:dyDescent="0.25">
      <c r="A126" t="s">
        <v>18</v>
      </c>
      <c r="B126" t="e">
        <f>STDEV(B105:B120)</f>
        <v>#DIV/0!</v>
      </c>
      <c r="C126">
        <f t="shared" ref="C126:E126" si="229">STDEV(C105:C120)</f>
        <v>10.044166397939268</v>
      </c>
      <c r="D126">
        <f t="shared" si="229"/>
        <v>15.043822909363744</v>
      </c>
      <c r="E126">
        <f t="shared" si="229"/>
        <v>9.0741201554906059</v>
      </c>
      <c r="G126" t="s">
        <v>18</v>
      </c>
      <c r="H126" t="e">
        <f>STDEV(H105:H120)</f>
        <v>#DIV/0!</v>
      </c>
      <c r="I126">
        <f t="shared" ref="I126:K126" si="230">STDEV(I105:I120)</f>
        <v>6.7867739594729093</v>
      </c>
      <c r="J126">
        <f t="shared" si="230"/>
        <v>5.6708007689361075</v>
      </c>
      <c r="K126">
        <f t="shared" si="230"/>
        <v>9.626970633998388</v>
      </c>
      <c r="M126" t="s">
        <v>18</v>
      </c>
      <c r="N126" t="e">
        <f>STDEV(N105:N120)</f>
        <v>#DIV/0!</v>
      </c>
      <c r="O126">
        <f t="shared" ref="O126:Q126" si="231">STDEV(O105:O120)</f>
        <v>8.9464899215077125</v>
      </c>
      <c r="P126">
        <f t="shared" si="231"/>
        <v>13.757447642912354</v>
      </c>
      <c r="Q126">
        <f t="shared" si="231"/>
        <v>14.727400970254488</v>
      </c>
      <c r="S126" s="4"/>
      <c r="U126" t="s">
        <v>18</v>
      </c>
      <c r="V126" t="e">
        <f>STDEV(V105:V120)</f>
        <v>#DIV/0!</v>
      </c>
      <c r="W126">
        <f t="shared" ref="W126:Y126" si="232">STDEV(W105:W120)</f>
        <v>10.044166397939268</v>
      </c>
      <c r="X126">
        <f t="shared" si="232"/>
        <v>15.043822909363744</v>
      </c>
      <c r="Y126">
        <f t="shared" si="232"/>
        <v>9.0741201554906059</v>
      </c>
      <c r="AA126" t="s">
        <v>18</v>
      </c>
      <c r="AB126" t="e">
        <f>STDEV(AB105:AB120)</f>
        <v>#DIV/0!</v>
      </c>
      <c r="AC126">
        <f t="shared" ref="AC126:AE126" si="233">STDEV(AC105:AC120)</f>
        <v>6.7867739594729093</v>
      </c>
      <c r="AD126">
        <f t="shared" si="233"/>
        <v>5.6708007689361075</v>
      </c>
      <c r="AE126">
        <f t="shared" si="233"/>
        <v>9.626970633998388</v>
      </c>
      <c r="AG126" t="s">
        <v>18</v>
      </c>
      <c r="AH126" t="e">
        <f>STDEV(AH105:AH120)</f>
        <v>#DIV/0!</v>
      </c>
      <c r="AI126">
        <f t="shared" ref="AI126:AK126" si="234">STDEV(AI105:AI120)</f>
        <v>8.9464899215077125</v>
      </c>
      <c r="AJ126">
        <f t="shared" si="234"/>
        <v>13.757447642912354</v>
      </c>
      <c r="AK126">
        <f t="shared" si="234"/>
        <v>14.727400970254488</v>
      </c>
    </row>
    <row r="127" spans="1:37" x14ac:dyDescent="0.25">
      <c r="A127" t="s">
        <v>19</v>
      </c>
      <c r="B127" t="e">
        <f>B125+2*B126</f>
        <v>#DIV/0!</v>
      </c>
      <c r="C127">
        <f t="shared" ref="C127:E127" si="235">C125+2*C126</f>
        <v>19.133916207153639</v>
      </c>
      <c r="D127">
        <f t="shared" si="235"/>
        <v>27.57952780649704</v>
      </c>
      <c r="E127">
        <f t="shared" si="235"/>
        <v>28.180712359903076</v>
      </c>
      <c r="G127" t="s">
        <v>19</v>
      </c>
      <c r="H127" t="e">
        <f>H125+2*H126</f>
        <v>#DIV/0!</v>
      </c>
      <c r="I127">
        <f t="shared" ref="I127:K127" si="236">I125+2*I126</f>
        <v>14.905291996236336</v>
      </c>
      <c r="J127">
        <f t="shared" si="236"/>
        <v>12.540171207433678</v>
      </c>
      <c r="K127">
        <f t="shared" si="236"/>
        <v>18.74343937170206</v>
      </c>
      <c r="M127" t="s">
        <v>19</v>
      </c>
      <c r="N127" t="e">
        <f>N125+2*N126</f>
        <v>#DIV/0!</v>
      </c>
      <c r="O127">
        <f t="shared" ref="O127:Q127" si="237">O125+2*O126</f>
        <v>18.137132923852032</v>
      </c>
      <c r="P127">
        <f t="shared" si="237"/>
        <v>31.554518986939225</v>
      </c>
      <c r="Q127">
        <f t="shared" si="237"/>
        <v>29.632367817481047</v>
      </c>
      <c r="S127" s="4"/>
      <c r="U127" t="s">
        <v>19</v>
      </c>
      <c r="V127" t="e">
        <f>V125+2*V126</f>
        <v>#DIV/0!</v>
      </c>
      <c r="W127">
        <f t="shared" ref="W127:Y127" si="238">W125+2*W126</f>
        <v>19.133916207153639</v>
      </c>
      <c r="X127">
        <f t="shared" si="238"/>
        <v>27.57952780649704</v>
      </c>
      <c r="Y127">
        <f t="shared" si="238"/>
        <v>28.180712359903076</v>
      </c>
      <c r="AA127" t="s">
        <v>19</v>
      </c>
      <c r="AB127" t="e">
        <f>AB125+2*AB126</f>
        <v>#DIV/0!</v>
      </c>
      <c r="AC127">
        <f t="shared" ref="AC127:AE127" si="239">AC125+2*AC126</f>
        <v>14.905291996236336</v>
      </c>
      <c r="AD127">
        <f t="shared" si="239"/>
        <v>12.540171207433678</v>
      </c>
      <c r="AE127">
        <f t="shared" si="239"/>
        <v>18.74343937170206</v>
      </c>
      <c r="AG127" t="s">
        <v>19</v>
      </c>
      <c r="AH127" t="e">
        <f>AH125+2*AH126</f>
        <v>#DIV/0!</v>
      </c>
      <c r="AI127">
        <f t="shared" ref="AI127:AK127" si="240">AI125+2*AI126</f>
        <v>18.137132923852032</v>
      </c>
      <c r="AJ127">
        <f t="shared" si="240"/>
        <v>31.554518986939225</v>
      </c>
      <c r="AK127">
        <f t="shared" si="240"/>
        <v>29.632367817481047</v>
      </c>
    </row>
    <row r="128" spans="1:37" x14ac:dyDescent="0.25">
      <c r="A128" t="s">
        <v>20</v>
      </c>
      <c r="B128" t="e">
        <f>B125-2*B126</f>
        <v>#DIV/0!</v>
      </c>
      <c r="C128">
        <f t="shared" ref="C128:E128" si="241">C125-2*C126</f>
        <v>-21.042749384603432</v>
      </c>
      <c r="D128">
        <f t="shared" si="241"/>
        <v>-32.595763830957935</v>
      </c>
      <c r="E128">
        <f t="shared" si="241"/>
        <v>-8.1157682620593494</v>
      </c>
      <c r="G128" t="s">
        <v>20</v>
      </c>
      <c r="H128" t="e">
        <f>H125-2*H126</f>
        <v>#DIV/0!</v>
      </c>
      <c r="I128">
        <f t="shared" ref="I128:K128" si="242">I125-2*I126</f>
        <v>-12.241803841655301</v>
      </c>
      <c r="J128">
        <f t="shared" si="242"/>
        <v>-10.143031868310752</v>
      </c>
      <c r="K128">
        <f t="shared" si="242"/>
        <v>-19.764443164291492</v>
      </c>
      <c r="M128" t="s">
        <v>20</v>
      </c>
      <c r="N128" t="e">
        <f>N125-2*N126</f>
        <v>#DIV/0!</v>
      </c>
      <c r="O128">
        <f t="shared" ref="O128:Q128" si="243">O125-2*O126</f>
        <v>-17.648826762178818</v>
      </c>
      <c r="P128">
        <f t="shared" si="243"/>
        <v>-23.475271584710189</v>
      </c>
      <c r="Q128">
        <f t="shared" si="243"/>
        <v>-29.277236063536904</v>
      </c>
      <c r="S128" s="4"/>
      <c r="U128" t="s">
        <v>20</v>
      </c>
      <c r="V128" t="e">
        <f>V125-2*V126</f>
        <v>#DIV/0!</v>
      </c>
      <c r="W128">
        <f t="shared" ref="W128:Y128" si="244">W125-2*W126</f>
        <v>-21.042749384603432</v>
      </c>
      <c r="X128">
        <f t="shared" si="244"/>
        <v>-32.595763830957935</v>
      </c>
      <c r="Y128">
        <f t="shared" si="244"/>
        <v>-8.1157682620593494</v>
      </c>
      <c r="AA128" t="s">
        <v>20</v>
      </c>
      <c r="AB128" t="e">
        <f>AB125-2*AB126</f>
        <v>#DIV/0!</v>
      </c>
      <c r="AC128">
        <f t="shared" ref="AC128:AE128" si="245">AC125-2*AC126</f>
        <v>-12.241803841655301</v>
      </c>
      <c r="AD128">
        <f t="shared" si="245"/>
        <v>-10.143031868310752</v>
      </c>
      <c r="AE128">
        <f t="shared" si="245"/>
        <v>-19.764443164291492</v>
      </c>
      <c r="AG128" t="s">
        <v>20</v>
      </c>
      <c r="AH128" t="e">
        <f>AH125-2*AH126</f>
        <v>#DIV/0!</v>
      </c>
      <c r="AI128">
        <f t="shared" ref="AI128:AK128" si="246">AI125-2*AI126</f>
        <v>-17.648826762178818</v>
      </c>
      <c r="AJ128">
        <f t="shared" si="246"/>
        <v>-23.475271584710189</v>
      </c>
      <c r="AK128">
        <f t="shared" si="246"/>
        <v>-29.277236063536904</v>
      </c>
    </row>
    <row r="129" spans="1:37" x14ac:dyDescent="0.25">
      <c r="A129" t="s">
        <v>21</v>
      </c>
      <c r="B129" t="e">
        <f>VAR(B105:B120)</f>
        <v>#DIV/0!</v>
      </c>
      <c r="C129">
        <f t="shared" ref="C129:E129" si="247">VAR(C105:C120)</f>
        <v>100.88527862949229</v>
      </c>
      <c r="D129">
        <f t="shared" si="247"/>
        <v>226.31660772829741</v>
      </c>
      <c r="E129">
        <f t="shared" si="247"/>
        <v>82.339656596280861</v>
      </c>
      <c r="G129" t="s">
        <v>21</v>
      </c>
      <c r="H129" t="e">
        <f>VAR(H105:H120)</f>
        <v>#DIV/0!</v>
      </c>
      <c r="I129">
        <f t="shared" ref="I129:K129" si="248">VAR(I105:I120)</f>
        <v>46.060300776979595</v>
      </c>
      <c r="J129">
        <f t="shared" si="248"/>
        <v>32.157981360966353</v>
      </c>
      <c r="K129">
        <f t="shared" si="248"/>
        <v>92.67856358786733</v>
      </c>
      <c r="M129" t="s">
        <v>21</v>
      </c>
      <c r="N129" t="e">
        <f>VAR(N105:N120)</f>
        <v>#DIV/0!</v>
      </c>
      <c r="O129">
        <f t="shared" ref="O129:Q129" si="249">VAR(O105:O120)</f>
        <v>80.039681915639079</v>
      </c>
      <c r="P129">
        <f t="shared" si="249"/>
        <v>189.26736564747469</v>
      </c>
      <c r="Q129">
        <f t="shared" si="249"/>
        <v>216.89633933865284</v>
      </c>
      <c r="S129" s="4"/>
      <c r="U129" t="s">
        <v>21</v>
      </c>
      <c r="V129" t="e">
        <f>VAR(V105:V120)</f>
        <v>#DIV/0!</v>
      </c>
      <c r="W129">
        <f t="shared" ref="W129:Y129" si="250">VAR(W105:W120)</f>
        <v>100.88527862949229</v>
      </c>
      <c r="X129">
        <f t="shared" si="250"/>
        <v>226.31660772829741</v>
      </c>
      <c r="Y129">
        <f t="shared" si="250"/>
        <v>82.339656596280861</v>
      </c>
      <c r="AA129" t="s">
        <v>21</v>
      </c>
      <c r="AB129" t="e">
        <f>VAR(AB105:AB120)</f>
        <v>#DIV/0!</v>
      </c>
      <c r="AC129">
        <f t="shared" ref="AC129:AE129" si="251">VAR(AC105:AC120)</f>
        <v>46.060300776979595</v>
      </c>
      <c r="AD129">
        <f t="shared" si="251"/>
        <v>32.157981360966353</v>
      </c>
      <c r="AE129">
        <f t="shared" si="251"/>
        <v>92.67856358786733</v>
      </c>
      <c r="AG129" t="s">
        <v>21</v>
      </c>
      <c r="AH129" t="e">
        <f>VAR(AH105:AH120)</f>
        <v>#DIV/0!</v>
      </c>
      <c r="AI129">
        <f t="shared" ref="AI129:AK129" si="252">VAR(AI105:AI120)</f>
        <v>80.039681915639079</v>
      </c>
      <c r="AJ129">
        <f t="shared" si="252"/>
        <v>189.26736564747469</v>
      </c>
      <c r="AK129">
        <f t="shared" si="252"/>
        <v>216.89633933865284</v>
      </c>
    </row>
    <row r="130" spans="1:37" x14ac:dyDescent="0.25">
      <c r="S130" s="4"/>
    </row>
    <row r="131" spans="1:37" x14ac:dyDescent="0.25">
      <c r="A131" t="s">
        <v>22</v>
      </c>
      <c r="S131" s="4"/>
      <c r="U131" t="s">
        <v>22</v>
      </c>
    </row>
    <row r="132" spans="1:37" x14ac:dyDescent="0.25">
      <c r="A132" t="s">
        <v>1</v>
      </c>
      <c r="B132" t="e">
        <f>TTEST(B113:B120,H113:H120,2,3)</f>
        <v>#DIV/0!</v>
      </c>
      <c r="S132" s="4"/>
      <c r="U132" t="s">
        <v>1</v>
      </c>
      <c r="V132" t="e">
        <f>TTEST(V113:V120,AB113:AB120,2,3)</f>
        <v>#DIV/0!</v>
      </c>
    </row>
    <row r="133" spans="1:37" x14ac:dyDescent="0.25">
      <c r="A133" t="s">
        <v>2</v>
      </c>
      <c r="B133" t="e">
        <f>TTEST(C113:C120,I113:I120,2,3)</f>
        <v>#DIV/0!</v>
      </c>
      <c r="S133" s="4"/>
      <c r="U133" t="s">
        <v>2</v>
      </c>
      <c r="V133" t="e">
        <f>TTEST(W113:W120,AC113:AC120,2,3)</f>
        <v>#DIV/0!</v>
      </c>
    </row>
    <row r="134" spans="1:37" x14ac:dyDescent="0.25">
      <c r="A134" t="s">
        <v>3</v>
      </c>
      <c r="B134" t="e">
        <f>TTEST(D113:D120,J113:J120,2,3)</f>
        <v>#DIV/0!</v>
      </c>
      <c r="S134" s="4"/>
      <c r="U134" t="s">
        <v>3</v>
      </c>
      <c r="V134" t="e">
        <f>TTEST(X113:X120,AD113:AD120,2,3)</f>
        <v>#DIV/0!</v>
      </c>
    </row>
    <row r="135" spans="1:37" x14ac:dyDescent="0.25">
      <c r="A135" t="s">
        <v>4</v>
      </c>
      <c r="B135" t="e">
        <f>TTEST(E113:E120,K113:K120,2,3)</f>
        <v>#DIV/0!</v>
      </c>
      <c r="S135" s="4"/>
      <c r="U135" t="s">
        <v>4</v>
      </c>
      <c r="V135" t="e">
        <f>TTEST(Y113:Y120,AE113:AE120,2,3)</f>
        <v>#DIV/0!</v>
      </c>
    </row>
  </sheetData>
  <conditionalFormatting sqref="B30:B33">
    <cfRule type="cellIs" dxfId="516" priority="83" operator="lessThan">
      <formula>0.05</formula>
    </cfRule>
  </conditionalFormatting>
  <conditionalFormatting sqref="B64:B67">
    <cfRule type="cellIs" dxfId="515" priority="53" operator="lessThan">
      <formula>0.05</formula>
    </cfRule>
  </conditionalFormatting>
  <conditionalFormatting sqref="B98:B101">
    <cfRule type="cellIs" dxfId="514" priority="52" operator="lessThan">
      <formula>0.05</formula>
    </cfRule>
  </conditionalFormatting>
  <conditionalFormatting sqref="B105:B120">
    <cfRule type="cellIs" dxfId="513" priority="45" operator="lessThan">
      <formula>B$94</formula>
    </cfRule>
    <cfRule type="cellIs" dxfId="512" priority="46" operator="greaterThan">
      <formula>B$93</formula>
    </cfRule>
  </conditionalFormatting>
  <conditionalFormatting sqref="B132:B135">
    <cfRule type="cellIs" dxfId="511" priority="47" operator="lessThan">
      <formula>0.05</formula>
    </cfRule>
  </conditionalFormatting>
  <conditionalFormatting sqref="B3:E18">
    <cfRule type="cellIs" dxfId="510" priority="81" operator="lessThan">
      <formula>B$26</formula>
    </cfRule>
    <cfRule type="cellIs" dxfId="509" priority="82" operator="greaterThan">
      <formula>B$25</formula>
    </cfRule>
  </conditionalFormatting>
  <conditionalFormatting sqref="B37:E52">
    <cfRule type="cellIs" dxfId="508" priority="11" operator="greaterThan">
      <formula>B$59</formula>
    </cfRule>
    <cfRule type="cellIs" dxfId="507" priority="11" operator="lessThan">
      <formula>B$60</formula>
    </cfRule>
  </conditionalFormatting>
  <conditionalFormatting sqref="B71:E86">
    <cfRule type="cellIs" dxfId="506" priority="49" operator="greaterThan">
      <formula>B$93</formula>
    </cfRule>
    <cfRule type="cellIs" dxfId="505" priority="48" operator="lessThan">
      <formula>B$94</formula>
    </cfRule>
  </conditionalFormatting>
  <conditionalFormatting sqref="C105:E120">
    <cfRule type="cellIs" dxfId="504" priority="43" operator="lessThan">
      <formula>C$128</formula>
    </cfRule>
    <cfRule type="cellIs" dxfId="503" priority="44" operator="greaterThan">
      <formula>C$127</formula>
    </cfRule>
  </conditionalFormatting>
  <conditionalFormatting sqref="H3:K18">
    <cfRule type="cellIs" dxfId="502" priority="79" operator="lessThan">
      <formula>H$26</formula>
    </cfRule>
    <cfRule type="cellIs" dxfId="501" priority="80" operator="greaterThan">
      <formula>H$25</formula>
    </cfRule>
  </conditionalFormatting>
  <conditionalFormatting sqref="H37:K52">
    <cfRule type="cellIs" dxfId="500" priority="12" operator="greaterThan">
      <formula>H$59</formula>
    </cfRule>
    <cfRule type="cellIs" dxfId="499" priority="73" operator="lessThan">
      <formula>H$60</formula>
    </cfRule>
  </conditionalFormatting>
  <conditionalFormatting sqref="I71:K86">
    <cfRule type="cellIs" dxfId="498" priority="57" operator="greaterThan">
      <formula>I$93</formula>
    </cfRule>
    <cfRule type="cellIs" dxfId="497" priority="56" operator="lessThan">
      <formula>I$94</formula>
    </cfRule>
  </conditionalFormatting>
  <conditionalFormatting sqref="I105:K120">
    <cfRule type="cellIs" dxfId="496" priority="66" operator="lessThan">
      <formula>I$128</formula>
    </cfRule>
    <cfRule type="cellIs" dxfId="495" priority="67" operator="greaterThan">
      <formula>I$127</formula>
    </cfRule>
  </conditionalFormatting>
  <conditionalFormatting sqref="N3:R18 R19">
    <cfRule type="cellIs" dxfId="494" priority="63" operator="greaterThan">
      <formula>N$25</formula>
    </cfRule>
    <cfRule type="cellIs" dxfId="493" priority="62" operator="lessThan">
      <formula>N$26</formula>
    </cfRule>
  </conditionalFormatting>
  <conditionalFormatting sqref="N37:R52">
    <cfRule type="cellIs" dxfId="492" priority="9" operator="lessThan">
      <formula>N$60</formula>
    </cfRule>
    <cfRule type="cellIs" dxfId="491" priority="10" operator="greaterThan">
      <formula>N$59</formula>
    </cfRule>
  </conditionalFormatting>
  <conditionalFormatting sqref="O71:Q86">
    <cfRule type="cellIs" dxfId="490" priority="55" operator="greaterThan">
      <formula>O$93</formula>
    </cfRule>
    <cfRule type="cellIs" dxfId="489" priority="54" operator="lessThan">
      <formula>O$94</formula>
    </cfRule>
  </conditionalFormatting>
  <conditionalFormatting sqref="O105:R120 R121:R123">
    <cfRule type="cellIs" dxfId="488" priority="59" operator="greaterThan">
      <formula>O$127</formula>
    </cfRule>
    <cfRule type="cellIs" dxfId="487" priority="58" operator="lessThan">
      <formula>O$128</formula>
    </cfRule>
  </conditionalFormatting>
  <conditionalFormatting sqref="R53">
    <cfRule type="cellIs" dxfId="486" priority="60" operator="lessThan">
      <formula>R$60</formula>
    </cfRule>
    <cfRule type="cellIs" dxfId="485" priority="61" operator="greaterThan">
      <formula>R$59</formula>
    </cfRule>
  </conditionalFormatting>
  <conditionalFormatting sqref="R71:R88">
    <cfRule type="cellIs" dxfId="484" priority="64" operator="lessThan">
      <formula>R$94</formula>
    </cfRule>
    <cfRule type="cellIs" dxfId="483" priority="65" operator="greaterThan">
      <formula>R$93</formula>
    </cfRule>
  </conditionalFormatting>
  <conditionalFormatting sqref="V30:V33">
    <cfRule type="cellIs" dxfId="482" priority="42" operator="lessThan">
      <formula>0.05</formula>
    </cfRule>
  </conditionalFormatting>
  <conditionalFormatting sqref="V64:V67">
    <cfRule type="cellIs" dxfId="481" priority="23" operator="lessThan">
      <formula>0.05</formula>
    </cfRule>
  </conditionalFormatting>
  <conditionalFormatting sqref="V98:V101">
    <cfRule type="cellIs" dxfId="480" priority="22" operator="lessThan">
      <formula>0.05</formula>
    </cfRule>
  </conditionalFormatting>
  <conditionalFormatting sqref="V105:V120">
    <cfRule type="cellIs" dxfId="479" priority="16" operator="greaterThan">
      <formula>V$93</formula>
    </cfRule>
    <cfRule type="cellIs" dxfId="478" priority="15" operator="lessThan">
      <formula>V$94</formula>
    </cfRule>
  </conditionalFormatting>
  <conditionalFormatting sqref="V132:V135">
    <cfRule type="cellIs" dxfId="477" priority="17" operator="lessThan">
      <formula>0.05</formula>
    </cfRule>
  </conditionalFormatting>
  <conditionalFormatting sqref="V3:Y18">
    <cfRule type="cellIs" dxfId="476" priority="40" operator="lessThan">
      <formula>V$26</formula>
    </cfRule>
    <cfRule type="cellIs" dxfId="475" priority="41" operator="greaterThan">
      <formula>V$25</formula>
    </cfRule>
  </conditionalFormatting>
  <conditionalFormatting sqref="V37:Y52">
    <cfRule type="cellIs" dxfId="474" priority="5" operator="lessThan">
      <formula>V$60</formula>
    </cfRule>
    <cfRule type="cellIs" dxfId="473" priority="5" operator="greaterThan">
      <formula>V$59</formula>
    </cfRule>
  </conditionalFormatting>
  <conditionalFormatting sqref="V71:Y86">
    <cfRule type="cellIs" dxfId="472" priority="18" operator="lessThan">
      <formula>V$94</formula>
    </cfRule>
    <cfRule type="cellIs" dxfId="471" priority="19" operator="greaterThan">
      <formula>V$93</formula>
    </cfRule>
  </conditionalFormatting>
  <conditionalFormatting sqref="W105:Y120">
    <cfRule type="cellIs" dxfId="470" priority="14" operator="greaterThan">
      <formula>W$127</formula>
    </cfRule>
    <cfRule type="cellIs" dxfId="469" priority="13" operator="lessThan">
      <formula>W$128</formula>
    </cfRule>
  </conditionalFormatting>
  <conditionalFormatting sqref="AB3:AE18">
    <cfRule type="cellIs" dxfId="468" priority="39" operator="greaterThan">
      <formula>AB$25</formula>
    </cfRule>
    <cfRule type="cellIs" dxfId="467" priority="38" operator="lessThan">
      <formula>AB$26</formula>
    </cfRule>
  </conditionalFormatting>
  <conditionalFormatting sqref="AB37:AE52">
    <cfRule type="cellIs" dxfId="466" priority="6" operator="greaterThan">
      <formula>AB$59</formula>
    </cfRule>
    <cfRule type="cellIs" dxfId="465" priority="36" operator="lessThan">
      <formula>AB$60</formula>
    </cfRule>
  </conditionalFormatting>
  <conditionalFormatting sqref="AC71:AE86">
    <cfRule type="cellIs" dxfId="464" priority="27" operator="greaterThan">
      <formula>AC$93</formula>
    </cfRule>
    <cfRule type="cellIs" dxfId="463" priority="26" operator="lessThan">
      <formula>AC$94</formula>
    </cfRule>
  </conditionalFormatting>
  <conditionalFormatting sqref="AC105:AE120">
    <cfRule type="cellIs" dxfId="462" priority="35" operator="greaterThan">
      <formula>AC$127</formula>
    </cfRule>
    <cfRule type="cellIs" dxfId="461" priority="34" operator="lessThan">
      <formula>AC$128</formula>
    </cfRule>
  </conditionalFormatting>
  <conditionalFormatting sqref="AH3:AK18">
    <cfRule type="cellIs" dxfId="460" priority="33" operator="greaterThan">
      <formula>AH$25</formula>
    </cfRule>
    <cfRule type="cellIs" dxfId="459" priority="32" operator="lessThan">
      <formula>AH$26</formula>
    </cfRule>
  </conditionalFormatting>
  <conditionalFormatting sqref="AH37:AK52">
    <cfRule type="cellIs" dxfId="458" priority="1" operator="lessThan">
      <formula>AH$60</formula>
    </cfRule>
    <cfRule type="cellIs" dxfId="457" priority="2" operator="greaterThan">
      <formula>AH$59</formula>
    </cfRule>
  </conditionalFormatting>
  <conditionalFormatting sqref="AI71:AK86">
    <cfRule type="cellIs" dxfId="456" priority="25" operator="greaterThan">
      <formula>AI$93</formula>
    </cfRule>
    <cfRule type="cellIs" dxfId="455" priority="24" operator="lessThan">
      <formula>AI$94</formula>
    </cfRule>
  </conditionalFormatting>
  <conditionalFormatting sqref="AI105:AK120">
    <cfRule type="cellIs" dxfId="454" priority="28" operator="lessThan">
      <formula>AI$128</formula>
    </cfRule>
    <cfRule type="cellIs" dxfId="453" priority="29" operator="greaterThan">
      <formula>AI$127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A162-AD10-4AB7-B967-10A52AFBFF97}">
  <sheetPr codeName="Sheet3"/>
  <dimension ref="A1:AK135"/>
  <sheetViews>
    <sheetView topLeftCell="R1" workbookViewId="0">
      <selection activeCell="AH7" sqref="AH7:AH10"/>
    </sheetView>
  </sheetViews>
  <sheetFormatPr defaultRowHeight="15" x14ac:dyDescent="0.25"/>
  <sheetData>
    <row r="1" spans="1:37" x14ac:dyDescent="0.25">
      <c r="A1" t="s">
        <v>0</v>
      </c>
      <c r="S1" s="4"/>
      <c r="U1" t="s">
        <v>0</v>
      </c>
    </row>
    <row r="2" spans="1:3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  <c r="R2" s="1"/>
      <c r="S2" s="4"/>
      <c r="U2" s="1" t="s">
        <v>29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30</v>
      </c>
      <c r="AB2" s="1" t="s">
        <v>1</v>
      </c>
      <c r="AC2" s="1" t="s">
        <v>2</v>
      </c>
      <c r="AD2" s="1" t="s">
        <v>3</v>
      </c>
      <c r="AE2" s="1" t="s">
        <v>4</v>
      </c>
      <c r="AG2" s="1" t="s">
        <v>31</v>
      </c>
      <c r="AH2" s="1" t="s">
        <v>1</v>
      </c>
      <c r="AI2" s="1" t="s">
        <v>2</v>
      </c>
      <c r="AJ2" s="1" t="s">
        <v>3</v>
      </c>
      <c r="AK2" s="1" t="s">
        <v>4</v>
      </c>
    </row>
    <row r="3" spans="1:37" x14ac:dyDescent="0.25">
      <c r="A3" t="s">
        <v>5</v>
      </c>
      <c r="B3">
        <v>47.28</v>
      </c>
      <c r="C3">
        <v>31.52</v>
      </c>
      <c r="D3">
        <v>27.58</v>
      </c>
      <c r="E3">
        <v>39.4</v>
      </c>
      <c r="G3" t="s">
        <v>5</v>
      </c>
      <c r="H3">
        <v>59.1</v>
      </c>
      <c r="I3">
        <v>70.92</v>
      </c>
      <c r="J3">
        <v>66.98</v>
      </c>
      <c r="K3">
        <v>59.1</v>
      </c>
      <c r="M3" t="s">
        <v>5</v>
      </c>
      <c r="N3">
        <v>66.98</v>
      </c>
      <c r="O3">
        <v>51.22</v>
      </c>
      <c r="P3">
        <v>47.28</v>
      </c>
      <c r="Q3">
        <v>19.7</v>
      </c>
      <c r="S3" s="4"/>
      <c r="U3" t="s">
        <v>5</v>
      </c>
      <c r="V3">
        <v>47.28</v>
      </c>
      <c r="W3">
        <v>31.52</v>
      </c>
      <c r="X3">
        <v>27.58</v>
      </c>
      <c r="Y3">
        <v>39.4</v>
      </c>
      <c r="AA3" t="s">
        <v>5</v>
      </c>
      <c r="AB3">
        <v>59.1</v>
      </c>
      <c r="AC3">
        <v>70.92</v>
      </c>
      <c r="AD3">
        <v>66.98</v>
      </c>
      <c r="AE3">
        <v>59.1</v>
      </c>
      <c r="AG3" t="s">
        <v>5</v>
      </c>
      <c r="AH3">
        <v>66.98</v>
      </c>
      <c r="AI3">
        <v>51.22</v>
      </c>
      <c r="AJ3">
        <v>47.28</v>
      </c>
    </row>
    <row r="4" spans="1:37" x14ac:dyDescent="0.25">
      <c r="A4" t="s">
        <v>7</v>
      </c>
      <c r="B4">
        <v>47.28</v>
      </c>
      <c r="C4">
        <v>27.58</v>
      </c>
      <c r="D4">
        <v>31.52</v>
      </c>
      <c r="G4" t="s">
        <v>7</v>
      </c>
      <c r="H4">
        <v>63.04</v>
      </c>
      <c r="I4">
        <v>55.16</v>
      </c>
      <c r="J4">
        <v>59.1</v>
      </c>
      <c r="K4">
        <v>43.34</v>
      </c>
      <c r="M4" t="s">
        <v>7</v>
      </c>
      <c r="N4">
        <v>55.16</v>
      </c>
      <c r="O4">
        <v>51.22</v>
      </c>
      <c r="P4">
        <v>55.16</v>
      </c>
      <c r="Q4">
        <v>51.22</v>
      </c>
      <c r="S4" s="4"/>
      <c r="U4" t="s">
        <v>7</v>
      </c>
      <c r="V4">
        <v>47.28</v>
      </c>
      <c r="W4">
        <v>27.58</v>
      </c>
      <c r="X4">
        <v>31.52</v>
      </c>
      <c r="AA4" t="s">
        <v>7</v>
      </c>
      <c r="AB4">
        <v>63.04</v>
      </c>
      <c r="AC4">
        <v>55.16</v>
      </c>
      <c r="AD4">
        <v>59.1</v>
      </c>
      <c r="AE4">
        <v>43.34</v>
      </c>
      <c r="AG4" t="s">
        <v>7</v>
      </c>
      <c r="AH4">
        <v>55.16</v>
      </c>
      <c r="AI4">
        <v>51.22</v>
      </c>
      <c r="AJ4">
        <v>55.16</v>
      </c>
      <c r="AK4">
        <v>51.22</v>
      </c>
    </row>
    <row r="5" spans="1:37" x14ac:dyDescent="0.25">
      <c r="A5" t="s">
        <v>8</v>
      </c>
      <c r="B5">
        <v>39.4</v>
      </c>
      <c r="C5">
        <v>43.34</v>
      </c>
      <c r="D5">
        <v>35.46</v>
      </c>
      <c r="E5">
        <v>51.22</v>
      </c>
      <c r="G5" t="s">
        <v>8</v>
      </c>
      <c r="H5">
        <v>70.92</v>
      </c>
      <c r="I5">
        <v>43.34</v>
      </c>
      <c r="J5">
        <v>47.28</v>
      </c>
      <c r="K5">
        <v>59.1</v>
      </c>
      <c r="M5" t="s">
        <v>8</v>
      </c>
      <c r="N5">
        <v>78.8</v>
      </c>
      <c r="O5">
        <v>47.28</v>
      </c>
      <c r="P5">
        <v>47.28</v>
      </c>
      <c r="Q5">
        <v>59.1</v>
      </c>
      <c r="S5" s="4"/>
      <c r="U5" t="s">
        <v>8</v>
      </c>
      <c r="V5">
        <v>39.4</v>
      </c>
      <c r="W5">
        <v>43.34</v>
      </c>
      <c r="X5">
        <v>35.46</v>
      </c>
      <c r="Y5">
        <v>51.22</v>
      </c>
      <c r="AA5" t="s">
        <v>8</v>
      </c>
      <c r="AB5">
        <v>70.92</v>
      </c>
      <c r="AC5">
        <v>43.34</v>
      </c>
      <c r="AD5">
        <v>47.28</v>
      </c>
      <c r="AE5">
        <v>59.1</v>
      </c>
      <c r="AG5" t="s">
        <v>8</v>
      </c>
      <c r="AH5">
        <v>78.8</v>
      </c>
      <c r="AI5">
        <v>47.28</v>
      </c>
      <c r="AJ5">
        <v>47.28</v>
      </c>
      <c r="AK5">
        <v>59.1</v>
      </c>
    </row>
    <row r="6" spans="1:37" x14ac:dyDescent="0.25">
      <c r="A6" t="s">
        <v>9</v>
      </c>
      <c r="B6">
        <v>51.22</v>
      </c>
      <c r="C6">
        <v>39.4</v>
      </c>
      <c r="D6">
        <v>43.34</v>
      </c>
      <c r="E6">
        <v>23.64</v>
      </c>
      <c r="G6" t="s">
        <v>9</v>
      </c>
      <c r="H6">
        <v>74.86</v>
      </c>
      <c r="I6">
        <v>66.98</v>
      </c>
      <c r="J6">
        <v>63.04</v>
      </c>
      <c r="K6">
        <v>55.16</v>
      </c>
      <c r="M6" t="s">
        <v>9</v>
      </c>
      <c r="N6">
        <v>66.98</v>
      </c>
      <c r="O6">
        <v>59.1</v>
      </c>
      <c r="P6">
        <v>35.46</v>
      </c>
      <c r="Q6">
        <v>59.1</v>
      </c>
      <c r="S6" s="4"/>
      <c r="U6" t="s">
        <v>9</v>
      </c>
      <c r="V6">
        <v>51.22</v>
      </c>
      <c r="W6">
        <v>39.4</v>
      </c>
      <c r="X6">
        <v>43.34</v>
      </c>
      <c r="Y6">
        <v>23.64</v>
      </c>
      <c r="AA6" t="s">
        <v>9</v>
      </c>
      <c r="AB6">
        <v>74.86</v>
      </c>
      <c r="AC6">
        <v>66.98</v>
      </c>
      <c r="AD6">
        <v>63.04</v>
      </c>
      <c r="AE6">
        <v>55.16</v>
      </c>
      <c r="AG6" t="s">
        <v>9</v>
      </c>
      <c r="AH6">
        <v>66.98</v>
      </c>
      <c r="AI6">
        <v>59.1</v>
      </c>
      <c r="AJ6">
        <v>35.46</v>
      </c>
      <c r="AK6">
        <v>59.1</v>
      </c>
    </row>
    <row r="7" spans="1:37" x14ac:dyDescent="0.25">
      <c r="A7" t="s">
        <v>10</v>
      </c>
      <c r="B7">
        <v>47.28</v>
      </c>
      <c r="C7">
        <v>43.34</v>
      </c>
      <c r="D7" t="s">
        <v>6</v>
      </c>
      <c r="E7" t="s">
        <v>6</v>
      </c>
      <c r="G7" t="s">
        <v>10</v>
      </c>
      <c r="H7">
        <v>59.1</v>
      </c>
      <c r="I7">
        <v>51.22</v>
      </c>
      <c r="J7">
        <v>47.28</v>
      </c>
      <c r="K7">
        <v>35.46</v>
      </c>
      <c r="M7" t="s">
        <v>10</v>
      </c>
      <c r="N7">
        <v>39.4</v>
      </c>
      <c r="O7">
        <v>51.22</v>
      </c>
      <c r="P7">
        <v>39.4</v>
      </c>
      <c r="Q7">
        <v>43.34</v>
      </c>
      <c r="S7" s="4"/>
      <c r="U7" t="s">
        <v>10</v>
      </c>
      <c r="V7">
        <v>47.28</v>
      </c>
      <c r="W7">
        <v>43.34</v>
      </c>
      <c r="X7" t="s">
        <v>6</v>
      </c>
      <c r="Y7" t="s">
        <v>6</v>
      </c>
      <c r="AA7" t="s">
        <v>10</v>
      </c>
      <c r="AB7">
        <v>59.1</v>
      </c>
      <c r="AC7">
        <v>51.22</v>
      </c>
      <c r="AD7">
        <v>47.28</v>
      </c>
      <c r="AE7">
        <v>35.46</v>
      </c>
      <c r="AG7" t="s">
        <v>10</v>
      </c>
      <c r="AH7">
        <v>39.4</v>
      </c>
      <c r="AI7">
        <v>51.22</v>
      </c>
      <c r="AJ7">
        <v>39.4</v>
      </c>
      <c r="AK7">
        <v>43.34</v>
      </c>
    </row>
    <row r="8" spans="1:37" x14ac:dyDescent="0.25">
      <c r="A8" t="s">
        <v>11</v>
      </c>
      <c r="B8">
        <v>23.64</v>
      </c>
      <c r="C8">
        <v>35.46</v>
      </c>
      <c r="D8">
        <v>35.46</v>
      </c>
      <c r="E8" t="s">
        <v>6</v>
      </c>
      <c r="G8" t="s">
        <v>11</v>
      </c>
      <c r="H8">
        <v>47.28</v>
      </c>
      <c r="I8">
        <v>27.58</v>
      </c>
      <c r="J8">
        <v>43.34</v>
      </c>
      <c r="K8">
        <v>39.4</v>
      </c>
      <c r="M8" t="s">
        <v>11</v>
      </c>
      <c r="N8">
        <v>63.04</v>
      </c>
      <c r="O8">
        <v>55.16</v>
      </c>
      <c r="P8">
        <v>47.28</v>
      </c>
      <c r="Q8">
        <v>47.28</v>
      </c>
      <c r="S8" s="4"/>
      <c r="U8" t="s">
        <v>11</v>
      </c>
      <c r="V8">
        <v>23.64</v>
      </c>
      <c r="W8">
        <v>35.46</v>
      </c>
      <c r="X8">
        <v>35.46</v>
      </c>
      <c r="Y8" t="s">
        <v>6</v>
      </c>
      <c r="AA8" t="s">
        <v>11</v>
      </c>
      <c r="AB8">
        <v>47.28</v>
      </c>
      <c r="AC8">
        <v>27.58</v>
      </c>
      <c r="AD8">
        <v>43.34</v>
      </c>
      <c r="AE8">
        <v>39.4</v>
      </c>
      <c r="AG8" t="s">
        <v>11</v>
      </c>
      <c r="AH8">
        <v>63.04</v>
      </c>
      <c r="AI8">
        <v>55.16</v>
      </c>
      <c r="AJ8">
        <v>47.28</v>
      </c>
      <c r="AK8">
        <v>47.28</v>
      </c>
    </row>
    <row r="9" spans="1:37" x14ac:dyDescent="0.25">
      <c r="A9" t="s">
        <v>12</v>
      </c>
      <c r="B9">
        <v>35.46</v>
      </c>
      <c r="C9">
        <v>27.58</v>
      </c>
      <c r="D9" t="s">
        <v>6</v>
      </c>
      <c r="E9">
        <v>23.64</v>
      </c>
      <c r="G9" t="s">
        <v>12</v>
      </c>
      <c r="H9">
        <v>51.22</v>
      </c>
      <c r="I9">
        <v>47.28</v>
      </c>
      <c r="J9">
        <v>39.4</v>
      </c>
      <c r="K9">
        <v>35.46</v>
      </c>
      <c r="M9" t="s">
        <v>12</v>
      </c>
      <c r="N9">
        <v>55.16</v>
      </c>
      <c r="O9">
        <v>55.16</v>
      </c>
      <c r="P9">
        <v>66.98</v>
      </c>
      <c r="Q9">
        <v>51.22</v>
      </c>
      <c r="S9" s="4"/>
      <c r="U9" t="s">
        <v>12</v>
      </c>
      <c r="V9">
        <v>35.46</v>
      </c>
      <c r="W9">
        <v>27.58</v>
      </c>
      <c r="X9" t="s">
        <v>6</v>
      </c>
      <c r="Y9">
        <v>23.64</v>
      </c>
      <c r="AA9" t="s">
        <v>12</v>
      </c>
      <c r="AB9">
        <v>51.22</v>
      </c>
      <c r="AC9">
        <v>47.28</v>
      </c>
      <c r="AD9">
        <v>39.4</v>
      </c>
      <c r="AE9">
        <v>35.46</v>
      </c>
      <c r="AG9" t="s">
        <v>12</v>
      </c>
      <c r="AH9">
        <v>55.16</v>
      </c>
      <c r="AI9">
        <v>55.16</v>
      </c>
      <c r="AJ9">
        <v>66.98</v>
      </c>
      <c r="AK9">
        <v>51.22</v>
      </c>
    </row>
    <row r="10" spans="1:37" x14ac:dyDescent="0.25">
      <c r="A10" t="s">
        <v>13</v>
      </c>
      <c r="B10">
        <v>35.46</v>
      </c>
      <c r="C10">
        <v>27.58</v>
      </c>
      <c r="D10">
        <v>31.52</v>
      </c>
      <c r="E10">
        <v>19.7</v>
      </c>
      <c r="G10" t="s">
        <v>13</v>
      </c>
      <c r="H10">
        <v>47.28</v>
      </c>
      <c r="I10">
        <v>47.28</v>
      </c>
      <c r="J10">
        <v>43.34</v>
      </c>
      <c r="K10">
        <v>43.34</v>
      </c>
      <c r="M10" t="s">
        <v>13</v>
      </c>
      <c r="N10">
        <v>66.98</v>
      </c>
      <c r="O10">
        <v>51.22</v>
      </c>
      <c r="P10">
        <v>59.1</v>
      </c>
      <c r="Q10">
        <v>63.04</v>
      </c>
      <c r="S10" s="4"/>
      <c r="U10" t="s">
        <v>13</v>
      </c>
      <c r="V10">
        <v>35.46</v>
      </c>
      <c r="W10">
        <v>27.58</v>
      </c>
      <c r="X10">
        <v>31.52</v>
      </c>
      <c r="Y10">
        <v>19.7</v>
      </c>
      <c r="AA10" t="s">
        <v>13</v>
      </c>
      <c r="AB10">
        <v>47.28</v>
      </c>
      <c r="AC10">
        <v>47.28</v>
      </c>
      <c r="AD10">
        <v>43.34</v>
      </c>
      <c r="AE10">
        <v>43.34</v>
      </c>
      <c r="AG10" t="s">
        <v>13</v>
      </c>
      <c r="AH10">
        <v>66.98</v>
      </c>
      <c r="AI10">
        <v>51.22</v>
      </c>
      <c r="AJ10">
        <v>59.1</v>
      </c>
      <c r="AK10">
        <v>63.04</v>
      </c>
    </row>
    <row r="11" spans="1:37" x14ac:dyDescent="0.25">
      <c r="A11" t="s">
        <v>5</v>
      </c>
      <c r="G11" t="s">
        <v>5</v>
      </c>
      <c r="M11" t="s">
        <v>5</v>
      </c>
      <c r="S11" s="4"/>
      <c r="U11" t="s">
        <v>5</v>
      </c>
      <c r="AA11" t="s">
        <v>5</v>
      </c>
      <c r="AG11" t="s">
        <v>5</v>
      </c>
    </row>
    <row r="12" spans="1:37" x14ac:dyDescent="0.25">
      <c r="A12" t="s">
        <v>7</v>
      </c>
      <c r="G12" t="s">
        <v>7</v>
      </c>
      <c r="M12" t="s">
        <v>7</v>
      </c>
      <c r="S12" s="4"/>
      <c r="U12" t="s">
        <v>7</v>
      </c>
      <c r="AA12" t="s">
        <v>7</v>
      </c>
      <c r="AG12" t="s">
        <v>7</v>
      </c>
    </row>
    <row r="13" spans="1:37" x14ac:dyDescent="0.25">
      <c r="A13" t="s">
        <v>8</v>
      </c>
      <c r="G13" t="s">
        <v>8</v>
      </c>
      <c r="M13" t="s">
        <v>8</v>
      </c>
      <c r="S13" s="4"/>
      <c r="U13" t="s">
        <v>8</v>
      </c>
      <c r="AA13" t="s">
        <v>8</v>
      </c>
      <c r="AG13" t="s">
        <v>8</v>
      </c>
    </row>
    <row r="14" spans="1:37" x14ac:dyDescent="0.25">
      <c r="A14" t="s">
        <v>9</v>
      </c>
      <c r="G14" t="s">
        <v>9</v>
      </c>
      <c r="M14" t="s">
        <v>9</v>
      </c>
      <c r="S14" s="4"/>
      <c r="U14" t="s">
        <v>9</v>
      </c>
      <c r="AA14" t="s">
        <v>9</v>
      </c>
      <c r="AG14" t="s">
        <v>9</v>
      </c>
    </row>
    <row r="15" spans="1:37" x14ac:dyDescent="0.25">
      <c r="A15" t="s">
        <v>10</v>
      </c>
      <c r="G15" t="s">
        <v>10</v>
      </c>
      <c r="M15" t="s">
        <v>10</v>
      </c>
      <c r="S15" s="4"/>
      <c r="U15" t="s">
        <v>10</v>
      </c>
      <c r="AA15" t="s">
        <v>10</v>
      </c>
      <c r="AG15" t="s">
        <v>10</v>
      </c>
    </row>
    <row r="16" spans="1:37" x14ac:dyDescent="0.25">
      <c r="A16" t="s">
        <v>11</v>
      </c>
      <c r="G16" t="s">
        <v>11</v>
      </c>
      <c r="M16" t="s">
        <v>11</v>
      </c>
      <c r="S16" s="4"/>
      <c r="U16" t="s">
        <v>11</v>
      </c>
      <c r="AA16" t="s">
        <v>11</v>
      </c>
      <c r="AG16" t="s">
        <v>11</v>
      </c>
    </row>
    <row r="17" spans="1:37" x14ac:dyDescent="0.25">
      <c r="A17" t="s">
        <v>12</v>
      </c>
      <c r="G17" t="s">
        <v>12</v>
      </c>
      <c r="M17" t="s">
        <v>12</v>
      </c>
      <c r="S17" s="4"/>
      <c r="U17" t="s">
        <v>12</v>
      </c>
      <c r="AA17" t="s">
        <v>12</v>
      </c>
      <c r="AG17" t="s">
        <v>12</v>
      </c>
    </row>
    <row r="18" spans="1:37" x14ac:dyDescent="0.25">
      <c r="A18" t="s">
        <v>13</v>
      </c>
      <c r="G18" t="s">
        <v>13</v>
      </c>
      <c r="M18" t="s">
        <v>13</v>
      </c>
      <c r="S18" s="4"/>
      <c r="U18" t="s">
        <v>13</v>
      </c>
      <c r="AA18" t="s">
        <v>13</v>
      </c>
      <c r="AG18" t="s">
        <v>13</v>
      </c>
    </row>
    <row r="19" spans="1:3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  <c r="S19" s="4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</row>
    <row r="20" spans="1:37" x14ac:dyDescent="0.25">
      <c r="A20" t="s">
        <v>14</v>
      </c>
      <c r="B20">
        <f>COUNT(B3:B18)</f>
        <v>8</v>
      </c>
      <c r="C20">
        <f t="shared" ref="C20:E20" si="0">COUNT(C3:C18)</f>
        <v>8</v>
      </c>
      <c r="D20">
        <f t="shared" si="0"/>
        <v>6</v>
      </c>
      <c r="E20">
        <f t="shared" si="0"/>
        <v>5</v>
      </c>
      <c r="G20" t="s">
        <v>14</v>
      </c>
      <c r="H20">
        <f>COUNT(H3:H18)</f>
        <v>8</v>
      </c>
      <c r="I20">
        <f t="shared" ref="I20:K20" si="1">COUNT(I3:I18)</f>
        <v>8</v>
      </c>
      <c r="J20">
        <f t="shared" si="1"/>
        <v>8</v>
      </c>
      <c r="K20">
        <f t="shared" si="1"/>
        <v>8</v>
      </c>
      <c r="M20" t="s">
        <v>14</v>
      </c>
      <c r="N20">
        <f>COUNT(N3:N18)</f>
        <v>8</v>
      </c>
      <c r="O20">
        <f t="shared" ref="O20:Q20" si="2">COUNT(O3:O18)</f>
        <v>8</v>
      </c>
      <c r="P20">
        <f t="shared" si="2"/>
        <v>8</v>
      </c>
      <c r="Q20">
        <f t="shared" si="2"/>
        <v>8</v>
      </c>
      <c r="S20" s="4"/>
      <c r="U20" t="s">
        <v>14</v>
      </c>
      <c r="V20">
        <f>COUNT(V3:V18)</f>
        <v>8</v>
      </c>
      <c r="W20">
        <f t="shared" ref="W20:Y20" si="3">COUNT(W3:W18)</f>
        <v>8</v>
      </c>
      <c r="X20">
        <f t="shared" si="3"/>
        <v>6</v>
      </c>
      <c r="Y20">
        <f t="shared" si="3"/>
        <v>5</v>
      </c>
      <c r="AA20" t="s">
        <v>14</v>
      </c>
      <c r="AB20">
        <f>COUNT(AB3:AB18)</f>
        <v>8</v>
      </c>
      <c r="AC20">
        <f t="shared" ref="AC20:AE20" si="4">COUNT(AC3:AC18)</f>
        <v>8</v>
      </c>
      <c r="AD20">
        <f t="shared" si="4"/>
        <v>8</v>
      </c>
      <c r="AE20">
        <f t="shared" si="4"/>
        <v>8</v>
      </c>
      <c r="AG20" t="s">
        <v>14</v>
      </c>
      <c r="AH20">
        <f>COUNT(AH3:AH18)</f>
        <v>8</v>
      </c>
      <c r="AI20">
        <f t="shared" ref="AI20:AK20" si="5">COUNT(AI3:AI18)</f>
        <v>8</v>
      </c>
      <c r="AJ20">
        <f t="shared" si="5"/>
        <v>8</v>
      </c>
      <c r="AK20">
        <f t="shared" si="5"/>
        <v>7</v>
      </c>
    </row>
    <row r="21" spans="1:37" x14ac:dyDescent="0.25">
      <c r="A21" t="s">
        <v>15</v>
      </c>
      <c r="B21">
        <f>MAX(B3:B18)</f>
        <v>51.22</v>
      </c>
      <c r="C21">
        <f t="shared" ref="C21:E21" si="6">MAX(C3:C18)</f>
        <v>43.34</v>
      </c>
      <c r="D21">
        <f t="shared" si="6"/>
        <v>43.34</v>
      </c>
      <c r="E21">
        <f t="shared" si="6"/>
        <v>51.22</v>
      </c>
      <c r="G21" t="s">
        <v>15</v>
      </c>
      <c r="H21">
        <f>MAX(H3:H18)</f>
        <v>74.86</v>
      </c>
      <c r="I21">
        <f t="shared" ref="I21:K21" si="7">MAX(I3:I18)</f>
        <v>70.92</v>
      </c>
      <c r="J21">
        <f t="shared" si="7"/>
        <v>66.98</v>
      </c>
      <c r="K21">
        <f t="shared" si="7"/>
        <v>59.1</v>
      </c>
      <c r="M21" t="s">
        <v>15</v>
      </c>
      <c r="N21">
        <f>MAX(N3:N18)</f>
        <v>78.8</v>
      </c>
      <c r="O21">
        <f t="shared" ref="O21:Q21" si="8">MAX(O3:O18)</f>
        <v>59.1</v>
      </c>
      <c r="P21">
        <f t="shared" si="8"/>
        <v>66.98</v>
      </c>
      <c r="Q21">
        <f t="shared" si="8"/>
        <v>63.04</v>
      </c>
      <c r="S21" s="4"/>
      <c r="U21" t="s">
        <v>15</v>
      </c>
      <c r="V21">
        <f>MAX(V3:V18)</f>
        <v>51.22</v>
      </c>
      <c r="W21">
        <f t="shared" ref="W21:Y21" si="9">MAX(W3:W18)</f>
        <v>43.34</v>
      </c>
      <c r="X21">
        <f t="shared" si="9"/>
        <v>43.34</v>
      </c>
      <c r="Y21">
        <f t="shared" si="9"/>
        <v>51.22</v>
      </c>
      <c r="AA21" t="s">
        <v>15</v>
      </c>
      <c r="AB21">
        <f>MAX(AB3:AB18)</f>
        <v>74.86</v>
      </c>
      <c r="AC21">
        <f t="shared" ref="AC21:AE21" si="10">MAX(AC3:AC18)</f>
        <v>70.92</v>
      </c>
      <c r="AD21">
        <f t="shared" si="10"/>
        <v>66.98</v>
      </c>
      <c r="AE21">
        <f t="shared" si="10"/>
        <v>59.1</v>
      </c>
      <c r="AG21" t="s">
        <v>15</v>
      </c>
      <c r="AH21">
        <f>MAX(AH3:AH18)</f>
        <v>78.8</v>
      </c>
      <c r="AI21">
        <f t="shared" ref="AI21:AK21" si="11">MAX(AI3:AI18)</f>
        <v>59.1</v>
      </c>
      <c r="AJ21">
        <f t="shared" si="11"/>
        <v>66.98</v>
      </c>
      <c r="AK21">
        <f t="shared" si="11"/>
        <v>63.04</v>
      </c>
    </row>
    <row r="22" spans="1:37" x14ac:dyDescent="0.25">
      <c r="A22" t="s">
        <v>16</v>
      </c>
      <c r="B22">
        <f>MIN(B3:B18)</f>
        <v>23.64</v>
      </c>
      <c r="C22">
        <f t="shared" ref="C22:E22" si="12">MIN(C3:C18)</f>
        <v>27.58</v>
      </c>
      <c r="D22">
        <f t="shared" si="12"/>
        <v>27.58</v>
      </c>
      <c r="E22">
        <f t="shared" si="12"/>
        <v>19.7</v>
      </c>
      <c r="G22" t="s">
        <v>16</v>
      </c>
      <c r="H22">
        <f>MIN(H3:H18)</f>
        <v>47.28</v>
      </c>
      <c r="I22">
        <f t="shared" ref="I22:K22" si="13">MIN(I3:I18)</f>
        <v>27.58</v>
      </c>
      <c r="J22">
        <f t="shared" si="13"/>
        <v>39.4</v>
      </c>
      <c r="K22">
        <f t="shared" si="13"/>
        <v>35.46</v>
      </c>
      <c r="M22" t="s">
        <v>16</v>
      </c>
      <c r="N22">
        <f>MIN(N3:N18)</f>
        <v>39.4</v>
      </c>
      <c r="O22">
        <f t="shared" ref="O22:Q22" si="14">MIN(O3:O18)</f>
        <v>47.28</v>
      </c>
      <c r="P22">
        <f t="shared" si="14"/>
        <v>35.46</v>
      </c>
      <c r="Q22">
        <f t="shared" si="14"/>
        <v>19.7</v>
      </c>
      <c r="S22" s="4"/>
      <c r="U22" t="s">
        <v>16</v>
      </c>
      <c r="V22">
        <f>MIN(V3:V18)</f>
        <v>23.64</v>
      </c>
      <c r="W22">
        <f t="shared" ref="W22:Y22" si="15">MIN(W3:W18)</f>
        <v>27.58</v>
      </c>
      <c r="X22">
        <f t="shared" si="15"/>
        <v>27.58</v>
      </c>
      <c r="Y22">
        <f t="shared" si="15"/>
        <v>19.7</v>
      </c>
      <c r="AA22" t="s">
        <v>16</v>
      </c>
      <c r="AB22">
        <f>MIN(AB3:AB18)</f>
        <v>47.28</v>
      </c>
      <c r="AC22">
        <f t="shared" ref="AC22:AE22" si="16">MIN(AC3:AC18)</f>
        <v>27.58</v>
      </c>
      <c r="AD22">
        <f t="shared" si="16"/>
        <v>39.4</v>
      </c>
      <c r="AE22">
        <f t="shared" si="16"/>
        <v>35.46</v>
      </c>
      <c r="AG22" t="s">
        <v>16</v>
      </c>
      <c r="AH22">
        <f>MIN(AH3:AH18)</f>
        <v>39.4</v>
      </c>
      <c r="AI22">
        <f t="shared" ref="AI22:AK22" si="17">MIN(AI3:AI18)</f>
        <v>47.28</v>
      </c>
      <c r="AJ22">
        <f t="shared" si="17"/>
        <v>35.46</v>
      </c>
      <c r="AK22">
        <f t="shared" si="17"/>
        <v>43.34</v>
      </c>
    </row>
    <row r="23" spans="1:37" x14ac:dyDescent="0.25">
      <c r="A23" t="s">
        <v>17</v>
      </c>
      <c r="B23">
        <f>AVERAGE(B3:B18)</f>
        <v>40.877499999999998</v>
      </c>
      <c r="C23">
        <f t="shared" ref="C23:E23" si="18">AVERAGE(C3:C18)</f>
        <v>34.475000000000001</v>
      </c>
      <c r="D23">
        <f t="shared" si="18"/>
        <v>34.146666666666668</v>
      </c>
      <c r="E23">
        <f t="shared" si="18"/>
        <v>31.52</v>
      </c>
      <c r="G23" t="s">
        <v>17</v>
      </c>
      <c r="H23">
        <f>AVERAGE(H3:H18)</f>
        <v>59.100000000000009</v>
      </c>
      <c r="I23">
        <f t="shared" ref="I23:K23" si="19">AVERAGE(I3:I18)</f>
        <v>51.22</v>
      </c>
      <c r="J23">
        <f t="shared" si="19"/>
        <v>51.22</v>
      </c>
      <c r="K23">
        <f t="shared" si="19"/>
        <v>46.295000000000002</v>
      </c>
      <c r="M23" t="s">
        <v>17</v>
      </c>
      <c r="N23">
        <f>AVERAGE(N3:N18)</f>
        <v>61.5625</v>
      </c>
      <c r="O23">
        <f t="shared" ref="O23:Q23" si="20">AVERAGE(O3:O18)</f>
        <v>52.697499999999991</v>
      </c>
      <c r="P23">
        <f t="shared" si="20"/>
        <v>49.742500000000007</v>
      </c>
      <c r="Q23">
        <f t="shared" si="20"/>
        <v>49.250000000000007</v>
      </c>
      <c r="S23" s="4"/>
      <c r="U23" t="s">
        <v>17</v>
      </c>
      <c r="V23">
        <f>AVERAGE(V3:V18)</f>
        <v>40.877499999999998</v>
      </c>
      <c r="W23">
        <f t="shared" ref="W23:Y23" si="21">AVERAGE(W3:W18)</f>
        <v>34.475000000000001</v>
      </c>
      <c r="X23">
        <f t="shared" si="21"/>
        <v>34.146666666666668</v>
      </c>
      <c r="Y23">
        <f t="shared" si="21"/>
        <v>31.52</v>
      </c>
      <c r="AA23" t="s">
        <v>17</v>
      </c>
      <c r="AB23">
        <f>AVERAGE(AB3:AB18)</f>
        <v>59.100000000000009</v>
      </c>
      <c r="AC23">
        <f t="shared" ref="AC23:AE23" si="22">AVERAGE(AC3:AC18)</f>
        <v>51.22</v>
      </c>
      <c r="AD23">
        <f t="shared" si="22"/>
        <v>51.22</v>
      </c>
      <c r="AE23">
        <f t="shared" si="22"/>
        <v>46.295000000000002</v>
      </c>
      <c r="AG23" t="s">
        <v>17</v>
      </c>
      <c r="AH23">
        <f>AVERAGE(AH3:AH18)</f>
        <v>61.5625</v>
      </c>
      <c r="AI23">
        <f t="shared" ref="AI23:AK23" si="23">AVERAGE(AI3:AI18)</f>
        <v>52.697499999999991</v>
      </c>
      <c r="AJ23">
        <f t="shared" si="23"/>
        <v>49.742500000000007</v>
      </c>
      <c r="AK23">
        <f t="shared" si="23"/>
        <v>53.471428571428575</v>
      </c>
    </row>
    <row r="24" spans="1:37" x14ac:dyDescent="0.25">
      <c r="A24" t="s">
        <v>18</v>
      </c>
      <c r="B24">
        <f>STDEV(B3:B18)</f>
        <v>9.1648111974941457</v>
      </c>
      <c r="C24">
        <f t="shared" ref="C24:E24" si="24">STDEV(C3:C18)</f>
        <v>6.9050437052511571</v>
      </c>
      <c r="D24">
        <f t="shared" si="24"/>
        <v>5.3830648023841068</v>
      </c>
      <c r="E24">
        <f t="shared" si="24"/>
        <v>13.361190066756782</v>
      </c>
      <c r="G24" t="s">
        <v>18</v>
      </c>
      <c r="H24">
        <f>STDEV(H3:H18)</f>
        <v>10.317341850357691</v>
      </c>
      <c r="I24">
        <f t="shared" ref="I24:K24" si="25">STDEV(I3:I18)</f>
        <v>13.648560363642776</v>
      </c>
      <c r="J24">
        <f t="shared" si="25"/>
        <v>10.317341850357741</v>
      </c>
      <c r="K24">
        <f t="shared" si="25"/>
        <v>10.045068441777774</v>
      </c>
      <c r="M24" t="s">
        <v>18</v>
      </c>
      <c r="N24">
        <f>STDEV(N3:N18)</f>
        <v>11.713988889967657</v>
      </c>
      <c r="O24">
        <f t="shared" ref="O24:Q24" si="26">STDEV(O3:O18)</f>
        <v>3.6095340023728428</v>
      </c>
      <c r="P24">
        <f t="shared" si="26"/>
        <v>10.303899053964225</v>
      </c>
      <c r="Q24">
        <f t="shared" si="26"/>
        <v>13.648560363642719</v>
      </c>
      <c r="S24" s="4"/>
      <c r="U24" t="s">
        <v>18</v>
      </c>
      <c r="V24">
        <f>STDEV(V3:V18)</f>
        <v>9.1648111974941457</v>
      </c>
      <c r="W24">
        <f t="shared" ref="W24:Y24" si="27">STDEV(W3:W18)</f>
        <v>6.9050437052511571</v>
      </c>
      <c r="X24">
        <f t="shared" si="27"/>
        <v>5.3830648023841068</v>
      </c>
      <c r="Y24">
        <f t="shared" si="27"/>
        <v>13.361190066756782</v>
      </c>
      <c r="AA24" t="s">
        <v>18</v>
      </c>
      <c r="AB24">
        <f>STDEV(AB3:AB18)</f>
        <v>10.317341850357691</v>
      </c>
      <c r="AC24">
        <f t="shared" ref="AC24:AE24" si="28">STDEV(AC3:AC18)</f>
        <v>13.648560363642776</v>
      </c>
      <c r="AD24">
        <f t="shared" si="28"/>
        <v>10.317341850357741</v>
      </c>
      <c r="AE24">
        <f t="shared" si="28"/>
        <v>10.045068441777774</v>
      </c>
      <c r="AG24" t="s">
        <v>18</v>
      </c>
      <c r="AH24">
        <f>STDEV(AH3:AH18)</f>
        <v>11.713988889967657</v>
      </c>
      <c r="AI24">
        <f t="shared" ref="AI24:AK24" si="29">STDEV(AI3:AI18)</f>
        <v>3.6095340023728428</v>
      </c>
      <c r="AJ24">
        <f t="shared" si="29"/>
        <v>10.303899053964225</v>
      </c>
      <c r="AK24">
        <f t="shared" si="29"/>
        <v>7.1418565013387045</v>
      </c>
    </row>
    <row r="25" spans="1:37" x14ac:dyDescent="0.25">
      <c r="A25" t="s">
        <v>19</v>
      </c>
      <c r="B25">
        <f>B23+2*B24</f>
        <v>59.207122394988289</v>
      </c>
      <c r="C25">
        <f t="shared" ref="C25:E25" si="30">C23+2*C24</f>
        <v>48.285087410502314</v>
      </c>
      <c r="D25">
        <f t="shared" si="30"/>
        <v>44.912796271434885</v>
      </c>
      <c r="E25">
        <f t="shared" si="30"/>
        <v>58.242380133513564</v>
      </c>
      <c r="G25" t="s">
        <v>19</v>
      </c>
      <c r="H25">
        <f>H23+2*H24</f>
        <v>79.734683700715394</v>
      </c>
      <c r="I25">
        <f t="shared" ref="I25:K25" si="31">I23+2*I24</f>
        <v>78.517120727285544</v>
      </c>
      <c r="J25">
        <f t="shared" si="31"/>
        <v>71.854683700715483</v>
      </c>
      <c r="K25">
        <f t="shared" si="31"/>
        <v>66.385136883555546</v>
      </c>
      <c r="M25" t="s">
        <v>19</v>
      </c>
      <c r="N25">
        <f>N23+2*N24</f>
        <v>84.990477779935318</v>
      </c>
      <c r="O25">
        <f t="shared" ref="O25:Q25" si="32">O23+2*O24</f>
        <v>59.916568004745677</v>
      </c>
      <c r="P25">
        <f t="shared" si="32"/>
        <v>70.350298107928452</v>
      </c>
      <c r="Q25">
        <f t="shared" si="32"/>
        <v>76.547120727285446</v>
      </c>
      <c r="S25" s="4"/>
      <c r="U25" t="s">
        <v>19</v>
      </c>
      <c r="V25">
        <f>V23+2*V24</f>
        <v>59.207122394988289</v>
      </c>
      <c r="W25">
        <f t="shared" ref="W25:Y25" si="33">W23+2*W24</f>
        <v>48.285087410502314</v>
      </c>
      <c r="X25">
        <f t="shared" si="33"/>
        <v>44.912796271434885</v>
      </c>
      <c r="Y25">
        <f t="shared" si="33"/>
        <v>58.242380133513564</v>
      </c>
      <c r="AA25" t="s">
        <v>19</v>
      </c>
      <c r="AB25">
        <f>AB23+2*AB24</f>
        <v>79.734683700715394</v>
      </c>
      <c r="AC25">
        <f t="shared" ref="AC25:AE25" si="34">AC23+2*AC24</f>
        <v>78.517120727285544</v>
      </c>
      <c r="AD25">
        <f t="shared" si="34"/>
        <v>71.854683700715483</v>
      </c>
      <c r="AE25">
        <f t="shared" si="34"/>
        <v>66.385136883555546</v>
      </c>
      <c r="AG25" t="s">
        <v>19</v>
      </c>
      <c r="AH25">
        <f>AH23+2*AH24</f>
        <v>84.990477779935318</v>
      </c>
      <c r="AI25">
        <f t="shared" ref="AI25:AK25" si="35">AI23+2*AI24</f>
        <v>59.916568004745677</v>
      </c>
      <c r="AJ25">
        <f t="shared" si="35"/>
        <v>70.350298107928452</v>
      </c>
      <c r="AK25">
        <f t="shared" si="35"/>
        <v>67.755141574105977</v>
      </c>
    </row>
    <row r="26" spans="1:37" x14ac:dyDescent="0.25">
      <c r="A26" t="s">
        <v>20</v>
      </c>
      <c r="B26">
        <f>B23-2*B24</f>
        <v>22.547877605011706</v>
      </c>
      <c r="C26">
        <f t="shared" ref="C26:E26" si="36">C23-2*C24</f>
        <v>20.664912589497689</v>
      </c>
      <c r="D26">
        <f t="shared" si="36"/>
        <v>23.380537061898455</v>
      </c>
      <c r="E26">
        <f t="shared" si="36"/>
        <v>4.7976198664864356</v>
      </c>
      <c r="G26" t="s">
        <v>20</v>
      </c>
      <c r="H26">
        <f>H23-2*H24</f>
        <v>38.465316299284623</v>
      </c>
      <c r="I26">
        <f t="shared" ref="I26:K26" si="37">I23-2*I24</f>
        <v>23.922879272714447</v>
      </c>
      <c r="J26">
        <f t="shared" si="37"/>
        <v>30.585316299284518</v>
      </c>
      <c r="K26">
        <f t="shared" si="37"/>
        <v>26.204863116444454</v>
      </c>
      <c r="M26" t="s">
        <v>20</v>
      </c>
      <c r="N26">
        <f>N23-2*N24</f>
        <v>38.134522220064682</v>
      </c>
      <c r="O26">
        <f t="shared" ref="O26:Q26" si="38">O23-2*O24</f>
        <v>45.478431995254304</v>
      </c>
      <c r="P26">
        <f t="shared" si="38"/>
        <v>29.134701892071558</v>
      </c>
      <c r="Q26">
        <f t="shared" si="38"/>
        <v>21.952879272714569</v>
      </c>
      <c r="S26" s="4"/>
      <c r="U26" t="s">
        <v>20</v>
      </c>
      <c r="V26">
        <f>V23-2*V24</f>
        <v>22.547877605011706</v>
      </c>
      <c r="W26">
        <f t="shared" ref="W26:Y26" si="39">W23-2*W24</f>
        <v>20.664912589497689</v>
      </c>
      <c r="X26">
        <f t="shared" si="39"/>
        <v>23.380537061898455</v>
      </c>
      <c r="Y26">
        <f t="shared" si="39"/>
        <v>4.7976198664864356</v>
      </c>
      <c r="AA26" t="s">
        <v>20</v>
      </c>
      <c r="AB26">
        <f>AB23-2*AB24</f>
        <v>38.465316299284623</v>
      </c>
      <c r="AC26">
        <f t="shared" ref="AC26:AE26" si="40">AC23-2*AC24</f>
        <v>23.922879272714447</v>
      </c>
      <c r="AD26">
        <f t="shared" si="40"/>
        <v>30.585316299284518</v>
      </c>
      <c r="AE26">
        <f t="shared" si="40"/>
        <v>26.204863116444454</v>
      </c>
      <c r="AG26" t="s">
        <v>20</v>
      </c>
      <c r="AH26">
        <f>AH23-2*AH24</f>
        <v>38.134522220064682</v>
      </c>
      <c r="AI26">
        <f t="shared" ref="AI26:AK26" si="41">AI23-2*AI24</f>
        <v>45.478431995254304</v>
      </c>
      <c r="AJ26">
        <f t="shared" si="41"/>
        <v>29.134701892071558</v>
      </c>
      <c r="AK26">
        <f t="shared" si="41"/>
        <v>39.187715568751166</v>
      </c>
    </row>
    <row r="27" spans="1:37" x14ac:dyDescent="0.25">
      <c r="A27" t="s">
        <v>21</v>
      </c>
      <c r="B27">
        <f>VAR(B3:B18)</f>
        <v>83.993764285714079</v>
      </c>
      <c r="C27">
        <f t="shared" ref="C27:E27" si="42">VAR(C3:C18)</f>
        <v>47.67962857142863</v>
      </c>
      <c r="D27">
        <f t="shared" si="42"/>
        <v>28.977386666666643</v>
      </c>
      <c r="E27">
        <f t="shared" si="42"/>
        <v>178.52140000000009</v>
      </c>
      <c r="G27" t="s">
        <v>21</v>
      </c>
      <c r="H27">
        <f>VAR(H3:H18)</f>
        <v>106.44754285714225</v>
      </c>
      <c r="I27">
        <f t="shared" ref="I27:K27" si="43">VAR(I3:I18)</f>
        <v>186.28320000000062</v>
      </c>
      <c r="J27">
        <f t="shared" si="43"/>
        <v>106.44754285714329</v>
      </c>
      <c r="K27">
        <f t="shared" si="43"/>
        <v>100.90339999999976</v>
      </c>
      <c r="M27" t="s">
        <v>21</v>
      </c>
      <c r="N27">
        <f>VAR(N3:N18)</f>
        <v>137.21753571428573</v>
      </c>
      <c r="O27">
        <f t="shared" ref="O27:Q27" si="44">VAR(O3:O18)</f>
        <v>13.028735714285713</v>
      </c>
      <c r="P27">
        <f t="shared" si="44"/>
        <v>106.17033571428485</v>
      </c>
      <c r="Q27">
        <f t="shared" si="44"/>
        <v>186.28319999999908</v>
      </c>
      <c r="S27" s="4"/>
      <c r="U27" t="s">
        <v>21</v>
      </c>
      <c r="V27">
        <f>VAR(V3:V18)</f>
        <v>83.993764285714079</v>
      </c>
      <c r="W27">
        <f t="shared" ref="W27:Y27" si="45">VAR(W3:W18)</f>
        <v>47.67962857142863</v>
      </c>
      <c r="X27">
        <f t="shared" si="45"/>
        <v>28.977386666666643</v>
      </c>
      <c r="Y27">
        <f t="shared" si="45"/>
        <v>178.52140000000009</v>
      </c>
      <c r="AA27" t="s">
        <v>21</v>
      </c>
      <c r="AB27">
        <f>VAR(AB3:AB18)</f>
        <v>106.44754285714225</v>
      </c>
      <c r="AC27">
        <f t="shared" ref="AC27:AE27" si="46">VAR(AC3:AC18)</f>
        <v>186.28320000000062</v>
      </c>
      <c r="AD27">
        <f t="shared" si="46"/>
        <v>106.44754285714329</v>
      </c>
      <c r="AE27">
        <f t="shared" si="46"/>
        <v>100.90339999999976</v>
      </c>
      <c r="AG27" t="s">
        <v>21</v>
      </c>
      <c r="AH27">
        <f>VAR(AH3:AH18)</f>
        <v>137.21753571428573</v>
      </c>
      <c r="AI27">
        <f t="shared" ref="AI27:AK27" si="47">VAR(AI3:AI18)</f>
        <v>13.028735714285713</v>
      </c>
      <c r="AJ27">
        <f t="shared" si="47"/>
        <v>106.17033571428485</v>
      </c>
      <c r="AK27">
        <f t="shared" si="47"/>
        <v>51.00611428571392</v>
      </c>
    </row>
    <row r="28" spans="1:37" x14ac:dyDescent="0.25">
      <c r="S28" s="4"/>
    </row>
    <row r="29" spans="1:37" x14ac:dyDescent="0.25">
      <c r="A29" t="s">
        <v>22</v>
      </c>
      <c r="G29" t="s">
        <v>23</v>
      </c>
      <c r="H29">
        <f>AVERAGE(H3:H10)</f>
        <v>59.100000000000009</v>
      </c>
      <c r="I29">
        <f t="shared" ref="I29:K29" si="48">AVERAGE(I3:I10)</f>
        <v>51.22</v>
      </c>
      <c r="J29">
        <f t="shared" si="48"/>
        <v>51.22</v>
      </c>
      <c r="K29">
        <f t="shared" si="48"/>
        <v>46.295000000000002</v>
      </c>
      <c r="M29" t="s">
        <v>23</v>
      </c>
      <c r="N29">
        <f>AVERAGE(N3:N10)</f>
        <v>61.5625</v>
      </c>
      <c r="O29">
        <f t="shared" ref="O29:Q29" si="49">AVERAGE(O3:O10)</f>
        <v>52.697499999999991</v>
      </c>
      <c r="P29">
        <f t="shared" si="49"/>
        <v>49.742500000000007</v>
      </c>
      <c r="Q29">
        <f t="shared" si="49"/>
        <v>49.250000000000007</v>
      </c>
      <c r="S29" s="4"/>
      <c r="U29" t="s">
        <v>22</v>
      </c>
      <c r="AA29" t="s">
        <v>23</v>
      </c>
      <c r="AB29">
        <f>AVERAGE(AB3:AB10)</f>
        <v>59.100000000000009</v>
      </c>
      <c r="AC29">
        <f t="shared" ref="AC29:AE29" si="50">AVERAGE(AC3:AC10)</f>
        <v>51.22</v>
      </c>
      <c r="AD29">
        <f t="shared" si="50"/>
        <v>51.22</v>
      </c>
      <c r="AE29">
        <f t="shared" si="50"/>
        <v>46.295000000000002</v>
      </c>
      <c r="AG29" t="s">
        <v>23</v>
      </c>
      <c r="AH29">
        <f>AVERAGE(AH3:AH10)</f>
        <v>61.5625</v>
      </c>
      <c r="AI29">
        <f t="shared" ref="AI29:AK29" si="51">AVERAGE(AI3:AI10)</f>
        <v>52.697499999999991</v>
      </c>
      <c r="AJ29">
        <f t="shared" si="51"/>
        <v>49.742500000000007</v>
      </c>
      <c r="AK29">
        <f t="shared" si="51"/>
        <v>53.471428571428575</v>
      </c>
    </row>
    <row r="30" spans="1:37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52">AVERAGE(I11:I18)</f>
        <v>#DIV/0!</v>
      </c>
      <c r="J30" t="e">
        <f t="shared" si="52"/>
        <v>#DIV/0!</v>
      </c>
      <c r="K30" t="e">
        <f t="shared" si="52"/>
        <v>#DIV/0!</v>
      </c>
      <c r="M30" t="s">
        <v>24</v>
      </c>
      <c r="N30" t="e">
        <f>AVERAGE(N11:N18)</f>
        <v>#DIV/0!</v>
      </c>
      <c r="O30" t="e">
        <f t="shared" ref="O30:Q30" si="53">AVERAGE(O11:O18)</f>
        <v>#DIV/0!</v>
      </c>
      <c r="P30" t="e">
        <f t="shared" si="53"/>
        <v>#DIV/0!</v>
      </c>
      <c r="Q30" t="e">
        <f t="shared" si="53"/>
        <v>#DIV/0!</v>
      </c>
      <c r="S30" s="4"/>
      <c r="U30" t="s">
        <v>1</v>
      </c>
      <c r="V30" t="e">
        <f>TTEST(V11:V18,AB11:AB18,2,3)</f>
        <v>#DIV/0!</v>
      </c>
      <c r="AA30" t="s">
        <v>24</v>
      </c>
      <c r="AB30" t="e">
        <f>AVERAGE(AB11:AB18)</f>
        <v>#DIV/0!</v>
      </c>
      <c r="AC30" t="e">
        <f t="shared" ref="AC30:AE30" si="54">AVERAGE(AC11:AC18)</f>
        <v>#DIV/0!</v>
      </c>
      <c r="AD30" t="e">
        <f t="shared" si="54"/>
        <v>#DIV/0!</v>
      </c>
      <c r="AE30" t="e">
        <f t="shared" si="54"/>
        <v>#DIV/0!</v>
      </c>
      <c r="AG30" t="s">
        <v>24</v>
      </c>
      <c r="AH30" t="e">
        <f>AVERAGE(AH11:AH18)</f>
        <v>#DIV/0!</v>
      </c>
      <c r="AI30" t="e">
        <f t="shared" ref="AI30:AK30" si="55">AVERAGE(AI11:AI18)</f>
        <v>#DIV/0!</v>
      </c>
      <c r="AJ30" t="e">
        <f t="shared" si="55"/>
        <v>#DIV/0!</v>
      </c>
      <c r="AK30" t="e">
        <f t="shared" si="55"/>
        <v>#DIV/0!</v>
      </c>
    </row>
    <row r="31" spans="1:37" x14ac:dyDescent="0.25">
      <c r="A31" t="s">
        <v>2</v>
      </c>
      <c r="B31" t="e">
        <f>TTEST(C11:C18,I11:I18,2,3)</f>
        <v>#DIV/0!</v>
      </c>
      <c r="S31" s="4"/>
      <c r="U31" t="s">
        <v>2</v>
      </c>
      <c r="V31" t="e">
        <f>TTEST(W11:W18,AC11:AC18,2,3)</f>
        <v>#DIV/0!</v>
      </c>
    </row>
    <row r="32" spans="1:37" x14ac:dyDescent="0.25">
      <c r="A32" t="s">
        <v>3</v>
      </c>
      <c r="B32" t="e">
        <f>TTEST(D11:D18,J11:J18,2,3)</f>
        <v>#DIV/0!</v>
      </c>
      <c r="S32" s="4"/>
      <c r="U32" t="s">
        <v>3</v>
      </c>
      <c r="V32" t="e">
        <f>TTEST(X11:X18,AD11:AD18,2,3)</f>
        <v>#DIV/0!</v>
      </c>
    </row>
    <row r="33" spans="1:37" x14ac:dyDescent="0.25">
      <c r="A33" t="s">
        <v>4</v>
      </c>
      <c r="B33" t="e">
        <f>TTEST(E11:E18,K11:K18,2,3)</f>
        <v>#DIV/0!</v>
      </c>
      <c r="S33" s="4"/>
      <c r="U33" t="s">
        <v>4</v>
      </c>
      <c r="V33" t="e">
        <f>TTEST(Y11:Y18,AE11:AE18,2,3)</f>
        <v>#DIV/0!</v>
      </c>
    </row>
    <row r="34" spans="1:37" x14ac:dyDescent="0.25">
      <c r="S34" s="4"/>
    </row>
    <row r="35" spans="1:37" x14ac:dyDescent="0.25">
      <c r="A35" t="s">
        <v>25</v>
      </c>
      <c r="S35" s="5" t="s">
        <v>28</v>
      </c>
      <c r="U35" t="s">
        <v>25</v>
      </c>
    </row>
    <row r="36" spans="1:37" x14ac:dyDescent="0.25">
      <c r="A36" s="1" t="s">
        <v>29</v>
      </c>
      <c r="B36" s="1" t="s">
        <v>1</v>
      </c>
      <c r="C36" s="1" t="s">
        <v>2</v>
      </c>
      <c r="D36" s="1" t="s">
        <v>3</v>
      </c>
      <c r="E36" s="1" t="s">
        <v>4</v>
      </c>
      <c r="G36" s="1" t="s">
        <v>30</v>
      </c>
      <c r="H36" s="1" t="s">
        <v>1</v>
      </c>
      <c r="I36" s="1" t="s">
        <v>2</v>
      </c>
      <c r="J36" s="1" t="s">
        <v>3</v>
      </c>
      <c r="K36" s="1" t="s">
        <v>4</v>
      </c>
      <c r="M36" s="1" t="s">
        <v>31</v>
      </c>
      <c r="N36" s="1" t="s">
        <v>1</v>
      </c>
      <c r="O36" s="1" t="s">
        <v>2</v>
      </c>
      <c r="P36" s="1" t="s">
        <v>3</v>
      </c>
      <c r="Q36" s="1" t="s">
        <v>4</v>
      </c>
      <c r="R36" s="1"/>
      <c r="S36" s="4"/>
      <c r="U36" s="1" t="s">
        <v>29</v>
      </c>
      <c r="V36" s="1" t="s">
        <v>1</v>
      </c>
      <c r="W36" s="1" t="s">
        <v>2</v>
      </c>
      <c r="X36" s="1" t="s">
        <v>3</v>
      </c>
      <c r="Y36" s="1" t="s">
        <v>4</v>
      </c>
      <c r="AA36" s="1" t="s">
        <v>30</v>
      </c>
      <c r="AB36" s="1" t="s">
        <v>1</v>
      </c>
      <c r="AC36" s="1" t="s">
        <v>2</v>
      </c>
      <c r="AD36" s="1" t="s">
        <v>3</v>
      </c>
      <c r="AE36" s="1" t="s">
        <v>4</v>
      </c>
      <c r="AG36" s="1" t="s">
        <v>31</v>
      </c>
      <c r="AH36" s="1" t="s">
        <v>1</v>
      </c>
      <c r="AI36" s="1" t="s">
        <v>2</v>
      </c>
      <c r="AJ36" s="1" t="s">
        <v>3</v>
      </c>
      <c r="AK36" s="1" t="s">
        <v>4</v>
      </c>
    </row>
    <row r="37" spans="1:37" x14ac:dyDescent="0.25">
      <c r="A37" t="s">
        <v>5</v>
      </c>
      <c r="B37" s="3">
        <f>-((B3-$B$23)/$B$23)*100</f>
        <v>-15.662650602409647</v>
      </c>
      <c r="C37" s="3">
        <f t="shared" ref="C37:E44" si="56">-((C3-$B$23)/$B$23)*100</f>
        <v>22.891566265060238</v>
      </c>
      <c r="D37" s="3">
        <f t="shared" si="56"/>
        <v>32.53012048192771</v>
      </c>
      <c r="E37" s="3">
        <f t="shared" si="56"/>
        <v>3.6144578313252995</v>
      </c>
      <c r="G37" t="s">
        <v>5</v>
      </c>
      <c r="H37" s="3">
        <f>-((H3-$H$29)/$H$29)*100</f>
        <v>1.2022719725213198E-14</v>
      </c>
      <c r="I37" s="3">
        <f t="shared" ref="I37:K37" si="57">-((I3-$H$29)/$H$29)*100</f>
        <v>-19.999999999999986</v>
      </c>
      <c r="J37" s="3">
        <f t="shared" si="57"/>
        <v>-13.333333333333325</v>
      </c>
      <c r="K37" s="3">
        <f t="shared" si="57"/>
        <v>1.2022719725213198E-14</v>
      </c>
      <c r="M37" t="s">
        <v>5</v>
      </c>
      <c r="N37" s="3">
        <f>-((N3-$N$29)/$N$29)*100</f>
        <v>-8.800000000000006</v>
      </c>
      <c r="O37" s="3">
        <f>-((O3-$N$29)/$N$29)*100</f>
        <v>16.8</v>
      </c>
      <c r="P37" s="3">
        <f>-((P3-$N$29)/$N$29)*100</f>
        <v>23.2</v>
      </c>
      <c r="Q37" s="3">
        <f>-((Q3-$N$29)/$N$29)*100</f>
        <v>68</v>
      </c>
      <c r="R37" s="3"/>
      <c r="S37" s="4"/>
      <c r="U37" t="s">
        <v>5</v>
      </c>
      <c r="V37" s="3">
        <f>-((V3-$V$23)/$V$23)*100</f>
        <v>-15.662650602409647</v>
      </c>
      <c r="W37" s="3">
        <f t="shared" ref="W37:Y37" si="58">-((W3-$V$23)/$V$23)*100</f>
        <v>22.891566265060238</v>
      </c>
      <c r="X37" s="3">
        <f t="shared" si="58"/>
        <v>32.53012048192771</v>
      </c>
      <c r="Y37" s="3">
        <f t="shared" si="58"/>
        <v>3.6144578313252995</v>
      </c>
      <c r="AA37" t="s">
        <v>5</v>
      </c>
      <c r="AB37" s="3">
        <f>-((AB3-$AB$29)/$AB$29)*100</f>
        <v>1.2022719725213198E-14</v>
      </c>
      <c r="AC37" s="3">
        <f t="shared" ref="AC37:AE37" si="59">-((AC3-$AB$29)/$AB$29)*100</f>
        <v>-19.999999999999986</v>
      </c>
      <c r="AD37" s="3">
        <f t="shared" si="59"/>
        <v>-13.333333333333325</v>
      </c>
      <c r="AE37" s="3">
        <f t="shared" si="59"/>
        <v>1.2022719725213198E-14</v>
      </c>
      <c r="AG37" t="s">
        <v>5</v>
      </c>
      <c r="AH37" s="3">
        <f>-((AH3-$AH$29)/$AH$29)*100</f>
        <v>-8.800000000000006</v>
      </c>
      <c r="AI37" s="3">
        <f t="shared" ref="AI37:AJ37" si="60">-((AI3-$AH$29)/$AH$29)*100</f>
        <v>16.8</v>
      </c>
      <c r="AJ37" s="3">
        <f t="shared" si="60"/>
        <v>23.2</v>
      </c>
      <c r="AK37" s="3"/>
    </row>
    <row r="38" spans="1:37" x14ac:dyDescent="0.25">
      <c r="A38" t="s">
        <v>7</v>
      </c>
      <c r="B38" s="3">
        <f t="shared" ref="B38:B44" si="61">-((B4-$B$23)/$B$23)*100</f>
        <v>-15.662650602409647</v>
      </c>
      <c r="C38" s="3">
        <f t="shared" si="56"/>
        <v>32.53012048192771</v>
      </c>
      <c r="D38" s="3">
        <f t="shared" si="56"/>
        <v>22.891566265060238</v>
      </c>
      <c r="E38" s="3"/>
      <c r="G38" t="s">
        <v>7</v>
      </c>
      <c r="H38" s="3">
        <f t="shared" ref="H38:K44" si="62">-((H4-$H$29)/$H$29)*100</f>
        <v>-6.6666666666666501</v>
      </c>
      <c r="I38" s="3">
        <f t="shared" si="62"/>
        <v>6.6666666666666856</v>
      </c>
      <c r="J38" s="3">
        <f t="shared" si="62"/>
        <v>1.2022719725213198E-14</v>
      </c>
      <c r="K38" s="3">
        <f t="shared" si="62"/>
        <v>26.666666666666671</v>
      </c>
      <c r="M38" t="s">
        <v>7</v>
      </c>
      <c r="N38" s="3">
        <f t="shared" ref="N38:Q44" si="63">-((N4-$N$29)/$N$29)*100</f>
        <v>10.400000000000006</v>
      </c>
      <c r="O38" s="3">
        <f t="shared" si="63"/>
        <v>16.8</v>
      </c>
      <c r="P38" s="3">
        <f t="shared" si="63"/>
        <v>10.400000000000006</v>
      </c>
      <c r="Q38" s="3">
        <f t="shared" si="63"/>
        <v>16.8</v>
      </c>
      <c r="R38" s="3"/>
      <c r="S38" s="4"/>
      <c r="U38" t="s">
        <v>7</v>
      </c>
      <c r="V38" s="3">
        <f t="shared" ref="V38:Y44" si="64">-((V4-$V$23)/$V$23)*100</f>
        <v>-15.662650602409647</v>
      </c>
      <c r="W38" s="3">
        <f t="shared" si="64"/>
        <v>32.53012048192771</v>
      </c>
      <c r="X38" s="3">
        <f t="shared" si="64"/>
        <v>22.891566265060238</v>
      </c>
      <c r="Y38" s="3"/>
      <c r="AA38" t="s">
        <v>7</v>
      </c>
      <c r="AB38" s="3">
        <f t="shared" ref="AB38:AE39" si="65">-((AB4-$AB$29)/$AB$29)*100</f>
        <v>-6.6666666666666501</v>
      </c>
      <c r="AC38" s="3">
        <f t="shared" si="65"/>
        <v>6.6666666666666856</v>
      </c>
      <c r="AD38" s="3">
        <f t="shared" si="65"/>
        <v>1.2022719725213198E-14</v>
      </c>
      <c r="AE38" s="3">
        <f t="shared" si="65"/>
        <v>26.666666666666671</v>
      </c>
      <c r="AG38" t="s">
        <v>7</v>
      </c>
      <c r="AH38" s="3">
        <f t="shared" ref="AH38:AK44" si="66">-((AH4-$AH$29)/$AH$29)*100</f>
        <v>10.400000000000006</v>
      </c>
      <c r="AI38" s="3">
        <f t="shared" si="66"/>
        <v>16.8</v>
      </c>
      <c r="AJ38" s="3">
        <f t="shared" si="66"/>
        <v>10.400000000000006</v>
      </c>
      <c r="AK38" s="3">
        <f t="shared" si="66"/>
        <v>16.8</v>
      </c>
    </row>
    <row r="39" spans="1:37" x14ac:dyDescent="0.25">
      <c r="A39" t="s">
        <v>8</v>
      </c>
      <c r="B39" s="3">
        <f t="shared" si="61"/>
        <v>3.6144578313252995</v>
      </c>
      <c r="C39" s="3">
        <f t="shared" si="56"/>
        <v>-6.0240963855421832</v>
      </c>
      <c r="D39" s="3">
        <f t="shared" si="56"/>
        <v>13.253012048192764</v>
      </c>
      <c r="E39" s="3">
        <f t="shared" si="56"/>
        <v>-25.30120481927711</v>
      </c>
      <c r="G39" t="s">
        <v>8</v>
      </c>
      <c r="H39" s="3">
        <f t="shared" si="62"/>
        <v>-19.999999999999986</v>
      </c>
      <c r="I39" s="3">
        <f t="shared" si="62"/>
        <v>26.666666666666671</v>
      </c>
      <c r="J39" s="3">
        <f t="shared" si="62"/>
        <v>20.000000000000011</v>
      </c>
      <c r="K39" s="3">
        <f t="shared" si="62"/>
        <v>1.2022719725213198E-14</v>
      </c>
      <c r="M39" t="s">
        <v>8</v>
      </c>
      <c r="N39" s="3">
        <f t="shared" si="63"/>
        <v>-27.999999999999996</v>
      </c>
      <c r="O39" s="3">
        <f t="shared" si="63"/>
        <v>23.2</v>
      </c>
      <c r="P39" s="3">
        <f t="shared" si="63"/>
        <v>23.2</v>
      </c>
      <c r="Q39" s="3">
        <f t="shared" si="63"/>
        <v>3.9999999999999982</v>
      </c>
      <c r="R39" s="3"/>
      <c r="S39" s="4"/>
      <c r="U39" t="s">
        <v>8</v>
      </c>
      <c r="V39" s="3">
        <f t="shared" si="64"/>
        <v>3.6144578313252995</v>
      </c>
      <c r="W39" s="3">
        <f t="shared" si="64"/>
        <v>-6.0240963855421832</v>
      </c>
      <c r="X39" s="3">
        <f t="shared" si="64"/>
        <v>13.253012048192764</v>
      </c>
      <c r="Y39" s="3">
        <f t="shared" si="64"/>
        <v>-25.30120481927711</v>
      </c>
      <c r="AA39" t="s">
        <v>8</v>
      </c>
      <c r="AB39" s="3">
        <f>-((AB5-$AB$29)/$AB$29)*100</f>
        <v>-19.999999999999986</v>
      </c>
      <c r="AC39" s="3">
        <f t="shared" si="65"/>
        <v>26.666666666666671</v>
      </c>
      <c r="AD39" s="3">
        <f t="shared" si="65"/>
        <v>20.000000000000011</v>
      </c>
      <c r="AE39" s="3">
        <f t="shared" si="65"/>
        <v>1.2022719725213198E-14</v>
      </c>
      <c r="AG39" t="s">
        <v>8</v>
      </c>
      <c r="AH39" s="3">
        <f t="shared" si="66"/>
        <v>-27.999999999999996</v>
      </c>
      <c r="AI39" s="3">
        <f t="shared" si="66"/>
        <v>23.2</v>
      </c>
      <c r="AJ39" s="3">
        <f t="shared" si="66"/>
        <v>23.2</v>
      </c>
      <c r="AK39" s="3">
        <f>-((AK5-$AH$29)/$AH$29)*100</f>
        <v>3.9999999999999982</v>
      </c>
    </row>
    <row r="40" spans="1:37" x14ac:dyDescent="0.25">
      <c r="A40" t="s">
        <v>9</v>
      </c>
      <c r="B40" s="3">
        <f t="shared" si="61"/>
        <v>-25.30120481927711</v>
      </c>
      <c r="C40" s="3">
        <f t="shared" si="56"/>
        <v>3.6144578313252995</v>
      </c>
      <c r="D40" s="3">
        <f t="shared" si="56"/>
        <v>-6.0240963855421832</v>
      </c>
      <c r="E40" s="3">
        <f t="shared" si="56"/>
        <v>42.168674698795179</v>
      </c>
      <c r="G40" t="s">
        <v>9</v>
      </c>
      <c r="H40" s="3">
        <f t="shared" si="62"/>
        <v>-26.66666666666665</v>
      </c>
      <c r="I40" s="3">
        <f t="shared" si="62"/>
        <v>-13.333333333333325</v>
      </c>
      <c r="J40" s="3">
        <f t="shared" si="62"/>
        <v>-6.6666666666666501</v>
      </c>
      <c r="K40" s="3">
        <f t="shared" si="62"/>
        <v>6.6666666666666856</v>
      </c>
      <c r="M40" t="s">
        <v>9</v>
      </c>
      <c r="N40" s="3">
        <f t="shared" si="63"/>
        <v>-8.800000000000006</v>
      </c>
      <c r="O40" s="3">
        <f t="shared" si="63"/>
        <v>3.9999999999999982</v>
      </c>
      <c r="P40" s="3">
        <f t="shared" si="63"/>
        <v>42.4</v>
      </c>
      <c r="Q40" s="3">
        <f t="shared" si="63"/>
        <v>3.9999999999999982</v>
      </c>
      <c r="R40" s="3"/>
      <c r="S40" s="4"/>
      <c r="U40" t="s">
        <v>9</v>
      </c>
      <c r="V40" s="3">
        <f t="shared" si="64"/>
        <v>-25.30120481927711</v>
      </c>
      <c r="W40" s="3">
        <f t="shared" si="64"/>
        <v>3.6144578313252995</v>
      </c>
      <c r="X40" s="3">
        <f t="shared" si="64"/>
        <v>-6.0240963855421832</v>
      </c>
      <c r="Y40" s="3">
        <f t="shared" si="64"/>
        <v>42.168674698795179</v>
      </c>
      <c r="AA40" t="s">
        <v>9</v>
      </c>
      <c r="AB40" s="3">
        <f t="shared" ref="AB40:AE44" si="67">-((AB6-$AB$29)/$AB$29)*100</f>
        <v>-26.66666666666665</v>
      </c>
      <c r="AC40" s="3">
        <f t="shared" si="67"/>
        <v>-13.333333333333325</v>
      </c>
      <c r="AD40" s="3">
        <f t="shared" si="67"/>
        <v>-6.6666666666666501</v>
      </c>
      <c r="AE40" s="3">
        <f t="shared" si="67"/>
        <v>6.6666666666666856</v>
      </c>
      <c r="AG40" t="s">
        <v>9</v>
      </c>
      <c r="AH40" s="3">
        <f t="shared" si="66"/>
        <v>-8.800000000000006</v>
      </c>
      <c r="AI40" s="3">
        <f t="shared" si="66"/>
        <v>3.9999999999999982</v>
      </c>
      <c r="AJ40" s="3">
        <f t="shared" si="66"/>
        <v>42.4</v>
      </c>
      <c r="AK40" s="3">
        <f t="shared" si="66"/>
        <v>3.9999999999999982</v>
      </c>
    </row>
    <row r="41" spans="1:37" x14ac:dyDescent="0.25">
      <c r="A41" t="s">
        <v>10</v>
      </c>
      <c r="B41" s="3">
        <f t="shared" si="61"/>
        <v>-15.662650602409647</v>
      </c>
      <c r="C41" s="3">
        <f t="shared" si="56"/>
        <v>-6.0240963855421832</v>
      </c>
      <c r="D41" s="3"/>
      <c r="E41" s="3"/>
      <c r="G41" t="s">
        <v>10</v>
      </c>
      <c r="H41" s="3">
        <f t="shared" si="62"/>
        <v>1.2022719725213198E-14</v>
      </c>
      <c r="I41" s="3">
        <f t="shared" si="62"/>
        <v>13.333333333333346</v>
      </c>
      <c r="J41" s="3">
        <f t="shared" si="62"/>
        <v>20.000000000000011</v>
      </c>
      <c r="K41" s="3">
        <f t="shared" si="62"/>
        <v>40.000000000000007</v>
      </c>
      <c r="M41" t="s">
        <v>10</v>
      </c>
      <c r="N41" s="3">
        <f t="shared" si="63"/>
        <v>36.000000000000007</v>
      </c>
      <c r="O41" s="3">
        <f t="shared" si="63"/>
        <v>16.8</v>
      </c>
      <c r="P41" s="3">
        <f t="shared" si="63"/>
        <v>36.000000000000007</v>
      </c>
      <c r="Q41" s="3">
        <f t="shared" si="63"/>
        <v>29.599999999999994</v>
      </c>
      <c r="R41" s="3"/>
      <c r="S41" s="4"/>
      <c r="U41" t="s">
        <v>10</v>
      </c>
      <c r="V41" s="3">
        <f t="shared" si="64"/>
        <v>-15.662650602409647</v>
      </c>
      <c r="W41" s="3">
        <f t="shared" si="64"/>
        <v>-6.0240963855421832</v>
      </c>
      <c r="X41" s="3"/>
      <c r="Y41" s="3"/>
      <c r="AA41" t="s">
        <v>10</v>
      </c>
      <c r="AB41" s="3">
        <f t="shared" si="67"/>
        <v>1.2022719725213198E-14</v>
      </c>
      <c r="AC41" s="3">
        <f t="shared" si="67"/>
        <v>13.333333333333346</v>
      </c>
      <c r="AD41" s="3">
        <f t="shared" si="67"/>
        <v>20.000000000000011</v>
      </c>
      <c r="AE41" s="3">
        <f t="shared" si="67"/>
        <v>40.000000000000007</v>
      </c>
      <c r="AG41" t="s">
        <v>10</v>
      </c>
      <c r="AH41" s="3">
        <f t="shared" si="66"/>
        <v>36.000000000000007</v>
      </c>
      <c r="AI41" s="3">
        <f t="shared" si="66"/>
        <v>16.8</v>
      </c>
      <c r="AJ41" s="3">
        <f t="shared" si="66"/>
        <v>36.000000000000007</v>
      </c>
      <c r="AK41" s="3">
        <f t="shared" si="66"/>
        <v>29.599999999999994</v>
      </c>
    </row>
    <row r="42" spans="1:37" x14ac:dyDescent="0.25">
      <c r="A42" t="s">
        <v>11</v>
      </c>
      <c r="B42" s="3">
        <f t="shared" si="61"/>
        <v>42.168674698795179</v>
      </c>
      <c r="C42" s="3">
        <f t="shared" si="56"/>
        <v>13.253012048192764</v>
      </c>
      <c r="D42" s="3">
        <f t="shared" si="56"/>
        <v>13.253012048192764</v>
      </c>
      <c r="E42" s="3"/>
      <c r="G42" t="s">
        <v>11</v>
      </c>
      <c r="H42" s="3">
        <f t="shared" si="62"/>
        <v>20.000000000000011</v>
      </c>
      <c r="I42" s="3">
        <f t="shared" si="62"/>
        <v>53.333333333333343</v>
      </c>
      <c r="J42" s="3">
        <f t="shared" si="62"/>
        <v>26.666666666666671</v>
      </c>
      <c r="K42" s="3">
        <f t="shared" si="62"/>
        <v>33.333333333333343</v>
      </c>
      <c r="M42" t="s">
        <v>11</v>
      </c>
      <c r="N42" s="3">
        <f t="shared" si="63"/>
        <v>-2.3999999999999986</v>
      </c>
      <c r="O42" s="3">
        <f t="shared" si="63"/>
        <v>10.400000000000006</v>
      </c>
      <c r="P42" s="3">
        <f t="shared" si="63"/>
        <v>23.2</v>
      </c>
      <c r="Q42" s="3">
        <f t="shared" si="63"/>
        <v>23.2</v>
      </c>
      <c r="R42" s="3"/>
      <c r="S42" s="4"/>
      <c r="U42" t="s">
        <v>11</v>
      </c>
      <c r="V42" s="3">
        <f t="shared" si="64"/>
        <v>42.168674698795179</v>
      </c>
      <c r="W42" s="3">
        <f t="shared" si="64"/>
        <v>13.253012048192764</v>
      </c>
      <c r="X42" s="3">
        <f t="shared" si="64"/>
        <v>13.253012048192764</v>
      </c>
      <c r="Y42" s="3"/>
      <c r="AA42" t="s">
        <v>11</v>
      </c>
      <c r="AB42" s="3">
        <f t="shared" si="67"/>
        <v>20.000000000000011</v>
      </c>
      <c r="AC42" s="3">
        <f t="shared" si="67"/>
        <v>53.333333333333343</v>
      </c>
      <c r="AD42" s="3">
        <f t="shared" si="67"/>
        <v>26.666666666666671</v>
      </c>
      <c r="AE42" s="3">
        <f t="shared" si="67"/>
        <v>33.333333333333343</v>
      </c>
      <c r="AG42" t="s">
        <v>11</v>
      </c>
      <c r="AH42" s="3">
        <f t="shared" si="66"/>
        <v>-2.3999999999999986</v>
      </c>
      <c r="AI42" s="3">
        <f t="shared" si="66"/>
        <v>10.400000000000006</v>
      </c>
      <c r="AJ42" s="3">
        <f t="shared" si="66"/>
        <v>23.2</v>
      </c>
      <c r="AK42" s="3">
        <f t="shared" si="66"/>
        <v>23.2</v>
      </c>
    </row>
    <row r="43" spans="1:37" x14ac:dyDescent="0.25">
      <c r="A43" t="s">
        <v>12</v>
      </c>
      <c r="B43" s="3">
        <f t="shared" si="61"/>
        <v>13.253012048192764</v>
      </c>
      <c r="C43" s="3">
        <f t="shared" si="56"/>
        <v>32.53012048192771</v>
      </c>
      <c r="D43" s="3"/>
      <c r="E43" s="3">
        <f t="shared" si="56"/>
        <v>42.168674698795179</v>
      </c>
      <c r="G43" t="s">
        <v>12</v>
      </c>
      <c r="H43" s="3">
        <f t="shared" si="62"/>
        <v>13.333333333333346</v>
      </c>
      <c r="I43" s="3">
        <f t="shared" si="62"/>
        <v>20.000000000000011</v>
      </c>
      <c r="J43" s="3">
        <f t="shared" si="62"/>
        <v>33.333333333333343</v>
      </c>
      <c r="K43" s="3">
        <f t="shared" si="62"/>
        <v>40.000000000000007</v>
      </c>
      <c r="M43" t="s">
        <v>12</v>
      </c>
      <c r="N43" s="3">
        <f t="shared" si="63"/>
        <v>10.400000000000006</v>
      </c>
      <c r="O43" s="3">
        <f t="shared" si="63"/>
        <v>10.400000000000006</v>
      </c>
      <c r="P43" s="3">
        <f t="shared" si="63"/>
        <v>-8.800000000000006</v>
      </c>
      <c r="Q43" s="3">
        <f t="shared" si="63"/>
        <v>16.8</v>
      </c>
      <c r="R43" s="3"/>
      <c r="S43" s="4"/>
      <c r="U43" t="s">
        <v>12</v>
      </c>
      <c r="V43" s="3">
        <f t="shared" si="64"/>
        <v>13.253012048192764</v>
      </c>
      <c r="W43" s="3">
        <f t="shared" si="64"/>
        <v>32.53012048192771</v>
      </c>
      <c r="X43" s="3"/>
      <c r="Y43" s="3">
        <f t="shared" si="64"/>
        <v>42.168674698795179</v>
      </c>
      <c r="AA43" t="s">
        <v>12</v>
      </c>
      <c r="AB43" s="3">
        <f t="shared" si="67"/>
        <v>13.333333333333346</v>
      </c>
      <c r="AC43" s="3">
        <f t="shared" si="67"/>
        <v>20.000000000000011</v>
      </c>
      <c r="AD43" s="3">
        <f t="shared" si="67"/>
        <v>33.333333333333343</v>
      </c>
      <c r="AE43" s="3">
        <f t="shared" si="67"/>
        <v>40.000000000000007</v>
      </c>
      <c r="AG43" t="s">
        <v>12</v>
      </c>
      <c r="AH43" s="3">
        <f t="shared" si="66"/>
        <v>10.400000000000006</v>
      </c>
      <c r="AI43" s="3">
        <f t="shared" si="66"/>
        <v>10.400000000000006</v>
      </c>
      <c r="AJ43" s="3">
        <f t="shared" si="66"/>
        <v>-8.800000000000006</v>
      </c>
      <c r="AK43" s="3">
        <f t="shared" si="66"/>
        <v>16.8</v>
      </c>
    </row>
    <row r="44" spans="1:37" x14ac:dyDescent="0.25">
      <c r="A44" t="s">
        <v>13</v>
      </c>
      <c r="B44" s="3">
        <f t="shared" si="61"/>
        <v>13.253012048192764</v>
      </c>
      <c r="C44" s="3">
        <f t="shared" si="56"/>
        <v>32.53012048192771</v>
      </c>
      <c r="D44" s="3">
        <f t="shared" si="56"/>
        <v>22.891566265060238</v>
      </c>
      <c r="E44" s="3">
        <f t="shared" si="56"/>
        <v>51.807228915662648</v>
      </c>
      <c r="G44" t="s">
        <v>13</v>
      </c>
      <c r="H44" s="3">
        <f t="shared" si="62"/>
        <v>20.000000000000011</v>
      </c>
      <c r="I44" s="3">
        <f t="shared" si="62"/>
        <v>20.000000000000011</v>
      </c>
      <c r="J44" s="3">
        <f t="shared" si="62"/>
        <v>26.666666666666671</v>
      </c>
      <c r="K44" s="3">
        <f t="shared" si="62"/>
        <v>26.666666666666671</v>
      </c>
      <c r="M44" t="s">
        <v>13</v>
      </c>
      <c r="N44" s="3">
        <f t="shared" si="63"/>
        <v>-8.800000000000006</v>
      </c>
      <c r="O44" s="3">
        <f t="shared" si="63"/>
        <v>16.8</v>
      </c>
      <c r="P44" s="3">
        <f t="shared" si="63"/>
        <v>3.9999999999999982</v>
      </c>
      <c r="Q44" s="3">
        <f t="shared" si="63"/>
        <v>-2.3999999999999986</v>
      </c>
      <c r="R44" s="3"/>
      <c r="S44" s="4"/>
      <c r="U44" t="s">
        <v>13</v>
      </c>
      <c r="V44" s="3">
        <f t="shared" si="64"/>
        <v>13.253012048192764</v>
      </c>
      <c r="W44" s="3">
        <f t="shared" si="64"/>
        <v>32.53012048192771</v>
      </c>
      <c r="X44" s="3">
        <f t="shared" si="64"/>
        <v>22.891566265060238</v>
      </c>
      <c r="Y44" s="3">
        <f t="shared" si="64"/>
        <v>51.807228915662648</v>
      </c>
      <c r="AA44" t="s">
        <v>13</v>
      </c>
      <c r="AB44" s="3">
        <f t="shared" si="67"/>
        <v>20.000000000000011</v>
      </c>
      <c r="AC44" s="3">
        <f t="shared" si="67"/>
        <v>20.000000000000011</v>
      </c>
      <c r="AD44" s="3">
        <f t="shared" si="67"/>
        <v>26.666666666666671</v>
      </c>
      <c r="AE44" s="3">
        <f t="shared" si="67"/>
        <v>26.666666666666671</v>
      </c>
      <c r="AG44" t="s">
        <v>13</v>
      </c>
      <c r="AH44" s="3">
        <f t="shared" si="66"/>
        <v>-8.800000000000006</v>
      </c>
      <c r="AI44" s="3">
        <f t="shared" si="66"/>
        <v>16.8</v>
      </c>
      <c r="AJ44" s="3">
        <f t="shared" si="66"/>
        <v>3.9999999999999982</v>
      </c>
      <c r="AK44" s="3">
        <f t="shared" si="66"/>
        <v>-2.3999999999999986</v>
      </c>
    </row>
    <row r="45" spans="1:37" x14ac:dyDescent="0.25">
      <c r="A45" t="s">
        <v>5</v>
      </c>
      <c r="B45" s="3"/>
      <c r="C45" s="3"/>
      <c r="D45" s="3"/>
      <c r="E45" s="3"/>
      <c r="G45" t="s">
        <v>5</v>
      </c>
      <c r="H45" s="3"/>
      <c r="I45" s="3"/>
      <c r="J45" s="3"/>
      <c r="K45" s="3"/>
      <c r="M45" t="s">
        <v>5</v>
      </c>
      <c r="N45" s="3"/>
      <c r="O45" s="3"/>
      <c r="P45" s="3"/>
      <c r="Q45" s="3"/>
      <c r="S45" s="4"/>
      <c r="U45" t="s">
        <v>5</v>
      </c>
      <c r="V45" s="3"/>
      <c r="W45" s="3"/>
      <c r="X45" s="3"/>
      <c r="Y45" s="3"/>
      <c r="AA45" t="s">
        <v>5</v>
      </c>
      <c r="AB45" s="3"/>
      <c r="AC45" s="3"/>
      <c r="AD45" s="3"/>
      <c r="AE45" s="3"/>
      <c r="AG45" t="s">
        <v>5</v>
      </c>
      <c r="AH45" s="3"/>
      <c r="AI45" s="3"/>
      <c r="AJ45" s="3"/>
      <c r="AK45" s="3"/>
    </row>
    <row r="46" spans="1:37" x14ac:dyDescent="0.25">
      <c r="A46" t="s">
        <v>7</v>
      </c>
      <c r="B46" s="3"/>
      <c r="C46" s="3"/>
      <c r="D46" s="3"/>
      <c r="E46" s="3"/>
      <c r="G46" t="s">
        <v>7</v>
      </c>
      <c r="H46" s="3"/>
      <c r="I46" s="3"/>
      <c r="J46" s="3"/>
      <c r="K46" s="3"/>
      <c r="M46" t="s">
        <v>7</v>
      </c>
      <c r="N46" s="3"/>
      <c r="O46" s="3"/>
      <c r="P46" s="3"/>
      <c r="Q46" s="3"/>
      <c r="S46" s="4"/>
      <c r="U46" t="s">
        <v>7</v>
      </c>
      <c r="V46" s="3"/>
      <c r="W46" s="3"/>
      <c r="X46" s="3"/>
      <c r="Y46" s="3"/>
      <c r="AA46" t="s">
        <v>7</v>
      </c>
      <c r="AB46" s="3"/>
      <c r="AC46" s="3"/>
      <c r="AD46" s="3"/>
      <c r="AE46" s="3"/>
      <c r="AG46" t="s">
        <v>7</v>
      </c>
      <c r="AH46" s="3"/>
      <c r="AI46" s="3"/>
      <c r="AJ46" s="3"/>
      <c r="AK46" s="3"/>
    </row>
    <row r="47" spans="1:37" x14ac:dyDescent="0.25">
      <c r="A47" t="s">
        <v>8</v>
      </c>
      <c r="B47" s="3"/>
      <c r="C47" s="3"/>
      <c r="D47" s="3"/>
      <c r="E47" s="3"/>
      <c r="G47" t="s">
        <v>8</v>
      </c>
      <c r="H47" s="3"/>
      <c r="I47" s="3"/>
      <c r="J47" s="3"/>
      <c r="K47" s="3"/>
      <c r="M47" t="s">
        <v>8</v>
      </c>
      <c r="N47" s="3"/>
      <c r="O47" s="3"/>
      <c r="P47" s="3"/>
      <c r="Q47" s="3"/>
      <c r="S47" s="4"/>
      <c r="U47" t="s">
        <v>8</v>
      </c>
      <c r="V47" s="3"/>
      <c r="W47" s="3"/>
      <c r="X47" s="3"/>
      <c r="Y47" s="3"/>
      <c r="AA47" t="s">
        <v>8</v>
      </c>
      <c r="AB47" s="3"/>
      <c r="AC47" s="3"/>
      <c r="AD47" s="3"/>
      <c r="AE47" s="3"/>
      <c r="AG47" t="s">
        <v>8</v>
      </c>
      <c r="AH47" s="3"/>
      <c r="AI47" s="3"/>
      <c r="AJ47" s="3"/>
      <c r="AK47" s="3"/>
    </row>
    <row r="48" spans="1:37" x14ac:dyDescent="0.25">
      <c r="A48" t="s">
        <v>9</v>
      </c>
      <c r="B48" s="3"/>
      <c r="C48" s="3"/>
      <c r="D48" s="3"/>
      <c r="E48" s="3"/>
      <c r="G48" t="s">
        <v>9</v>
      </c>
      <c r="H48" s="3"/>
      <c r="I48" s="3"/>
      <c r="J48" s="3"/>
      <c r="K48" s="3"/>
      <c r="M48" t="s">
        <v>9</v>
      </c>
      <c r="N48" s="3"/>
      <c r="O48" s="3"/>
      <c r="P48" s="3"/>
      <c r="Q48" s="3"/>
      <c r="S48" s="4"/>
      <c r="U48" t="s">
        <v>9</v>
      </c>
      <c r="V48" s="3"/>
      <c r="W48" s="3"/>
      <c r="X48" s="3"/>
      <c r="Y48" s="3"/>
      <c r="AA48" t="s">
        <v>9</v>
      </c>
      <c r="AB48" s="3"/>
      <c r="AC48" s="3"/>
      <c r="AD48" s="3"/>
      <c r="AE48" s="3"/>
      <c r="AG48" t="s">
        <v>9</v>
      </c>
      <c r="AH48" s="3"/>
      <c r="AI48" s="3"/>
      <c r="AJ48" s="3"/>
      <c r="AK48" s="3"/>
    </row>
    <row r="49" spans="1:37" x14ac:dyDescent="0.25">
      <c r="A49" t="s">
        <v>10</v>
      </c>
      <c r="B49" s="3"/>
      <c r="C49" s="3"/>
      <c r="D49" s="3"/>
      <c r="E49" s="3"/>
      <c r="G49" t="s">
        <v>10</v>
      </c>
      <c r="H49" s="3"/>
      <c r="I49" s="3"/>
      <c r="J49" s="3"/>
      <c r="K49" s="3"/>
      <c r="M49" t="s">
        <v>10</v>
      </c>
      <c r="N49" s="3"/>
      <c r="O49" s="3"/>
      <c r="P49" s="3"/>
      <c r="Q49" s="3"/>
      <c r="S49" s="4"/>
      <c r="U49" t="s">
        <v>10</v>
      </c>
      <c r="V49" s="3"/>
      <c r="W49" s="3"/>
      <c r="X49" s="3"/>
      <c r="Y49" s="3"/>
      <c r="AA49" t="s">
        <v>10</v>
      </c>
      <c r="AB49" s="3"/>
      <c r="AC49" s="3"/>
      <c r="AD49" s="3"/>
      <c r="AE49" s="3"/>
      <c r="AG49" t="s">
        <v>10</v>
      </c>
      <c r="AH49" s="3"/>
      <c r="AI49" s="3"/>
      <c r="AJ49" s="3"/>
      <c r="AK49" s="3"/>
    </row>
    <row r="50" spans="1:37" x14ac:dyDescent="0.25">
      <c r="A50" t="s">
        <v>11</v>
      </c>
      <c r="B50" s="3"/>
      <c r="C50" s="3"/>
      <c r="D50" s="3"/>
      <c r="E50" s="3"/>
      <c r="G50" t="s">
        <v>11</v>
      </c>
      <c r="H50" s="3"/>
      <c r="I50" s="3"/>
      <c r="J50" s="3"/>
      <c r="K50" s="3"/>
      <c r="M50" t="s">
        <v>11</v>
      </c>
      <c r="N50" s="3"/>
      <c r="O50" s="3"/>
      <c r="P50" s="3"/>
      <c r="Q50" s="3"/>
      <c r="S50" s="4"/>
      <c r="U50" t="s">
        <v>11</v>
      </c>
      <c r="V50" s="3"/>
      <c r="W50" s="3"/>
      <c r="X50" s="3"/>
      <c r="Y50" s="3"/>
      <c r="AA50" t="s">
        <v>11</v>
      </c>
      <c r="AB50" s="3"/>
      <c r="AC50" s="3"/>
      <c r="AD50" s="3"/>
      <c r="AE50" s="3"/>
      <c r="AG50" t="s">
        <v>11</v>
      </c>
      <c r="AH50" s="3"/>
      <c r="AI50" s="3"/>
      <c r="AJ50" s="3"/>
      <c r="AK50" s="3"/>
    </row>
    <row r="51" spans="1:37" x14ac:dyDescent="0.25">
      <c r="A51" t="s">
        <v>12</v>
      </c>
      <c r="B51" s="3"/>
      <c r="C51" s="3"/>
      <c r="D51" s="3"/>
      <c r="E51" s="3"/>
      <c r="G51" t="s">
        <v>12</v>
      </c>
      <c r="H51" s="3"/>
      <c r="I51" s="3"/>
      <c r="J51" s="3"/>
      <c r="K51" s="3"/>
      <c r="M51" t="s">
        <v>12</v>
      </c>
      <c r="N51" s="3"/>
      <c r="O51" s="3"/>
      <c r="P51" s="3"/>
      <c r="Q51" s="3"/>
      <c r="S51" s="4"/>
      <c r="U51" t="s">
        <v>12</v>
      </c>
      <c r="V51" s="3"/>
      <c r="W51" s="3"/>
      <c r="X51" s="3"/>
      <c r="Y51" s="3"/>
      <c r="AA51" t="s">
        <v>12</v>
      </c>
      <c r="AB51" s="3"/>
      <c r="AC51" s="3"/>
      <c r="AD51" s="3"/>
      <c r="AE51" s="3"/>
      <c r="AG51" t="s">
        <v>12</v>
      </c>
      <c r="AH51" s="3"/>
      <c r="AI51" s="3"/>
      <c r="AJ51" s="3"/>
      <c r="AK51" s="3"/>
    </row>
    <row r="52" spans="1:37" x14ac:dyDescent="0.25">
      <c r="A52" t="s">
        <v>13</v>
      </c>
      <c r="B52" s="3"/>
      <c r="C52" s="3"/>
      <c r="D52" s="3"/>
      <c r="E52" s="3"/>
      <c r="G52" t="s">
        <v>13</v>
      </c>
      <c r="H52" s="3"/>
      <c r="I52" s="3"/>
      <c r="J52" s="3"/>
      <c r="K52" s="3"/>
      <c r="M52" t="s">
        <v>13</v>
      </c>
      <c r="N52" s="3"/>
      <c r="O52" s="3"/>
      <c r="P52" s="3"/>
      <c r="Q52" s="3"/>
      <c r="S52" s="4"/>
      <c r="U52" t="s">
        <v>13</v>
      </c>
      <c r="V52" s="3"/>
      <c r="W52" s="3"/>
      <c r="X52" s="3"/>
      <c r="Y52" s="3"/>
      <c r="AA52" t="s">
        <v>13</v>
      </c>
      <c r="AB52" s="3"/>
      <c r="AC52" s="3"/>
      <c r="AD52" s="3"/>
      <c r="AE52" s="3"/>
      <c r="AG52" t="s">
        <v>13</v>
      </c>
      <c r="AH52" s="3"/>
      <c r="AI52" s="3"/>
      <c r="AJ52" s="3"/>
      <c r="AK52" s="3"/>
    </row>
    <row r="53" spans="1:37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  <c r="S53" s="4"/>
      <c r="U53" s="2"/>
      <c r="V53" s="2"/>
      <c r="W53" s="2"/>
      <c r="X53" s="2"/>
      <c r="Y53" s="2"/>
      <c r="AA53" s="2"/>
      <c r="AB53" s="2"/>
      <c r="AC53" s="2"/>
      <c r="AD53" s="2"/>
      <c r="AE53" s="2"/>
      <c r="AG53" s="2"/>
      <c r="AH53" s="2"/>
      <c r="AI53" s="2"/>
      <c r="AJ53" s="2"/>
      <c r="AK53" s="2"/>
    </row>
    <row r="54" spans="1:37" x14ac:dyDescent="0.25">
      <c r="A54" t="s">
        <v>14</v>
      </c>
      <c r="B54">
        <f>COUNT(B37:B52)</f>
        <v>8</v>
      </c>
      <c r="C54">
        <f t="shared" ref="C54:E54" si="68">COUNT(C37:C52)</f>
        <v>8</v>
      </c>
      <c r="D54">
        <f t="shared" si="68"/>
        <v>6</v>
      </c>
      <c r="E54">
        <f t="shared" si="68"/>
        <v>5</v>
      </c>
      <c r="G54" t="s">
        <v>14</v>
      </c>
      <c r="H54">
        <f>COUNT(H37:H52)</f>
        <v>8</v>
      </c>
      <c r="I54">
        <f t="shared" ref="I54:K54" si="69">COUNT(I37:I52)</f>
        <v>8</v>
      </c>
      <c r="J54">
        <f t="shared" si="69"/>
        <v>8</v>
      </c>
      <c r="K54">
        <f t="shared" si="69"/>
        <v>8</v>
      </c>
      <c r="M54" t="s">
        <v>14</v>
      </c>
      <c r="N54">
        <f>COUNT(N37:N52)</f>
        <v>8</v>
      </c>
      <c r="O54">
        <f t="shared" ref="O54:Q54" si="70">COUNT(O37:O52)</f>
        <v>8</v>
      </c>
      <c r="P54">
        <f t="shared" si="70"/>
        <v>8</v>
      </c>
      <c r="Q54">
        <f t="shared" si="70"/>
        <v>8</v>
      </c>
      <c r="S54" s="4"/>
      <c r="U54" t="s">
        <v>14</v>
      </c>
      <c r="V54">
        <f>COUNT(V37:V52)</f>
        <v>8</v>
      </c>
      <c r="W54">
        <f t="shared" ref="W54:Y54" si="71">COUNT(W37:W52)</f>
        <v>8</v>
      </c>
      <c r="X54">
        <f t="shared" si="71"/>
        <v>6</v>
      </c>
      <c r="Y54">
        <f t="shared" si="71"/>
        <v>5</v>
      </c>
      <c r="AA54" t="s">
        <v>14</v>
      </c>
      <c r="AB54">
        <f>COUNT(AB37:AB52)</f>
        <v>8</v>
      </c>
      <c r="AC54">
        <f t="shared" ref="AC54:AE54" si="72">COUNT(AC37:AC52)</f>
        <v>8</v>
      </c>
      <c r="AD54">
        <f t="shared" si="72"/>
        <v>8</v>
      </c>
      <c r="AE54">
        <f t="shared" si="72"/>
        <v>8</v>
      </c>
      <c r="AG54" t="s">
        <v>14</v>
      </c>
      <c r="AH54">
        <f>COUNT(AH37:AH52)</f>
        <v>8</v>
      </c>
      <c r="AI54">
        <f t="shared" ref="AI54:AK54" si="73">COUNT(AI37:AI52)</f>
        <v>8</v>
      </c>
      <c r="AJ54">
        <f t="shared" si="73"/>
        <v>8</v>
      </c>
      <c r="AK54">
        <f t="shared" si="73"/>
        <v>7</v>
      </c>
    </row>
    <row r="55" spans="1:37" x14ac:dyDescent="0.25">
      <c r="A55" t="s">
        <v>15</v>
      </c>
      <c r="B55">
        <f>MAX(B37:B52)</f>
        <v>42.168674698795179</v>
      </c>
      <c r="C55">
        <f t="shared" ref="C55:E55" si="74">MAX(C37:C52)</f>
        <v>32.53012048192771</v>
      </c>
      <c r="D55">
        <f t="shared" si="74"/>
        <v>32.53012048192771</v>
      </c>
      <c r="E55">
        <f t="shared" si="74"/>
        <v>51.807228915662648</v>
      </c>
      <c r="G55" t="s">
        <v>15</v>
      </c>
      <c r="H55">
        <f>MAX(H37:H52)</f>
        <v>20.000000000000011</v>
      </c>
      <c r="I55">
        <f t="shared" ref="I55:K55" si="75">MAX(I37:I52)</f>
        <v>53.333333333333343</v>
      </c>
      <c r="J55">
        <f t="shared" si="75"/>
        <v>33.333333333333343</v>
      </c>
      <c r="K55">
        <f t="shared" si="75"/>
        <v>40.000000000000007</v>
      </c>
      <c r="M55" t="s">
        <v>15</v>
      </c>
      <c r="N55">
        <f>MAX(N37:N52)</f>
        <v>36.000000000000007</v>
      </c>
      <c r="O55">
        <f t="shared" ref="O55:Q55" si="76">MAX(O37:O52)</f>
        <v>23.2</v>
      </c>
      <c r="P55">
        <f t="shared" si="76"/>
        <v>42.4</v>
      </c>
      <c r="Q55">
        <f t="shared" si="76"/>
        <v>68</v>
      </c>
      <c r="S55" s="4"/>
      <c r="U55" t="s">
        <v>15</v>
      </c>
      <c r="V55">
        <f>MAX(V37:V52)</f>
        <v>42.168674698795179</v>
      </c>
      <c r="W55">
        <f t="shared" ref="W55:Y55" si="77">MAX(W37:W52)</f>
        <v>32.53012048192771</v>
      </c>
      <c r="X55">
        <f t="shared" si="77"/>
        <v>32.53012048192771</v>
      </c>
      <c r="Y55">
        <f t="shared" si="77"/>
        <v>51.807228915662648</v>
      </c>
      <c r="AA55" t="s">
        <v>15</v>
      </c>
      <c r="AB55">
        <f>MAX(AB37:AB52)</f>
        <v>20.000000000000011</v>
      </c>
      <c r="AC55">
        <f t="shared" ref="AC55:AE55" si="78">MAX(AC37:AC52)</f>
        <v>53.333333333333343</v>
      </c>
      <c r="AD55">
        <f t="shared" si="78"/>
        <v>33.333333333333343</v>
      </c>
      <c r="AE55">
        <f t="shared" si="78"/>
        <v>40.000000000000007</v>
      </c>
      <c r="AG55" t="s">
        <v>15</v>
      </c>
      <c r="AH55">
        <f>MAX(AH37:AH52)</f>
        <v>36.000000000000007</v>
      </c>
      <c r="AI55">
        <f t="shared" ref="AI55:AK55" si="79">MAX(AI37:AI52)</f>
        <v>23.2</v>
      </c>
      <c r="AJ55">
        <f t="shared" si="79"/>
        <v>42.4</v>
      </c>
      <c r="AK55">
        <f t="shared" si="79"/>
        <v>29.599999999999994</v>
      </c>
    </row>
    <row r="56" spans="1:37" x14ac:dyDescent="0.25">
      <c r="A56" t="s">
        <v>16</v>
      </c>
      <c r="B56">
        <f>MIN(B37:B52)</f>
        <v>-25.30120481927711</v>
      </c>
      <c r="C56">
        <f t="shared" ref="C56:E56" si="80">MIN(C37:C52)</f>
        <v>-6.0240963855421832</v>
      </c>
      <c r="D56">
        <f t="shared" si="80"/>
        <v>-6.0240963855421832</v>
      </c>
      <c r="E56">
        <f t="shared" si="80"/>
        <v>-25.30120481927711</v>
      </c>
      <c r="G56" t="s">
        <v>16</v>
      </c>
      <c r="H56">
        <f>MIN(H37:H52)</f>
        <v>-26.66666666666665</v>
      </c>
      <c r="I56">
        <f t="shared" ref="I56:K56" si="81">MIN(I37:I52)</f>
        <v>-19.999999999999986</v>
      </c>
      <c r="J56">
        <f t="shared" si="81"/>
        <v>-13.333333333333325</v>
      </c>
      <c r="K56">
        <f t="shared" si="81"/>
        <v>1.2022719725213198E-14</v>
      </c>
      <c r="M56" t="s">
        <v>16</v>
      </c>
      <c r="N56">
        <f>MIN(N37:N52)</f>
        <v>-27.999999999999996</v>
      </c>
      <c r="O56">
        <f t="shared" ref="O56:Q56" si="82">MIN(O37:O52)</f>
        <v>3.9999999999999982</v>
      </c>
      <c r="P56">
        <f t="shared" si="82"/>
        <v>-8.800000000000006</v>
      </c>
      <c r="Q56">
        <f t="shared" si="82"/>
        <v>-2.3999999999999986</v>
      </c>
      <c r="S56" s="4"/>
      <c r="U56" t="s">
        <v>16</v>
      </c>
      <c r="V56">
        <f>MIN(V37:V52)</f>
        <v>-25.30120481927711</v>
      </c>
      <c r="W56">
        <f t="shared" ref="W56:Y56" si="83">MIN(W37:W52)</f>
        <v>-6.0240963855421832</v>
      </c>
      <c r="X56">
        <f t="shared" si="83"/>
        <v>-6.0240963855421832</v>
      </c>
      <c r="Y56">
        <f t="shared" si="83"/>
        <v>-25.30120481927711</v>
      </c>
      <c r="AA56" t="s">
        <v>16</v>
      </c>
      <c r="AB56">
        <f>MIN(AB37:AB52)</f>
        <v>-26.66666666666665</v>
      </c>
      <c r="AC56">
        <f t="shared" ref="AC56:AE56" si="84">MIN(AC37:AC52)</f>
        <v>-19.999999999999986</v>
      </c>
      <c r="AD56">
        <f t="shared" si="84"/>
        <v>-13.333333333333325</v>
      </c>
      <c r="AE56">
        <f t="shared" si="84"/>
        <v>1.2022719725213198E-14</v>
      </c>
      <c r="AG56" t="s">
        <v>16</v>
      </c>
      <c r="AH56">
        <f>MIN(AH37:AH52)</f>
        <v>-27.999999999999996</v>
      </c>
      <c r="AI56">
        <f t="shared" ref="AI56:AK56" si="85">MIN(AI37:AI52)</f>
        <v>3.9999999999999982</v>
      </c>
      <c r="AJ56">
        <f t="shared" si="85"/>
        <v>-8.800000000000006</v>
      </c>
      <c r="AK56">
        <f t="shared" si="85"/>
        <v>-2.3999999999999986</v>
      </c>
    </row>
    <row r="57" spans="1:37" x14ac:dyDescent="0.25">
      <c r="A57" t="s">
        <v>17</v>
      </c>
      <c r="B57">
        <f>AVERAGE(B37:B52)</f>
        <v>-4.8849813083506888E-15</v>
      </c>
      <c r="C57">
        <f t="shared" ref="C57:E57" si="86">AVERAGE(C37:C52)</f>
        <v>15.662650602409633</v>
      </c>
      <c r="D57">
        <f t="shared" si="86"/>
        <v>16.465863453815253</v>
      </c>
      <c r="E57">
        <f t="shared" si="86"/>
        <v>22.891566265060241</v>
      </c>
      <c r="G57" t="s">
        <v>17</v>
      </c>
      <c r="H57">
        <f>AVERAGE(H37:H52)</f>
        <v>1.4210854715202004E-14</v>
      </c>
      <c r="I57">
        <f t="shared" ref="I57:K57" si="87">AVERAGE(I37:I52)</f>
        <v>13.333333333333346</v>
      </c>
      <c r="J57">
        <f t="shared" si="87"/>
        <v>13.333333333333343</v>
      </c>
      <c r="K57">
        <f t="shared" si="87"/>
        <v>21.666666666666679</v>
      </c>
      <c r="M57" t="s">
        <v>17</v>
      </c>
      <c r="N57">
        <f>AVERAGE(N37:N52)</f>
        <v>0</v>
      </c>
      <c r="O57">
        <f t="shared" ref="O57:Q57" si="88">AVERAGE(O37:O52)</f>
        <v>14.4</v>
      </c>
      <c r="P57">
        <f t="shared" si="88"/>
        <v>19.2</v>
      </c>
      <c r="Q57">
        <f t="shared" si="88"/>
        <v>20</v>
      </c>
      <c r="S57" s="4"/>
      <c r="U57" t="s">
        <v>17</v>
      </c>
      <c r="V57">
        <f>AVERAGE(V37:V52)</f>
        <v>-4.8849813083506888E-15</v>
      </c>
      <c r="W57">
        <f t="shared" ref="W57:Y57" si="89">AVERAGE(W37:W52)</f>
        <v>15.662650602409633</v>
      </c>
      <c r="X57">
        <f t="shared" si="89"/>
        <v>16.465863453815253</v>
      </c>
      <c r="Y57">
        <f t="shared" si="89"/>
        <v>22.891566265060241</v>
      </c>
      <c r="AA57" t="s">
        <v>17</v>
      </c>
      <c r="AB57">
        <f>AVERAGE(AB37:AB52)</f>
        <v>1.4210854715202004E-14</v>
      </c>
      <c r="AC57">
        <f t="shared" ref="AC57:AE57" si="90">AVERAGE(AC37:AC52)</f>
        <v>13.333333333333346</v>
      </c>
      <c r="AD57">
        <f t="shared" si="90"/>
        <v>13.333333333333343</v>
      </c>
      <c r="AE57">
        <f t="shared" si="90"/>
        <v>21.666666666666679</v>
      </c>
      <c r="AG57" t="s">
        <v>17</v>
      </c>
      <c r="AH57">
        <f>AVERAGE(AH37:AH52)</f>
        <v>0</v>
      </c>
      <c r="AI57">
        <f t="shared" ref="AI57:AK57" si="91">AVERAGE(AI37:AI52)</f>
        <v>14.4</v>
      </c>
      <c r="AJ57">
        <f t="shared" si="91"/>
        <v>19.2</v>
      </c>
      <c r="AK57">
        <f t="shared" si="91"/>
        <v>13.142857142857142</v>
      </c>
    </row>
    <row r="58" spans="1:37" x14ac:dyDescent="0.25">
      <c r="A58" t="s">
        <v>18</v>
      </c>
      <c r="B58">
        <f>STDEV(B37:B52)</f>
        <v>22.420185181320178</v>
      </c>
      <c r="C58">
        <f t="shared" ref="C58:E58" si="92">STDEV(C37:C52)</f>
        <v>16.892040132716424</v>
      </c>
      <c r="D58">
        <f t="shared" si="92"/>
        <v>13.168772068703104</v>
      </c>
      <c r="E58">
        <f t="shared" si="92"/>
        <v>32.685927629519362</v>
      </c>
      <c r="G58" t="s">
        <v>18</v>
      </c>
      <c r="H58">
        <f>STDEV(H37:H52)</f>
        <v>17.457431218879389</v>
      </c>
      <c r="I58">
        <f t="shared" ref="I58:K58" si="93">STDEV(I37:I52)</f>
        <v>23.094010767585026</v>
      </c>
      <c r="J58">
        <f t="shared" si="93"/>
        <v>17.457431218879389</v>
      </c>
      <c r="K58">
        <f t="shared" si="93"/>
        <v>16.996731711975944</v>
      </c>
      <c r="M58" t="s">
        <v>18</v>
      </c>
      <c r="N58">
        <f>STDEV(N37:N52)</f>
        <v>19.027799212130212</v>
      </c>
      <c r="O58">
        <f t="shared" ref="O58:Q58" si="94">STDEV(O37:O52)</f>
        <v>5.8632024404025884</v>
      </c>
      <c r="P58">
        <f t="shared" si="94"/>
        <v>16.737297955677999</v>
      </c>
      <c r="Q58">
        <f t="shared" si="94"/>
        <v>22.170250336881626</v>
      </c>
      <c r="S58" s="4"/>
      <c r="U58" t="s">
        <v>18</v>
      </c>
      <c r="V58">
        <f>STDEV(V37:V52)</f>
        <v>22.420185181320178</v>
      </c>
      <c r="W58">
        <f t="shared" ref="W58:Y58" si="95">STDEV(W37:W52)</f>
        <v>16.892040132716424</v>
      </c>
      <c r="X58">
        <f t="shared" si="95"/>
        <v>13.168772068703104</v>
      </c>
      <c r="Y58">
        <f t="shared" si="95"/>
        <v>32.685927629519362</v>
      </c>
      <c r="AA58" t="s">
        <v>18</v>
      </c>
      <c r="AB58">
        <f>STDEV(AB37:AB52)</f>
        <v>17.457431218879389</v>
      </c>
      <c r="AC58">
        <f t="shared" ref="AC58:AE58" si="96">STDEV(AC37:AC52)</f>
        <v>23.094010767585026</v>
      </c>
      <c r="AD58">
        <f t="shared" si="96"/>
        <v>17.457431218879389</v>
      </c>
      <c r="AE58">
        <f t="shared" si="96"/>
        <v>16.996731711975944</v>
      </c>
      <c r="AG58" t="s">
        <v>18</v>
      </c>
      <c r="AH58">
        <f>STDEV(AH37:AH52)</f>
        <v>19.027799212130212</v>
      </c>
      <c r="AI58">
        <f t="shared" ref="AI58:AK58" si="97">STDEV(AI37:AI52)</f>
        <v>5.8632024404025884</v>
      </c>
      <c r="AJ58">
        <f t="shared" si="97"/>
        <v>16.737297955677999</v>
      </c>
      <c r="AK58">
        <f t="shared" si="97"/>
        <v>11.600985179839558</v>
      </c>
    </row>
    <row r="59" spans="1:37" x14ac:dyDescent="0.25">
      <c r="A59" t="s">
        <v>19</v>
      </c>
      <c r="B59">
        <f>B57+2*B58</f>
        <v>44.84037036264035</v>
      </c>
      <c r="C59">
        <f t="shared" ref="C59:E59" si="98">C57+2*C58</f>
        <v>49.446730867842483</v>
      </c>
      <c r="D59">
        <f t="shared" si="98"/>
        <v>42.803407591221458</v>
      </c>
      <c r="E59">
        <f t="shared" si="98"/>
        <v>88.263421524098959</v>
      </c>
      <c r="G59" t="s">
        <v>19</v>
      </c>
      <c r="H59">
        <f>H57+2*H58</f>
        <v>34.914862437758792</v>
      </c>
      <c r="I59">
        <f t="shared" ref="I59:K59" si="99">I57+2*I58</f>
        <v>59.521354868503394</v>
      </c>
      <c r="J59">
        <f t="shared" si="99"/>
        <v>48.248195771092121</v>
      </c>
      <c r="K59">
        <f t="shared" si="99"/>
        <v>55.660130090618566</v>
      </c>
      <c r="M59" t="s">
        <v>19</v>
      </c>
      <c r="N59">
        <f>N57+2*N58</f>
        <v>38.055598424260424</v>
      </c>
      <c r="O59">
        <f t="shared" ref="O59:Q59" si="100">O57+2*O58</f>
        <v>26.126404880805175</v>
      </c>
      <c r="P59">
        <f t="shared" si="100"/>
        <v>52.674595911355993</v>
      </c>
      <c r="Q59">
        <f t="shared" si="100"/>
        <v>64.340500673763245</v>
      </c>
      <c r="S59" s="4"/>
      <c r="U59" t="s">
        <v>19</v>
      </c>
      <c r="V59">
        <f>V57+2*V58</f>
        <v>44.84037036264035</v>
      </c>
      <c r="W59">
        <f t="shared" ref="W59:Y59" si="101">W57+2*W58</f>
        <v>49.446730867842483</v>
      </c>
      <c r="X59">
        <f t="shared" si="101"/>
        <v>42.803407591221458</v>
      </c>
      <c r="Y59">
        <f t="shared" si="101"/>
        <v>88.263421524098959</v>
      </c>
      <c r="AA59" t="s">
        <v>19</v>
      </c>
      <c r="AB59">
        <f>AB57+2*AB58</f>
        <v>34.914862437758792</v>
      </c>
      <c r="AC59">
        <f t="shared" ref="AC59:AE59" si="102">AC57+2*AC58</f>
        <v>59.521354868503394</v>
      </c>
      <c r="AD59">
        <f t="shared" si="102"/>
        <v>48.248195771092121</v>
      </c>
      <c r="AE59">
        <f t="shared" si="102"/>
        <v>55.660130090618566</v>
      </c>
      <c r="AG59" t="s">
        <v>19</v>
      </c>
      <c r="AH59">
        <f>AH57+2*AH58</f>
        <v>38.055598424260424</v>
      </c>
      <c r="AI59">
        <f t="shared" ref="AI59:AK59" si="103">AI57+2*AI58</f>
        <v>26.126404880805175</v>
      </c>
      <c r="AJ59">
        <f t="shared" si="103"/>
        <v>52.674595911355993</v>
      </c>
      <c r="AK59">
        <f t="shared" si="103"/>
        <v>36.344827502536262</v>
      </c>
    </row>
    <row r="60" spans="1:37" x14ac:dyDescent="0.25">
      <c r="A60" t="s">
        <v>20</v>
      </c>
      <c r="B60">
        <f>B57-2*B58</f>
        <v>-44.840370362640364</v>
      </c>
      <c r="C60">
        <f t="shared" ref="C60:E60" si="104">C57-2*C58</f>
        <v>-18.121429663023214</v>
      </c>
      <c r="D60">
        <f t="shared" si="104"/>
        <v>-9.8716806835909559</v>
      </c>
      <c r="E60">
        <f t="shared" si="104"/>
        <v>-42.480288993978483</v>
      </c>
      <c r="G60" t="s">
        <v>20</v>
      </c>
      <c r="H60">
        <f>H57-2*H58</f>
        <v>-34.914862437758764</v>
      </c>
      <c r="I60">
        <f t="shared" ref="I60:K60" si="105">I57-2*I58</f>
        <v>-32.854688201836709</v>
      </c>
      <c r="J60">
        <f t="shared" si="105"/>
        <v>-21.581529104425435</v>
      </c>
      <c r="K60">
        <f t="shared" si="105"/>
        <v>-12.326796757285209</v>
      </c>
      <c r="M60" t="s">
        <v>20</v>
      </c>
      <c r="N60">
        <f>N57-2*N58</f>
        <v>-38.055598424260424</v>
      </c>
      <c r="O60">
        <f t="shared" ref="O60:Q60" si="106">O57-2*O58</f>
        <v>2.6735951191948235</v>
      </c>
      <c r="P60">
        <f t="shared" si="106"/>
        <v>-14.274595911355998</v>
      </c>
      <c r="Q60">
        <f t="shared" si="106"/>
        <v>-24.340500673763252</v>
      </c>
      <c r="S60" s="4"/>
      <c r="U60" t="s">
        <v>20</v>
      </c>
      <c r="V60">
        <f>V57-2*V58</f>
        <v>-44.840370362640364</v>
      </c>
      <c r="W60">
        <f t="shared" ref="W60:Y60" si="107">W57-2*W58</f>
        <v>-18.121429663023214</v>
      </c>
      <c r="X60">
        <f t="shared" si="107"/>
        <v>-9.8716806835909559</v>
      </c>
      <c r="Y60">
        <f t="shared" si="107"/>
        <v>-42.480288993978483</v>
      </c>
      <c r="AA60" t="s">
        <v>20</v>
      </c>
      <c r="AB60">
        <f>AB57-2*AB58</f>
        <v>-34.914862437758764</v>
      </c>
      <c r="AC60">
        <f t="shared" ref="AC60:AE60" si="108">AC57-2*AC58</f>
        <v>-32.854688201836709</v>
      </c>
      <c r="AD60">
        <f t="shared" si="108"/>
        <v>-21.581529104425435</v>
      </c>
      <c r="AE60">
        <f t="shared" si="108"/>
        <v>-12.326796757285209</v>
      </c>
      <c r="AG60" t="s">
        <v>20</v>
      </c>
      <c r="AH60">
        <f>AH57-2*AH58</f>
        <v>-38.055598424260424</v>
      </c>
      <c r="AI60">
        <f t="shared" ref="AI60:AK60" si="109">AI57-2*AI58</f>
        <v>2.6735951191948235</v>
      </c>
      <c r="AJ60">
        <f t="shared" si="109"/>
        <v>-14.274595911355998</v>
      </c>
      <c r="AK60">
        <f t="shared" si="109"/>
        <v>-10.059113216821974</v>
      </c>
    </row>
    <row r="61" spans="1:37" x14ac:dyDescent="0.25">
      <c r="A61" t="s">
        <v>21</v>
      </c>
      <c r="B61">
        <f>VAR(B37:B52)</f>
        <v>502.66470356468898</v>
      </c>
      <c r="C61">
        <f t="shared" ref="C61:E61" si="110">VAR(C37:C52)</f>
        <v>285.3410198453023</v>
      </c>
      <c r="D61">
        <f t="shared" si="110"/>
        <v>173.41655779745506</v>
      </c>
      <c r="E61">
        <f t="shared" si="110"/>
        <v>1068.3698650021772</v>
      </c>
      <c r="G61" t="s">
        <v>21</v>
      </c>
      <c r="H61">
        <f>VAR(H37:H52)</f>
        <v>304.7619047619047</v>
      </c>
      <c r="I61">
        <f t="shared" ref="I61:K61" si="111">VAR(I37:I52)</f>
        <v>533.33333333333314</v>
      </c>
      <c r="J61">
        <f t="shared" si="111"/>
        <v>304.7619047619047</v>
      </c>
      <c r="K61">
        <f t="shared" si="111"/>
        <v>288.88888888888863</v>
      </c>
      <c r="M61" t="s">
        <v>21</v>
      </c>
      <c r="N61">
        <f>VAR(N37:N52)</f>
        <v>362.05714285714305</v>
      </c>
      <c r="O61">
        <f t="shared" ref="O61:Q61" si="112">VAR(O37:O52)</f>
        <v>34.377142857142871</v>
      </c>
      <c r="P61">
        <f t="shared" si="112"/>
        <v>280.13714285714298</v>
      </c>
      <c r="Q61">
        <f t="shared" si="112"/>
        <v>491.51999999999992</v>
      </c>
      <c r="S61" s="4"/>
      <c r="U61" t="s">
        <v>21</v>
      </c>
      <c r="V61">
        <f>VAR(V37:V52)</f>
        <v>502.66470356468898</v>
      </c>
      <c r="W61">
        <f t="shared" ref="W61:Y61" si="113">VAR(W37:W52)</f>
        <v>285.3410198453023</v>
      </c>
      <c r="X61">
        <f t="shared" si="113"/>
        <v>173.41655779745506</v>
      </c>
      <c r="Y61">
        <f t="shared" si="113"/>
        <v>1068.3698650021772</v>
      </c>
      <c r="AA61" t="s">
        <v>21</v>
      </c>
      <c r="AB61">
        <f>VAR(AB37:AB52)</f>
        <v>304.7619047619047</v>
      </c>
      <c r="AC61">
        <f t="shared" ref="AC61:AE61" si="114">VAR(AC37:AC52)</f>
        <v>533.33333333333314</v>
      </c>
      <c r="AD61">
        <f t="shared" si="114"/>
        <v>304.7619047619047</v>
      </c>
      <c r="AE61">
        <f t="shared" si="114"/>
        <v>288.88888888888863</v>
      </c>
      <c r="AG61" t="s">
        <v>21</v>
      </c>
      <c r="AH61">
        <f>VAR(AH37:AH52)</f>
        <v>362.05714285714305</v>
      </c>
      <c r="AI61">
        <f t="shared" ref="AI61:AK61" si="115">VAR(AI37:AI52)</f>
        <v>34.377142857142871</v>
      </c>
      <c r="AJ61">
        <f t="shared" si="115"/>
        <v>280.13714285714298</v>
      </c>
      <c r="AK61">
        <f t="shared" si="115"/>
        <v>134.58285714285708</v>
      </c>
    </row>
    <row r="62" spans="1:37" x14ac:dyDescent="0.25">
      <c r="S62" s="4"/>
    </row>
    <row r="63" spans="1:37" x14ac:dyDescent="0.25">
      <c r="A63" t="s">
        <v>22</v>
      </c>
      <c r="S63" s="4"/>
      <c r="U63" t="s">
        <v>22</v>
      </c>
    </row>
    <row r="64" spans="1:37" x14ac:dyDescent="0.25">
      <c r="A64" t="s">
        <v>1</v>
      </c>
      <c r="B64" t="e">
        <f>TTEST(B45:B52,H45:H52,2,3)</f>
        <v>#DIV/0!</v>
      </c>
      <c r="S64" s="4"/>
      <c r="U64" t="s">
        <v>1</v>
      </c>
      <c r="V64" t="e">
        <f>TTEST(V45:V52,AB45:AB52,2,3)</f>
        <v>#DIV/0!</v>
      </c>
    </row>
    <row r="65" spans="1:37" x14ac:dyDescent="0.25">
      <c r="A65" t="s">
        <v>2</v>
      </c>
      <c r="B65" t="e">
        <f>TTEST(C45:C52,I45:I52,2,3)</f>
        <v>#DIV/0!</v>
      </c>
      <c r="S65" s="4"/>
      <c r="U65" t="s">
        <v>2</v>
      </c>
      <c r="V65" t="e">
        <f>TTEST(W45:W52,AC45:AC52,2,3)</f>
        <v>#DIV/0!</v>
      </c>
    </row>
    <row r="66" spans="1:37" x14ac:dyDescent="0.25">
      <c r="A66" t="s">
        <v>3</v>
      </c>
      <c r="B66" t="e">
        <f>TTEST(D45:D52,J45:J52,2,3)</f>
        <v>#DIV/0!</v>
      </c>
      <c r="S66" s="4"/>
      <c r="U66" t="s">
        <v>3</v>
      </c>
      <c r="V66" t="e">
        <f>TTEST(X45:X52,AD45:AD52,2,3)</f>
        <v>#DIV/0!</v>
      </c>
    </row>
    <row r="67" spans="1:37" x14ac:dyDescent="0.25">
      <c r="A67" t="s">
        <v>4</v>
      </c>
      <c r="B67" t="e">
        <f>TTEST(E45:E52,K45:K52,2,3)</f>
        <v>#DIV/0!</v>
      </c>
      <c r="S67" s="4"/>
      <c r="U67" t="s">
        <v>4</v>
      </c>
      <c r="V67" t="e">
        <f>TTEST(Y45:Y52,AE45:AE52,2,3)</f>
        <v>#DIV/0!</v>
      </c>
    </row>
    <row r="68" spans="1:37" x14ac:dyDescent="0.25">
      <c r="S68" s="4"/>
    </row>
    <row r="69" spans="1:37" x14ac:dyDescent="0.25">
      <c r="A69" t="s">
        <v>26</v>
      </c>
      <c r="S69" s="4"/>
      <c r="U69" t="s">
        <v>26</v>
      </c>
    </row>
    <row r="70" spans="1:37" x14ac:dyDescent="0.25">
      <c r="A70" s="1" t="s">
        <v>29</v>
      </c>
      <c r="B70" s="1" t="s">
        <v>1</v>
      </c>
      <c r="C70" s="1" t="s">
        <v>2</v>
      </c>
      <c r="D70" s="1" t="s">
        <v>3</v>
      </c>
      <c r="E70" s="1" t="s">
        <v>4</v>
      </c>
      <c r="G70" s="1" t="s">
        <v>30</v>
      </c>
      <c r="H70" s="1" t="s">
        <v>1</v>
      </c>
      <c r="I70" s="1" t="s">
        <v>2</v>
      </c>
      <c r="J70" s="1" t="s">
        <v>3</v>
      </c>
      <c r="K70" s="1" t="s">
        <v>4</v>
      </c>
      <c r="M70" s="1" t="s">
        <v>31</v>
      </c>
      <c r="N70" s="1" t="s">
        <v>1</v>
      </c>
      <c r="O70" s="1" t="s">
        <v>2</v>
      </c>
      <c r="P70" s="1" t="s">
        <v>3</v>
      </c>
      <c r="Q70" s="1" t="s">
        <v>4</v>
      </c>
      <c r="R70" s="1"/>
      <c r="S70" s="4"/>
      <c r="U70" s="1" t="s">
        <v>29</v>
      </c>
      <c r="V70" s="1" t="s">
        <v>1</v>
      </c>
      <c r="W70" s="1" t="s">
        <v>2</v>
      </c>
      <c r="X70" s="1" t="s">
        <v>3</v>
      </c>
      <c r="Y70" s="1" t="s">
        <v>4</v>
      </c>
      <c r="AA70" s="1" t="s">
        <v>30</v>
      </c>
      <c r="AB70" s="1" t="s">
        <v>1</v>
      </c>
      <c r="AC70" s="1" t="s">
        <v>2</v>
      </c>
      <c r="AD70" s="1" t="s">
        <v>3</v>
      </c>
      <c r="AE70" s="1" t="s">
        <v>4</v>
      </c>
      <c r="AG70" s="1" t="s">
        <v>31</v>
      </c>
      <c r="AH70" s="1" t="s">
        <v>1</v>
      </c>
      <c r="AI70" s="1" t="s">
        <v>2</v>
      </c>
      <c r="AJ70" s="1" t="s">
        <v>3</v>
      </c>
      <c r="AK70" s="1" t="s">
        <v>4</v>
      </c>
    </row>
    <row r="71" spans="1:37" x14ac:dyDescent="0.25">
      <c r="A71" t="s">
        <v>5</v>
      </c>
      <c r="B71" s="3"/>
      <c r="C71" s="3">
        <f>-((C3-B$23)/B$23)*100</f>
        <v>22.891566265060238</v>
      </c>
      <c r="D71" s="3">
        <f t="shared" ref="D71:E78" si="116">-((D3-C$23)/C$23)*100</f>
        <v>20.000000000000011</v>
      </c>
      <c r="E71" s="3">
        <f t="shared" si="116"/>
        <v>-15.384615384615374</v>
      </c>
      <c r="G71" t="s">
        <v>5</v>
      </c>
      <c r="H71" s="3"/>
      <c r="I71" s="3">
        <f>-((I3-H$23)/H$23)*100</f>
        <v>-19.999999999999986</v>
      </c>
      <c r="J71" s="3">
        <f>-((J3-I$23)/I$23)*100</f>
        <v>-30.769230769230781</v>
      </c>
      <c r="K71" s="3">
        <f>-((K3-J$23)/J$23)*100</f>
        <v>-15.38461538461539</v>
      </c>
      <c r="M71" t="s">
        <v>5</v>
      </c>
      <c r="N71" s="3"/>
      <c r="O71" s="3">
        <f>-((O3-N$23)/N$23)*100</f>
        <v>16.8</v>
      </c>
      <c r="P71" s="3">
        <f t="shared" ref="P71:Q78" si="117">-((P3-O$23)/O$23)*100</f>
        <v>10.280373831775682</v>
      </c>
      <c r="Q71" s="3">
        <f t="shared" si="117"/>
        <v>60.396039603960403</v>
      </c>
      <c r="R71" s="3"/>
      <c r="S71" s="4"/>
      <c r="U71" t="s">
        <v>5</v>
      </c>
      <c r="V71" s="3"/>
      <c r="W71" s="3">
        <f>-((W3-V$23)/V$23)*100</f>
        <v>22.891566265060238</v>
      </c>
      <c r="X71" s="3">
        <f t="shared" ref="X71:X74" si="118">-((X3-W$23)/W$23)*100</f>
        <v>20.000000000000011</v>
      </c>
      <c r="Y71" s="3">
        <f t="shared" ref="Y71" si="119">-((Y3-X$23)/X$23)*100</f>
        <v>-15.384615384615374</v>
      </c>
      <c r="AA71" t="s">
        <v>5</v>
      </c>
      <c r="AB71" s="3"/>
      <c r="AC71" s="3">
        <f>-((AC3-AB$23)/AB$23)*100</f>
        <v>-19.999999999999986</v>
      </c>
      <c r="AD71" s="3">
        <f>-((AD3-AC$23)/AC$23)*100</f>
        <v>-30.769230769230781</v>
      </c>
      <c r="AE71" s="3">
        <f>-((AE3-AD$23)/AD$23)*100</f>
        <v>-15.38461538461539</v>
      </c>
      <c r="AG71" t="s">
        <v>5</v>
      </c>
      <c r="AH71" s="3"/>
      <c r="AI71" s="3">
        <f>-((AI3-AH$23)/AH$23)*100</f>
        <v>16.8</v>
      </c>
      <c r="AJ71" s="3">
        <f t="shared" ref="AJ71:AJ78" si="120">-((AJ3-AI$23)/AI$23)*100</f>
        <v>10.280373831775682</v>
      </c>
      <c r="AK71" s="3"/>
    </row>
    <row r="72" spans="1:37" x14ac:dyDescent="0.25">
      <c r="A72" t="s">
        <v>7</v>
      </c>
      <c r="B72" s="3"/>
      <c r="C72" s="3">
        <f t="shared" ref="C72:C78" si="121">-((C4-B$23)/B$23)*100</f>
        <v>32.53012048192771</v>
      </c>
      <c r="D72" s="3">
        <f t="shared" si="116"/>
        <v>8.5714285714285765</v>
      </c>
      <c r="E72" s="3"/>
      <c r="G72" t="s">
        <v>7</v>
      </c>
      <c r="H72" s="3"/>
      <c r="I72" s="3">
        <f t="shared" ref="I72:K78" si="122">-((I4-H$23)/H$23)*100</f>
        <v>6.6666666666666856</v>
      </c>
      <c r="J72" s="3">
        <f t="shared" si="122"/>
        <v>-15.38461538461539</v>
      </c>
      <c r="K72" s="3">
        <f t="shared" si="122"/>
        <v>15.384615384615378</v>
      </c>
      <c r="M72" t="s">
        <v>7</v>
      </c>
      <c r="N72" s="3"/>
      <c r="O72" s="3">
        <f t="shared" ref="O72:O78" si="123">-((O4-N$23)/N$23)*100</f>
        <v>16.8</v>
      </c>
      <c r="P72" s="3">
        <f t="shared" si="117"/>
        <v>-4.6728971962616939</v>
      </c>
      <c r="Q72" s="3">
        <f t="shared" si="117"/>
        <v>-2.9702970297029538</v>
      </c>
      <c r="R72" s="3"/>
      <c r="S72" s="4"/>
      <c r="U72" t="s">
        <v>7</v>
      </c>
      <c r="V72" s="3"/>
      <c r="W72" s="3">
        <f t="shared" ref="W72:W78" si="124">-((W4-V$23)/V$23)*100</f>
        <v>32.53012048192771</v>
      </c>
      <c r="X72" s="3">
        <f t="shared" si="118"/>
        <v>8.5714285714285765</v>
      </c>
      <c r="Y72" s="3"/>
      <c r="AA72" t="s">
        <v>7</v>
      </c>
      <c r="AB72" s="3"/>
      <c r="AC72" s="3">
        <f t="shared" ref="AC72:AE72" si="125">-((AC4-AB$23)/AB$23)*100</f>
        <v>6.6666666666666856</v>
      </c>
      <c r="AD72" s="3">
        <f t="shared" si="125"/>
        <v>-15.38461538461539</v>
      </c>
      <c r="AE72" s="3">
        <f t="shared" si="125"/>
        <v>15.384615384615378</v>
      </c>
      <c r="AG72" t="s">
        <v>7</v>
      </c>
      <c r="AH72" s="3"/>
      <c r="AI72" s="3">
        <f t="shared" ref="AI72:AI78" si="126">-((AI4-AH$23)/AH$23)*100</f>
        <v>16.8</v>
      </c>
      <c r="AJ72" s="3">
        <f t="shared" si="120"/>
        <v>-4.6728971962616939</v>
      </c>
      <c r="AK72" s="3">
        <f t="shared" ref="AK72:AK78" si="127">-((AK4-AJ$23)/AJ$23)*100</f>
        <v>-2.9702970297029538</v>
      </c>
    </row>
    <row r="73" spans="1:37" x14ac:dyDescent="0.25">
      <c r="A73" t="s">
        <v>8</v>
      </c>
      <c r="B73" s="3"/>
      <c r="C73" s="3">
        <f t="shared" si="121"/>
        <v>-6.0240963855421832</v>
      </c>
      <c r="D73" s="3">
        <f t="shared" si="116"/>
        <v>-2.8571428571428554</v>
      </c>
      <c r="E73" s="3">
        <f t="shared" si="116"/>
        <v>-49.999999999999986</v>
      </c>
      <c r="G73" t="s">
        <v>8</v>
      </c>
      <c r="H73" s="3"/>
      <c r="I73" s="3">
        <f t="shared" si="122"/>
        <v>26.666666666666671</v>
      </c>
      <c r="J73" s="3">
        <f t="shared" si="122"/>
        <v>7.692307692307689</v>
      </c>
      <c r="K73" s="3">
        <f t="shared" si="122"/>
        <v>-15.38461538461539</v>
      </c>
      <c r="M73" t="s">
        <v>8</v>
      </c>
      <c r="N73" s="3"/>
      <c r="O73" s="3">
        <f t="shared" si="123"/>
        <v>23.2</v>
      </c>
      <c r="P73" s="3">
        <f t="shared" si="117"/>
        <v>10.280373831775682</v>
      </c>
      <c r="Q73" s="3">
        <f t="shared" si="117"/>
        <v>-18.811881188118797</v>
      </c>
      <c r="R73" s="3"/>
      <c r="S73" s="4"/>
      <c r="U73" t="s">
        <v>8</v>
      </c>
      <c r="V73" s="3"/>
      <c r="W73" s="3">
        <f t="shared" si="124"/>
        <v>-6.0240963855421832</v>
      </c>
      <c r="X73" s="3">
        <f t="shared" si="118"/>
        <v>-2.8571428571428554</v>
      </c>
      <c r="Y73" s="3">
        <f t="shared" ref="Y73:Y74" si="128">-((Y5-X$23)/X$23)*100</f>
        <v>-49.999999999999986</v>
      </c>
      <c r="AA73" t="s">
        <v>8</v>
      </c>
      <c r="AB73" s="3"/>
      <c r="AC73" s="3">
        <f t="shared" ref="AC73:AE73" si="129">-((AC5-AB$23)/AB$23)*100</f>
        <v>26.666666666666671</v>
      </c>
      <c r="AD73" s="3">
        <f t="shared" si="129"/>
        <v>7.692307692307689</v>
      </c>
      <c r="AE73" s="3">
        <f t="shared" si="129"/>
        <v>-15.38461538461539</v>
      </c>
      <c r="AG73" t="s">
        <v>8</v>
      </c>
      <c r="AH73" s="3"/>
      <c r="AI73" s="3">
        <f t="shared" si="126"/>
        <v>23.2</v>
      </c>
      <c r="AJ73" s="3">
        <f t="shared" si="120"/>
        <v>10.280373831775682</v>
      </c>
      <c r="AK73" s="3">
        <f t="shared" si="127"/>
        <v>-18.811881188118797</v>
      </c>
    </row>
    <row r="74" spans="1:37" x14ac:dyDescent="0.25">
      <c r="A74" t="s">
        <v>9</v>
      </c>
      <c r="B74" s="3"/>
      <c r="C74" s="3">
        <f t="shared" si="121"/>
        <v>3.6144578313252995</v>
      </c>
      <c r="D74" s="3">
        <f t="shared" si="116"/>
        <v>-25.714285714285719</v>
      </c>
      <c r="E74" s="3">
        <f t="shared" si="116"/>
        <v>30.76923076923077</v>
      </c>
      <c r="G74" t="s">
        <v>9</v>
      </c>
      <c r="H74" s="3"/>
      <c r="I74" s="3">
        <f t="shared" si="122"/>
        <v>-13.333333333333325</v>
      </c>
      <c r="J74" s="3">
        <f t="shared" si="122"/>
        <v>-23.076923076923077</v>
      </c>
      <c r="K74" s="3">
        <f t="shared" si="122"/>
        <v>-7.692307692307689</v>
      </c>
      <c r="M74" t="s">
        <v>9</v>
      </c>
      <c r="N74" s="3"/>
      <c r="O74" s="3">
        <f t="shared" si="123"/>
        <v>3.9999999999999982</v>
      </c>
      <c r="P74" s="3">
        <f t="shared" si="117"/>
        <v>32.710280373831765</v>
      </c>
      <c r="Q74" s="3">
        <f t="shared" si="117"/>
        <v>-18.811881188118797</v>
      </c>
      <c r="R74" s="3"/>
      <c r="S74" s="4"/>
      <c r="U74" t="s">
        <v>9</v>
      </c>
      <c r="V74" s="3"/>
      <c r="W74" s="3">
        <f t="shared" si="124"/>
        <v>3.6144578313252995</v>
      </c>
      <c r="X74" s="3">
        <f t="shared" si="118"/>
        <v>-25.714285714285719</v>
      </c>
      <c r="Y74" s="3">
        <f t="shared" si="128"/>
        <v>30.76923076923077</v>
      </c>
      <c r="AA74" t="s">
        <v>9</v>
      </c>
      <c r="AB74" s="3"/>
      <c r="AC74" s="3">
        <f t="shared" ref="AC74:AE74" si="130">-((AC6-AB$23)/AB$23)*100</f>
        <v>-13.333333333333325</v>
      </c>
      <c r="AD74" s="3">
        <f t="shared" si="130"/>
        <v>-23.076923076923077</v>
      </c>
      <c r="AE74" s="3">
        <f t="shared" si="130"/>
        <v>-7.692307692307689</v>
      </c>
      <c r="AG74" t="s">
        <v>9</v>
      </c>
      <c r="AH74" s="3"/>
      <c r="AI74" s="3">
        <f t="shared" si="126"/>
        <v>3.9999999999999982</v>
      </c>
      <c r="AJ74" s="3">
        <f t="shared" si="120"/>
        <v>32.710280373831765</v>
      </c>
      <c r="AK74" s="3">
        <f t="shared" si="127"/>
        <v>-18.811881188118797</v>
      </c>
    </row>
    <row r="75" spans="1:37" x14ac:dyDescent="0.25">
      <c r="A75" t="s">
        <v>10</v>
      </c>
      <c r="B75" s="3"/>
      <c r="C75" s="3">
        <f t="shared" si="121"/>
        <v>-6.0240963855421832</v>
      </c>
      <c r="D75" s="3"/>
      <c r="E75" s="3"/>
      <c r="G75" t="s">
        <v>10</v>
      </c>
      <c r="H75" s="3"/>
      <c r="I75" s="3">
        <f t="shared" si="122"/>
        <v>13.333333333333346</v>
      </c>
      <c r="J75" s="3">
        <f t="shared" si="122"/>
        <v>7.692307692307689</v>
      </c>
      <c r="K75" s="3">
        <f t="shared" si="122"/>
        <v>30.769230769230766</v>
      </c>
      <c r="M75" t="s">
        <v>10</v>
      </c>
      <c r="N75" s="3"/>
      <c r="O75" s="3">
        <f t="shared" si="123"/>
        <v>16.8</v>
      </c>
      <c r="P75" s="3">
        <f t="shared" si="117"/>
        <v>25.233644859813076</v>
      </c>
      <c r="Q75" s="3">
        <f t="shared" si="117"/>
        <v>12.871287128712877</v>
      </c>
      <c r="R75" s="3"/>
      <c r="S75" s="4"/>
      <c r="U75" t="s">
        <v>10</v>
      </c>
      <c r="V75" s="3"/>
      <c r="W75" s="3">
        <f t="shared" si="124"/>
        <v>-6.0240963855421832</v>
      </c>
      <c r="X75" s="3"/>
      <c r="Y75" s="3"/>
      <c r="AA75" t="s">
        <v>10</v>
      </c>
      <c r="AB75" s="3"/>
      <c r="AC75" s="3">
        <f t="shared" ref="AC75:AE75" si="131">-((AC7-AB$23)/AB$23)*100</f>
        <v>13.333333333333346</v>
      </c>
      <c r="AD75" s="3">
        <f t="shared" si="131"/>
        <v>7.692307692307689</v>
      </c>
      <c r="AE75" s="3">
        <f t="shared" si="131"/>
        <v>30.769230769230766</v>
      </c>
      <c r="AG75" t="s">
        <v>10</v>
      </c>
      <c r="AH75" s="3"/>
      <c r="AI75" s="3">
        <f t="shared" si="126"/>
        <v>16.8</v>
      </c>
      <c r="AJ75" s="3">
        <f t="shared" si="120"/>
        <v>25.233644859813076</v>
      </c>
      <c r="AK75" s="3">
        <f t="shared" si="127"/>
        <v>12.871287128712877</v>
      </c>
    </row>
    <row r="76" spans="1:37" x14ac:dyDescent="0.25">
      <c r="A76" t="s">
        <v>11</v>
      </c>
      <c r="B76" s="3"/>
      <c r="C76" s="3">
        <f t="shared" si="121"/>
        <v>13.253012048192764</v>
      </c>
      <c r="D76" s="3">
        <f t="shared" si="116"/>
        <v>-2.8571428571428554</v>
      </c>
      <c r="E76" s="3"/>
      <c r="G76" t="s">
        <v>11</v>
      </c>
      <c r="H76" s="3"/>
      <c r="I76" s="3">
        <f t="shared" si="122"/>
        <v>53.333333333333343</v>
      </c>
      <c r="J76" s="3">
        <f t="shared" si="122"/>
        <v>15.384615384615378</v>
      </c>
      <c r="K76" s="3">
        <f t="shared" si="122"/>
        <v>23.076923076923077</v>
      </c>
      <c r="M76" t="s">
        <v>11</v>
      </c>
      <c r="N76" s="3"/>
      <c r="O76" s="3">
        <f t="shared" si="123"/>
        <v>10.400000000000006</v>
      </c>
      <c r="P76" s="3">
        <f t="shared" si="117"/>
        <v>10.280373831775682</v>
      </c>
      <c r="Q76" s="3">
        <f t="shared" si="117"/>
        <v>4.9504950495049611</v>
      </c>
      <c r="R76" s="3"/>
      <c r="S76" s="4"/>
      <c r="U76" t="s">
        <v>11</v>
      </c>
      <c r="V76" s="3"/>
      <c r="W76" s="3">
        <f t="shared" si="124"/>
        <v>13.253012048192764</v>
      </c>
      <c r="X76" s="3">
        <f t="shared" ref="X76" si="132">-((X8-W$23)/W$23)*100</f>
        <v>-2.8571428571428554</v>
      </c>
      <c r="Y76" s="3"/>
      <c r="AA76" t="s">
        <v>11</v>
      </c>
      <c r="AB76" s="3"/>
      <c r="AC76" s="3">
        <f t="shared" ref="AC76:AE76" si="133">-((AC8-AB$23)/AB$23)*100</f>
        <v>53.333333333333343</v>
      </c>
      <c r="AD76" s="3">
        <f t="shared" si="133"/>
        <v>15.384615384615378</v>
      </c>
      <c r="AE76" s="3">
        <f t="shared" si="133"/>
        <v>23.076923076923077</v>
      </c>
      <c r="AG76" t="s">
        <v>11</v>
      </c>
      <c r="AH76" s="3"/>
      <c r="AI76" s="3">
        <f t="shared" si="126"/>
        <v>10.400000000000006</v>
      </c>
      <c r="AJ76" s="3">
        <f t="shared" si="120"/>
        <v>10.280373831775682</v>
      </c>
      <c r="AK76" s="3">
        <f t="shared" si="127"/>
        <v>4.9504950495049611</v>
      </c>
    </row>
    <row r="77" spans="1:37" x14ac:dyDescent="0.25">
      <c r="A77" t="s">
        <v>12</v>
      </c>
      <c r="B77" s="3"/>
      <c r="C77" s="3">
        <f t="shared" si="121"/>
        <v>32.53012048192771</v>
      </c>
      <c r="D77" s="3"/>
      <c r="E77" s="3">
        <f t="shared" si="116"/>
        <v>30.76923076923077</v>
      </c>
      <c r="G77" t="s">
        <v>12</v>
      </c>
      <c r="H77" s="3"/>
      <c r="I77" s="3">
        <f t="shared" si="122"/>
        <v>20.000000000000011</v>
      </c>
      <c r="J77" s="3">
        <f t="shared" si="122"/>
        <v>23.076923076923077</v>
      </c>
      <c r="K77" s="3">
        <f t="shared" si="122"/>
        <v>30.769230769230766</v>
      </c>
      <c r="M77" t="s">
        <v>12</v>
      </c>
      <c r="N77" s="3"/>
      <c r="O77" s="3">
        <f t="shared" si="123"/>
        <v>10.400000000000006</v>
      </c>
      <c r="P77" s="3">
        <f t="shared" si="117"/>
        <v>-27.102803738317789</v>
      </c>
      <c r="Q77" s="3">
        <f t="shared" si="117"/>
        <v>-2.9702970297029538</v>
      </c>
      <c r="R77" s="3"/>
      <c r="S77" s="4"/>
      <c r="U77" t="s">
        <v>12</v>
      </c>
      <c r="V77" s="3"/>
      <c r="W77" s="3">
        <f t="shared" si="124"/>
        <v>32.53012048192771</v>
      </c>
      <c r="X77" s="3"/>
      <c r="Y77" s="3">
        <f t="shared" ref="Y77:Y78" si="134">-((Y9-X$23)/X$23)*100</f>
        <v>30.76923076923077</v>
      </c>
      <c r="AA77" t="s">
        <v>12</v>
      </c>
      <c r="AB77" s="3"/>
      <c r="AC77" s="3">
        <f t="shared" ref="AC77:AE77" si="135">-((AC9-AB$23)/AB$23)*100</f>
        <v>20.000000000000011</v>
      </c>
      <c r="AD77" s="3">
        <f t="shared" si="135"/>
        <v>23.076923076923077</v>
      </c>
      <c r="AE77" s="3">
        <f t="shared" si="135"/>
        <v>30.769230769230766</v>
      </c>
      <c r="AG77" t="s">
        <v>12</v>
      </c>
      <c r="AH77" s="3"/>
      <c r="AI77" s="3">
        <f t="shared" si="126"/>
        <v>10.400000000000006</v>
      </c>
      <c r="AJ77" s="3">
        <f t="shared" si="120"/>
        <v>-27.102803738317789</v>
      </c>
      <c r="AK77" s="3">
        <f t="shared" si="127"/>
        <v>-2.9702970297029538</v>
      </c>
    </row>
    <row r="78" spans="1:37" x14ac:dyDescent="0.25">
      <c r="A78" t="s">
        <v>13</v>
      </c>
      <c r="B78" s="3"/>
      <c r="C78" s="3">
        <f t="shared" si="121"/>
        <v>32.53012048192771</v>
      </c>
      <c r="D78" s="3">
        <f t="shared" si="116"/>
        <v>8.5714285714285765</v>
      </c>
      <c r="E78" s="3">
        <f t="shared" si="116"/>
        <v>42.307692307692314</v>
      </c>
      <c r="G78" t="s">
        <v>13</v>
      </c>
      <c r="H78" s="3"/>
      <c r="I78" s="3">
        <f t="shared" si="122"/>
        <v>20.000000000000011</v>
      </c>
      <c r="J78" s="3">
        <f t="shared" si="122"/>
        <v>15.384615384615378</v>
      </c>
      <c r="K78" s="3">
        <f t="shared" si="122"/>
        <v>15.384615384615378</v>
      </c>
      <c r="M78" t="s">
        <v>13</v>
      </c>
      <c r="N78" s="3"/>
      <c r="O78" s="3">
        <f t="shared" si="123"/>
        <v>16.8</v>
      </c>
      <c r="P78" s="3">
        <f t="shared" si="117"/>
        <v>-12.149532710280395</v>
      </c>
      <c r="Q78" s="3">
        <f t="shared" si="117"/>
        <v>-26.73267326732671</v>
      </c>
      <c r="R78" s="3"/>
      <c r="S78" s="4"/>
      <c r="U78" t="s">
        <v>13</v>
      </c>
      <c r="V78" s="3"/>
      <c r="W78" s="3">
        <f t="shared" si="124"/>
        <v>32.53012048192771</v>
      </c>
      <c r="X78" s="3">
        <f t="shared" ref="X78" si="136">-((X10-W$23)/W$23)*100</f>
        <v>8.5714285714285765</v>
      </c>
      <c r="Y78" s="3">
        <f t="shared" si="134"/>
        <v>42.307692307692314</v>
      </c>
      <c r="AA78" t="s">
        <v>13</v>
      </c>
      <c r="AB78" s="3"/>
      <c r="AC78" s="3">
        <f t="shared" ref="AC78:AE78" si="137">-((AC10-AB$23)/AB$23)*100</f>
        <v>20.000000000000011</v>
      </c>
      <c r="AD78" s="3">
        <f t="shared" si="137"/>
        <v>15.384615384615378</v>
      </c>
      <c r="AE78" s="3">
        <f t="shared" si="137"/>
        <v>15.384615384615378</v>
      </c>
      <c r="AG78" t="s">
        <v>13</v>
      </c>
      <c r="AH78" s="3"/>
      <c r="AI78" s="3">
        <f t="shared" si="126"/>
        <v>16.8</v>
      </c>
      <c r="AJ78" s="3">
        <f t="shared" si="120"/>
        <v>-12.149532710280395</v>
      </c>
      <c r="AK78" s="3">
        <f t="shared" si="127"/>
        <v>-26.73267326732671</v>
      </c>
    </row>
    <row r="79" spans="1:37" x14ac:dyDescent="0.25">
      <c r="A79" t="s">
        <v>5</v>
      </c>
      <c r="C79" s="3"/>
      <c r="D79" s="3"/>
      <c r="E79" s="3"/>
      <c r="G79" t="s">
        <v>5</v>
      </c>
      <c r="I79" s="3"/>
      <c r="J79" s="3"/>
      <c r="K79" s="3"/>
      <c r="M79" t="s">
        <v>5</v>
      </c>
      <c r="O79" s="3"/>
      <c r="P79" s="3"/>
      <c r="Q79" s="3"/>
      <c r="S79" s="4"/>
      <c r="U79" t="s">
        <v>5</v>
      </c>
      <c r="W79" s="3"/>
      <c r="X79" s="3"/>
      <c r="Y79" s="3"/>
      <c r="AA79" t="s">
        <v>5</v>
      </c>
      <c r="AC79" s="3"/>
      <c r="AD79" s="3"/>
      <c r="AE79" s="3"/>
      <c r="AG79" t="s">
        <v>5</v>
      </c>
      <c r="AI79" s="3"/>
      <c r="AJ79" s="3"/>
      <c r="AK79" s="3"/>
    </row>
    <row r="80" spans="1:37" x14ac:dyDescent="0.25">
      <c r="A80" t="s">
        <v>7</v>
      </c>
      <c r="C80" s="3"/>
      <c r="D80" s="3"/>
      <c r="E80" s="3"/>
      <c r="G80" t="s">
        <v>7</v>
      </c>
      <c r="I80" s="3"/>
      <c r="J80" s="3"/>
      <c r="K80" s="3"/>
      <c r="M80" t="s">
        <v>7</v>
      </c>
      <c r="O80" s="3"/>
      <c r="P80" s="3"/>
      <c r="Q80" s="3"/>
      <c r="S80" s="4"/>
      <c r="U80" t="s">
        <v>7</v>
      </c>
      <c r="W80" s="3"/>
      <c r="X80" s="3"/>
      <c r="Y80" s="3"/>
      <c r="AA80" t="s">
        <v>7</v>
      </c>
      <c r="AC80" s="3"/>
      <c r="AD80" s="3"/>
      <c r="AE80" s="3"/>
      <c r="AG80" t="s">
        <v>7</v>
      </c>
      <c r="AI80" s="3"/>
      <c r="AJ80" s="3"/>
      <c r="AK80" s="3"/>
    </row>
    <row r="81" spans="1:37" x14ac:dyDescent="0.25">
      <c r="A81" t="s">
        <v>8</v>
      </c>
      <c r="C81" s="3"/>
      <c r="D81" s="3"/>
      <c r="E81" s="3"/>
      <c r="G81" t="s">
        <v>8</v>
      </c>
      <c r="I81" s="3"/>
      <c r="J81" s="3"/>
      <c r="K81" s="3"/>
      <c r="M81" t="s">
        <v>8</v>
      </c>
      <c r="O81" s="3"/>
      <c r="P81" s="3"/>
      <c r="Q81" s="3"/>
      <c r="S81" s="4"/>
      <c r="U81" t="s">
        <v>8</v>
      </c>
      <c r="W81" s="3"/>
      <c r="X81" s="3"/>
      <c r="Y81" s="3"/>
      <c r="AA81" t="s">
        <v>8</v>
      </c>
      <c r="AC81" s="3"/>
      <c r="AD81" s="3"/>
      <c r="AE81" s="3"/>
      <c r="AG81" t="s">
        <v>8</v>
      </c>
      <c r="AI81" s="3"/>
      <c r="AJ81" s="3"/>
      <c r="AK81" s="3"/>
    </row>
    <row r="82" spans="1:37" x14ac:dyDescent="0.25">
      <c r="A82" t="s">
        <v>9</v>
      </c>
      <c r="C82" s="3"/>
      <c r="D82" s="3"/>
      <c r="E82" s="3"/>
      <c r="G82" t="s">
        <v>9</v>
      </c>
      <c r="I82" s="3"/>
      <c r="J82" s="3"/>
      <c r="K82" s="3"/>
      <c r="M82" t="s">
        <v>9</v>
      </c>
      <c r="O82" s="3"/>
      <c r="P82" s="3"/>
      <c r="Q82" s="3"/>
      <c r="S82" s="4"/>
      <c r="U82" t="s">
        <v>9</v>
      </c>
      <c r="W82" s="3"/>
      <c r="X82" s="3"/>
      <c r="Y82" s="3"/>
      <c r="AA82" t="s">
        <v>9</v>
      </c>
      <c r="AC82" s="3"/>
      <c r="AD82" s="3"/>
      <c r="AE82" s="3"/>
      <c r="AG82" t="s">
        <v>9</v>
      </c>
      <c r="AI82" s="3"/>
      <c r="AJ82" s="3"/>
      <c r="AK82" s="3"/>
    </row>
    <row r="83" spans="1:37" x14ac:dyDescent="0.25">
      <c r="A83" t="s">
        <v>10</v>
      </c>
      <c r="C83" s="3"/>
      <c r="D83" s="3"/>
      <c r="E83" s="3"/>
      <c r="G83" t="s">
        <v>10</v>
      </c>
      <c r="I83" s="3"/>
      <c r="J83" s="3"/>
      <c r="K83" s="3"/>
      <c r="M83" t="s">
        <v>10</v>
      </c>
      <c r="O83" s="3"/>
      <c r="P83" s="3"/>
      <c r="Q83" s="3"/>
      <c r="S83" s="4"/>
      <c r="U83" t="s">
        <v>10</v>
      </c>
      <c r="W83" s="3"/>
      <c r="X83" s="3"/>
      <c r="Y83" s="3"/>
      <c r="AA83" t="s">
        <v>10</v>
      </c>
      <c r="AC83" s="3"/>
      <c r="AD83" s="3"/>
      <c r="AE83" s="3"/>
      <c r="AG83" t="s">
        <v>10</v>
      </c>
      <c r="AI83" s="3"/>
      <c r="AJ83" s="3"/>
      <c r="AK83" s="3"/>
    </row>
    <row r="84" spans="1:37" x14ac:dyDescent="0.25">
      <c r="A84" t="s">
        <v>11</v>
      </c>
      <c r="C84" s="3"/>
      <c r="D84" s="3"/>
      <c r="E84" s="3"/>
      <c r="G84" t="s">
        <v>11</v>
      </c>
      <c r="I84" s="3"/>
      <c r="J84" s="3"/>
      <c r="K84" s="3"/>
      <c r="M84" t="s">
        <v>11</v>
      </c>
      <c r="O84" s="3"/>
      <c r="P84" s="3"/>
      <c r="Q84" s="3"/>
      <c r="S84" s="4"/>
      <c r="U84" t="s">
        <v>11</v>
      </c>
      <c r="W84" s="3"/>
      <c r="X84" s="3"/>
      <c r="Y84" s="3"/>
      <c r="AA84" t="s">
        <v>11</v>
      </c>
      <c r="AC84" s="3"/>
      <c r="AD84" s="3"/>
      <c r="AE84" s="3"/>
      <c r="AG84" t="s">
        <v>11</v>
      </c>
      <c r="AI84" s="3"/>
      <c r="AJ84" s="3"/>
      <c r="AK84" s="3"/>
    </row>
    <row r="85" spans="1:37" x14ac:dyDescent="0.25">
      <c r="A85" t="s">
        <v>12</v>
      </c>
      <c r="C85" s="3"/>
      <c r="D85" s="3"/>
      <c r="E85" s="3"/>
      <c r="G85" t="s">
        <v>12</v>
      </c>
      <c r="I85" s="3"/>
      <c r="J85" s="3"/>
      <c r="K85" s="3"/>
      <c r="M85" t="s">
        <v>12</v>
      </c>
      <c r="O85" s="3"/>
      <c r="P85" s="3"/>
      <c r="Q85" s="3"/>
      <c r="S85" s="4"/>
      <c r="U85" t="s">
        <v>12</v>
      </c>
      <c r="W85" s="3"/>
      <c r="X85" s="3"/>
      <c r="Y85" s="3"/>
      <c r="AA85" t="s">
        <v>12</v>
      </c>
      <c r="AC85" s="3"/>
      <c r="AD85" s="3"/>
      <c r="AE85" s="3"/>
      <c r="AG85" t="s">
        <v>12</v>
      </c>
      <c r="AI85" s="3"/>
      <c r="AJ85" s="3"/>
      <c r="AK85" s="3"/>
    </row>
    <row r="86" spans="1:37" x14ac:dyDescent="0.25">
      <c r="A86" t="s">
        <v>13</v>
      </c>
      <c r="C86" s="3"/>
      <c r="D86" s="3"/>
      <c r="E86" s="3"/>
      <c r="G86" t="s">
        <v>13</v>
      </c>
      <c r="I86" s="3"/>
      <c r="J86" s="3"/>
      <c r="K86" s="3"/>
      <c r="M86" t="s">
        <v>13</v>
      </c>
      <c r="O86" s="3"/>
      <c r="P86" s="3"/>
      <c r="Q86" s="3"/>
      <c r="S86" s="4"/>
      <c r="U86" t="s">
        <v>13</v>
      </c>
      <c r="W86" s="3"/>
      <c r="X86" s="3"/>
      <c r="Y86" s="3"/>
      <c r="AA86" t="s">
        <v>13</v>
      </c>
      <c r="AC86" s="3"/>
      <c r="AD86" s="3"/>
      <c r="AE86" s="3"/>
      <c r="AG86" t="s">
        <v>13</v>
      </c>
      <c r="AI86" s="3"/>
      <c r="AJ86" s="3"/>
      <c r="AK86" s="3"/>
    </row>
    <row r="87" spans="1:37" x14ac:dyDescent="0.25">
      <c r="A87" s="2"/>
      <c r="B87" s="2"/>
      <c r="C87" s="2"/>
      <c r="D87" s="2"/>
      <c r="E87" s="2"/>
      <c r="G87" s="2"/>
      <c r="H87" s="2"/>
      <c r="I87" s="2"/>
      <c r="J87" s="2"/>
      <c r="K87" s="2"/>
      <c r="M87" s="2"/>
      <c r="N87" s="2"/>
      <c r="O87" s="2"/>
      <c r="P87" s="2"/>
      <c r="Q87" s="2"/>
      <c r="S87" s="4"/>
      <c r="U87" s="2"/>
      <c r="V87" s="2"/>
      <c r="W87" s="2"/>
      <c r="X87" s="2"/>
      <c r="Y87" s="2"/>
      <c r="AA87" s="2"/>
      <c r="AB87" s="2"/>
      <c r="AC87" s="2"/>
      <c r="AD87" s="2"/>
      <c r="AE87" s="2"/>
      <c r="AG87" s="2"/>
      <c r="AH87" s="2"/>
      <c r="AI87" s="2"/>
      <c r="AJ87" s="2"/>
      <c r="AK87" s="2"/>
    </row>
    <row r="88" spans="1:37" x14ac:dyDescent="0.25">
      <c r="A88" t="s">
        <v>14</v>
      </c>
      <c r="B88">
        <f>COUNT(B71:B86)</f>
        <v>0</v>
      </c>
      <c r="C88">
        <f t="shared" ref="C88:E88" si="138">COUNT(C71:C86)</f>
        <v>8</v>
      </c>
      <c r="D88">
        <f t="shared" si="138"/>
        <v>6</v>
      </c>
      <c r="E88">
        <f t="shared" si="138"/>
        <v>5</v>
      </c>
      <c r="G88" t="s">
        <v>14</v>
      </c>
      <c r="H88">
        <f>COUNT(H71:H86)</f>
        <v>0</v>
      </c>
      <c r="I88">
        <f t="shared" ref="I88:K88" si="139">COUNT(I71:I86)</f>
        <v>8</v>
      </c>
      <c r="J88">
        <f t="shared" si="139"/>
        <v>8</v>
      </c>
      <c r="K88">
        <f t="shared" si="139"/>
        <v>8</v>
      </c>
      <c r="M88" t="s">
        <v>14</v>
      </c>
      <c r="N88">
        <f>COUNT(N71:N86)</f>
        <v>0</v>
      </c>
      <c r="O88">
        <f t="shared" ref="O88:Q88" si="140">COUNT(O71:O86)</f>
        <v>8</v>
      </c>
      <c r="P88">
        <f t="shared" si="140"/>
        <v>8</v>
      </c>
      <c r="Q88">
        <f t="shared" si="140"/>
        <v>8</v>
      </c>
      <c r="S88" s="4"/>
      <c r="U88" t="s">
        <v>14</v>
      </c>
      <c r="V88">
        <f>COUNT(V71:V86)</f>
        <v>0</v>
      </c>
      <c r="W88">
        <f t="shared" ref="W88:Y88" si="141">COUNT(W71:W86)</f>
        <v>8</v>
      </c>
      <c r="X88">
        <f t="shared" si="141"/>
        <v>6</v>
      </c>
      <c r="Y88">
        <f t="shared" si="141"/>
        <v>5</v>
      </c>
      <c r="AA88" t="s">
        <v>14</v>
      </c>
      <c r="AB88">
        <f>COUNT(AB71:AB86)</f>
        <v>0</v>
      </c>
      <c r="AC88">
        <f t="shared" ref="AC88:AE88" si="142">COUNT(AC71:AC86)</f>
        <v>8</v>
      </c>
      <c r="AD88">
        <f t="shared" si="142"/>
        <v>8</v>
      </c>
      <c r="AE88">
        <f t="shared" si="142"/>
        <v>8</v>
      </c>
      <c r="AG88" t="s">
        <v>14</v>
      </c>
      <c r="AH88">
        <f>COUNT(AH71:AH86)</f>
        <v>0</v>
      </c>
      <c r="AI88">
        <f t="shared" ref="AI88:AK88" si="143">COUNT(AI71:AI86)</f>
        <v>8</v>
      </c>
      <c r="AJ88">
        <f t="shared" si="143"/>
        <v>8</v>
      </c>
      <c r="AK88">
        <f t="shared" si="143"/>
        <v>7</v>
      </c>
    </row>
    <row r="89" spans="1:37" x14ac:dyDescent="0.25">
      <c r="A89" t="s">
        <v>15</v>
      </c>
      <c r="B89">
        <f>MAX(B71:B86)</f>
        <v>0</v>
      </c>
      <c r="C89">
        <f t="shared" ref="C89:E89" si="144">MAX(C71:C86)</f>
        <v>32.53012048192771</v>
      </c>
      <c r="D89">
        <f t="shared" si="144"/>
        <v>20.000000000000011</v>
      </c>
      <c r="E89">
        <f t="shared" si="144"/>
        <v>42.307692307692314</v>
      </c>
      <c r="G89" t="s">
        <v>15</v>
      </c>
      <c r="H89">
        <f>MAX(H71:H86)</f>
        <v>0</v>
      </c>
      <c r="I89">
        <f t="shared" ref="I89:K89" si="145">MAX(I71:I86)</f>
        <v>53.333333333333343</v>
      </c>
      <c r="J89">
        <f t="shared" si="145"/>
        <v>23.076923076923077</v>
      </c>
      <c r="K89">
        <f t="shared" si="145"/>
        <v>30.769230769230766</v>
      </c>
      <c r="M89" t="s">
        <v>15</v>
      </c>
      <c r="N89">
        <f>MAX(N71:N86)</f>
        <v>0</v>
      </c>
      <c r="O89">
        <f t="shared" ref="O89:Q89" si="146">MAX(O71:O86)</f>
        <v>23.2</v>
      </c>
      <c r="P89">
        <f t="shared" si="146"/>
        <v>32.710280373831765</v>
      </c>
      <c r="Q89">
        <f t="shared" si="146"/>
        <v>60.396039603960403</v>
      </c>
      <c r="S89" s="4"/>
      <c r="U89" t="s">
        <v>15</v>
      </c>
      <c r="V89">
        <f>MAX(V71:V86)</f>
        <v>0</v>
      </c>
      <c r="W89">
        <f t="shared" ref="W89:Y89" si="147">MAX(W71:W86)</f>
        <v>32.53012048192771</v>
      </c>
      <c r="X89">
        <f t="shared" si="147"/>
        <v>20.000000000000011</v>
      </c>
      <c r="Y89">
        <f t="shared" si="147"/>
        <v>42.307692307692314</v>
      </c>
      <c r="AA89" t="s">
        <v>15</v>
      </c>
      <c r="AB89">
        <f>MAX(AB71:AB86)</f>
        <v>0</v>
      </c>
      <c r="AC89">
        <f t="shared" ref="AC89:AE89" si="148">MAX(AC71:AC86)</f>
        <v>53.333333333333343</v>
      </c>
      <c r="AD89">
        <f t="shared" si="148"/>
        <v>23.076923076923077</v>
      </c>
      <c r="AE89">
        <f t="shared" si="148"/>
        <v>30.769230769230766</v>
      </c>
      <c r="AG89" t="s">
        <v>15</v>
      </c>
      <c r="AH89">
        <f>MAX(AH71:AH86)</f>
        <v>0</v>
      </c>
      <c r="AI89">
        <f t="shared" ref="AI89:AK89" si="149">MAX(AI71:AI86)</f>
        <v>23.2</v>
      </c>
      <c r="AJ89">
        <f t="shared" si="149"/>
        <v>32.710280373831765</v>
      </c>
      <c r="AK89">
        <f t="shared" si="149"/>
        <v>12.871287128712877</v>
      </c>
    </row>
    <row r="90" spans="1:37" x14ac:dyDescent="0.25">
      <c r="A90" t="s">
        <v>16</v>
      </c>
      <c r="B90">
        <f>MIN(B71:B86)</f>
        <v>0</v>
      </c>
      <c r="C90">
        <f t="shared" ref="C90:E90" si="150">MIN(C71:C86)</f>
        <v>-6.0240963855421832</v>
      </c>
      <c r="D90">
        <f t="shared" si="150"/>
        <v>-25.714285714285719</v>
      </c>
      <c r="E90">
        <f t="shared" si="150"/>
        <v>-49.999999999999986</v>
      </c>
      <c r="G90" t="s">
        <v>16</v>
      </c>
      <c r="H90">
        <f>MIN(H71:H86)</f>
        <v>0</v>
      </c>
      <c r="I90">
        <f t="shared" ref="I90:K90" si="151">MIN(I71:I86)</f>
        <v>-19.999999999999986</v>
      </c>
      <c r="J90">
        <f t="shared" si="151"/>
        <v>-30.769230769230781</v>
      </c>
      <c r="K90">
        <f t="shared" si="151"/>
        <v>-15.38461538461539</v>
      </c>
      <c r="M90" t="s">
        <v>16</v>
      </c>
      <c r="N90">
        <f>MIN(N71:N86)</f>
        <v>0</v>
      </c>
      <c r="O90">
        <f t="shared" ref="O90:Q90" si="152">MIN(O71:O86)</f>
        <v>3.9999999999999982</v>
      </c>
      <c r="P90">
        <f t="shared" si="152"/>
        <v>-27.102803738317789</v>
      </c>
      <c r="Q90">
        <f t="shared" si="152"/>
        <v>-26.73267326732671</v>
      </c>
      <c r="S90" s="4"/>
      <c r="U90" t="s">
        <v>16</v>
      </c>
      <c r="V90">
        <f>MIN(V71:V86)</f>
        <v>0</v>
      </c>
      <c r="W90">
        <f t="shared" ref="W90:Y90" si="153">MIN(W71:W86)</f>
        <v>-6.0240963855421832</v>
      </c>
      <c r="X90">
        <f t="shared" si="153"/>
        <v>-25.714285714285719</v>
      </c>
      <c r="Y90">
        <f t="shared" si="153"/>
        <v>-49.999999999999986</v>
      </c>
      <c r="AA90" t="s">
        <v>16</v>
      </c>
      <c r="AB90">
        <f>MIN(AB71:AB86)</f>
        <v>0</v>
      </c>
      <c r="AC90">
        <f t="shared" ref="AC90:AE90" si="154">MIN(AC71:AC86)</f>
        <v>-19.999999999999986</v>
      </c>
      <c r="AD90">
        <f t="shared" si="154"/>
        <v>-30.769230769230781</v>
      </c>
      <c r="AE90">
        <f t="shared" si="154"/>
        <v>-15.38461538461539</v>
      </c>
      <c r="AG90" t="s">
        <v>16</v>
      </c>
      <c r="AH90">
        <f>MIN(AH71:AH86)</f>
        <v>0</v>
      </c>
      <c r="AI90">
        <f t="shared" ref="AI90:AK90" si="155">MIN(AI71:AI86)</f>
        <v>3.9999999999999982</v>
      </c>
      <c r="AJ90">
        <f t="shared" si="155"/>
        <v>-27.102803738317789</v>
      </c>
      <c r="AK90">
        <f t="shared" si="155"/>
        <v>-26.73267326732671</v>
      </c>
    </row>
    <row r="91" spans="1:37" x14ac:dyDescent="0.25">
      <c r="A91" t="s">
        <v>17</v>
      </c>
      <c r="B91" t="e">
        <f>AVERAGE(B71:B86)</f>
        <v>#DIV/0!</v>
      </c>
      <c r="C91">
        <f t="shared" ref="C91:E91" si="156">AVERAGE(C71:C86)</f>
        <v>15.662650602409633</v>
      </c>
      <c r="D91">
        <f t="shared" si="156"/>
        <v>0.95238095238095577</v>
      </c>
      <c r="E91">
        <f t="shared" si="156"/>
        <v>7.6923076923076987</v>
      </c>
      <c r="G91" t="s">
        <v>17</v>
      </c>
      <c r="H91" t="e">
        <f>AVERAGE(H71:H86)</f>
        <v>#DIV/0!</v>
      </c>
      <c r="I91">
        <f t="shared" ref="I91:K91" si="157">AVERAGE(I71:I86)</f>
        <v>13.333333333333346</v>
      </c>
      <c r="J91">
        <f t="shared" si="157"/>
        <v>-5.1070259132757201E-15</v>
      </c>
      <c r="K91">
        <f t="shared" si="157"/>
        <v>9.6153846153846114</v>
      </c>
      <c r="M91" t="s">
        <v>17</v>
      </c>
      <c r="N91" t="e">
        <f>AVERAGE(N71:N86)</f>
        <v>#DIV/0!</v>
      </c>
      <c r="O91">
        <f t="shared" ref="O91:Q91" si="158">AVERAGE(O71:O86)</f>
        <v>14.4</v>
      </c>
      <c r="P91">
        <f t="shared" si="158"/>
        <v>5.6074766355140007</v>
      </c>
      <c r="Q91">
        <f t="shared" si="158"/>
        <v>0.99009900990100341</v>
      </c>
      <c r="S91" s="4"/>
      <c r="U91" t="s">
        <v>17</v>
      </c>
      <c r="V91" t="e">
        <f>AVERAGE(V71:V86)</f>
        <v>#DIV/0!</v>
      </c>
      <c r="W91">
        <f t="shared" ref="W91:Y91" si="159">AVERAGE(W71:W86)</f>
        <v>15.662650602409633</v>
      </c>
      <c r="X91">
        <f t="shared" si="159"/>
        <v>0.95238095238095577</v>
      </c>
      <c r="Y91">
        <f t="shared" si="159"/>
        <v>7.6923076923076987</v>
      </c>
      <c r="AA91" t="s">
        <v>17</v>
      </c>
      <c r="AB91" t="e">
        <f>AVERAGE(AB71:AB86)</f>
        <v>#DIV/0!</v>
      </c>
      <c r="AC91">
        <f t="shared" ref="AC91:AE91" si="160">AVERAGE(AC71:AC86)</f>
        <v>13.333333333333346</v>
      </c>
      <c r="AD91">
        <f t="shared" si="160"/>
        <v>-5.1070259132757201E-15</v>
      </c>
      <c r="AE91">
        <f t="shared" si="160"/>
        <v>9.6153846153846114</v>
      </c>
      <c r="AG91" t="s">
        <v>17</v>
      </c>
      <c r="AH91" t="e">
        <f>AVERAGE(AH71:AH86)</f>
        <v>#DIV/0!</v>
      </c>
      <c r="AI91">
        <f t="shared" ref="AI91:AK91" si="161">AVERAGE(AI71:AI86)</f>
        <v>14.4</v>
      </c>
      <c r="AJ91">
        <f t="shared" si="161"/>
        <v>5.6074766355140007</v>
      </c>
      <c r="AK91">
        <f t="shared" si="161"/>
        <v>-7.4964639321074822</v>
      </c>
    </row>
    <row r="92" spans="1:37" x14ac:dyDescent="0.25">
      <c r="A92" t="s">
        <v>18</v>
      </c>
      <c r="B92" t="e">
        <f>STDEV(B71:B86)</f>
        <v>#DIV/0!</v>
      </c>
      <c r="C92">
        <f t="shared" ref="C92:E92" si="162">STDEV(C71:C86)</f>
        <v>16.892040132716424</v>
      </c>
      <c r="D92">
        <f t="shared" si="162"/>
        <v>15.614401167176535</v>
      </c>
      <c r="E92">
        <f t="shared" si="162"/>
        <v>39.128826825722697</v>
      </c>
      <c r="G92" t="s">
        <v>18</v>
      </c>
      <c r="H92" t="e">
        <f>STDEV(H71:H86)</f>
        <v>#DIV/0!</v>
      </c>
      <c r="I92">
        <f t="shared" ref="I92:K92" si="163">STDEV(I71:I86)</f>
        <v>23.094010767585026</v>
      </c>
      <c r="J92">
        <f t="shared" si="163"/>
        <v>20.14318986793776</v>
      </c>
      <c r="K92">
        <f t="shared" si="163"/>
        <v>19.611613513818405</v>
      </c>
      <c r="M92" t="s">
        <v>18</v>
      </c>
      <c r="N92" t="e">
        <f>STDEV(N71:N86)</f>
        <v>#DIV/0!</v>
      </c>
      <c r="O92">
        <f t="shared" ref="O92:Q92" si="164">STDEV(O71:O86)</f>
        <v>5.8632024404025884</v>
      </c>
      <c r="P92">
        <f t="shared" si="164"/>
        <v>19.552918172521029</v>
      </c>
      <c r="Q92">
        <f t="shared" si="164"/>
        <v>27.438428634754487</v>
      </c>
      <c r="S92" s="4"/>
      <c r="U92" t="s">
        <v>18</v>
      </c>
      <c r="V92" t="e">
        <f>STDEV(V71:V86)</f>
        <v>#DIV/0!</v>
      </c>
      <c r="W92">
        <f t="shared" ref="W92:Y92" si="165">STDEV(W71:W86)</f>
        <v>16.892040132716424</v>
      </c>
      <c r="X92">
        <f t="shared" si="165"/>
        <v>15.614401167176535</v>
      </c>
      <c r="Y92">
        <f t="shared" si="165"/>
        <v>39.128826825722697</v>
      </c>
      <c r="AA92" t="s">
        <v>18</v>
      </c>
      <c r="AB92" t="e">
        <f>STDEV(AB71:AB86)</f>
        <v>#DIV/0!</v>
      </c>
      <c r="AC92">
        <f t="shared" ref="AC92:AE92" si="166">STDEV(AC71:AC86)</f>
        <v>23.094010767585026</v>
      </c>
      <c r="AD92">
        <f t="shared" si="166"/>
        <v>20.14318986793776</v>
      </c>
      <c r="AE92">
        <f t="shared" si="166"/>
        <v>19.611613513818405</v>
      </c>
      <c r="AG92" t="s">
        <v>18</v>
      </c>
      <c r="AH92" t="e">
        <f>STDEV(AH71:AH86)</f>
        <v>#DIV/0!</v>
      </c>
      <c r="AI92">
        <f t="shared" ref="AI92:AK92" si="167">STDEV(AI71:AI86)</f>
        <v>5.8632024404025884</v>
      </c>
      <c r="AJ92">
        <f t="shared" si="167"/>
        <v>19.552918172521029</v>
      </c>
      <c r="AK92">
        <f t="shared" si="167"/>
        <v>14.357654925544008</v>
      </c>
    </row>
    <row r="93" spans="1:37" x14ac:dyDescent="0.25">
      <c r="A93" t="s">
        <v>19</v>
      </c>
      <c r="B93" t="e">
        <f>B91+2*B92</f>
        <v>#DIV/0!</v>
      </c>
      <c r="C93">
        <f t="shared" ref="C93:E93" si="168">C91+2*C92</f>
        <v>49.446730867842483</v>
      </c>
      <c r="D93">
        <f t="shared" si="168"/>
        <v>32.181183286734026</v>
      </c>
      <c r="E93">
        <f t="shared" si="168"/>
        <v>85.949961343753088</v>
      </c>
      <c r="G93" t="s">
        <v>19</v>
      </c>
      <c r="H93" t="e">
        <f>H91+2*H92</f>
        <v>#DIV/0!</v>
      </c>
      <c r="I93">
        <f t="shared" ref="I93:K93" si="169">I91+2*I92</f>
        <v>59.521354868503394</v>
      </c>
      <c r="J93">
        <f t="shared" si="169"/>
        <v>40.286379735875514</v>
      </c>
      <c r="K93">
        <f t="shared" si="169"/>
        <v>48.838611643021423</v>
      </c>
      <c r="M93" t="s">
        <v>19</v>
      </c>
      <c r="N93" t="e">
        <f>N91+2*N92</f>
        <v>#DIV/0!</v>
      </c>
      <c r="O93">
        <f t="shared" ref="O93:Q93" si="170">O91+2*O92</f>
        <v>26.126404880805175</v>
      </c>
      <c r="P93">
        <f t="shared" si="170"/>
        <v>44.713312980556054</v>
      </c>
      <c r="Q93">
        <f t="shared" si="170"/>
        <v>55.866956279409976</v>
      </c>
      <c r="S93" s="4"/>
      <c r="U93" t="s">
        <v>19</v>
      </c>
      <c r="V93" t="e">
        <f>V91+2*V92</f>
        <v>#DIV/0!</v>
      </c>
      <c r="W93">
        <f t="shared" ref="W93:Y93" si="171">W91+2*W92</f>
        <v>49.446730867842483</v>
      </c>
      <c r="X93">
        <f t="shared" si="171"/>
        <v>32.181183286734026</v>
      </c>
      <c r="Y93">
        <f t="shared" si="171"/>
        <v>85.949961343753088</v>
      </c>
      <c r="AA93" t="s">
        <v>19</v>
      </c>
      <c r="AB93" t="e">
        <f>AB91+2*AB92</f>
        <v>#DIV/0!</v>
      </c>
      <c r="AC93">
        <f t="shared" ref="AC93:AE93" si="172">AC91+2*AC92</f>
        <v>59.521354868503394</v>
      </c>
      <c r="AD93">
        <f t="shared" si="172"/>
        <v>40.286379735875514</v>
      </c>
      <c r="AE93">
        <f t="shared" si="172"/>
        <v>48.838611643021423</v>
      </c>
      <c r="AG93" t="s">
        <v>19</v>
      </c>
      <c r="AH93" t="e">
        <f>AH91+2*AH92</f>
        <v>#DIV/0!</v>
      </c>
      <c r="AI93">
        <f t="shared" ref="AI93:AK93" si="173">AI91+2*AI92</f>
        <v>26.126404880805175</v>
      </c>
      <c r="AJ93">
        <f t="shared" si="173"/>
        <v>44.713312980556054</v>
      </c>
      <c r="AK93">
        <f t="shared" si="173"/>
        <v>21.218845918980534</v>
      </c>
    </row>
    <row r="94" spans="1:37" x14ac:dyDescent="0.25">
      <c r="A94" t="s">
        <v>20</v>
      </c>
      <c r="B94" t="e">
        <f>B91-2*B92</f>
        <v>#DIV/0!</v>
      </c>
      <c r="C94">
        <f t="shared" ref="C94:E94" si="174">C91-2*C92</f>
        <v>-18.121429663023214</v>
      </c>
      <c r="D94">
        <f t="shared" si="174"/>
        <v>-30.276421381972114</v>
      </c>
      <c r="E94">
        <f t="shared" si="174"/>
        <v>-70.565345959137701</v>
      </c>
      <c r="G94" t="s">
        <v>20</v>
      </c>
      <c r="H94" t="e">
        <f>H91-2*H92</f>
        <v>#DIV/0!</v>
      </c>
      <c r="I94">
        <f t="shared" ref="I94:K94" si="175">I91-2*I92</f>
        <v>-32.854688201836709</v>
      </c>
      <c r="J94">
        <f t="shared" si="175"/>
        <v>-40.286379735875528</v>
      </c>
      <c r="K94">
        <f t="shared" si="175"/>
        <v>-29.607842412252197</v>
      </c>
      <c r="M94" t="s">
        <v>20</v>
      </c>
      <c r="N94" t="e">
        <f>N91-2*N92</f>
        <v>#DIV/0!</v>
      </c>
      <c r="O94">
        <f t="shared" ref="O94:Q94" si="176">O91-2*O92</f>
        <v>2.6735951191948235</v>
      </c>
      <c r="P94">
        <f t="shared" si="176"/>
        <v>-33.49835970952806</v>
      </c>
      <c r="Q94">
        <f t="shared" si="176"/>
        <v>-53.886758259607973</v>
      </c>
      <c r="S94" s="4"/>
      <c r="U94" t="s">
        <v>20</v>
      </c>
      <c r="V94" t="e">
        <f>V91-2*V92</f>
        <v>#DIV/0!</v>
      </c>
      <c r="W94">
        <f t="shared" ref="W94:Y94" si="177">W91-2*W92</f>
        <v>-18.121429663023214</v>
      </c>
      <c r="X94">
        <f t="shared" si="177"/>
        <v>-30.276421381972114</v>
      </c>
      <c r="Y94">
        <f t="shared" si="177"/>
        <v>-70.565345959137701</v>
      </c>
      <c r="AA94" t="s">
        <v>20</v>
      </c>
      <c r="AB94" t="e">
        <f>AB91-2*AB92</f>
        <v>#DIV/0!</v>
      </c>
      <c r="AC94">
        <f t="shared" ref="AC94:AE94" si="178">AC91-2*AC92</f>
        <v>-32.854688201836709</v>
      </c>
      <c r="AD94">
        <f t="shared" si="178"/>
        <v>-40.286379735875528</v>
      </c>
      <c r="AE94">
        <f t="shared" si="178"/>
        <v>-29.607842412252197</v>
      </c>
      <c r="AG94" t="s">
        <v>20</v>
      </c>
      <c r="AH94" t="e">
        <f>AH91-2*AH92</f>
        <v>#DIV/0!</v>
      </c>
      <c r="AI94">
        <f t="shared" ref="AI94:AK94" si="179">AI91-2*AI92</f>
        <v>2.6735951191948235</v>
      </c>
      <c r="AJ94">
        <f t="shared" si="179"/>
        <v>-33.49835970952806</v>
      </c>
      <c r="AK94">
        <f t="shared" si="179"/>
        <v>-36.211773783195497</v>
      </c>
    </row>
    <row r="95" spans="1:37" x14ac:dyDescent="0.25">
      <c r="A95" t="s">
        <v>21</v>
      </c>
      <c r="B95" t="e">
        <f>VAR(B71:B86)</f>
        <v>#DIV/0!</v>
      </c>
      <c r="C95">
        <f t="shared" ref="C95:E95" si="180">VAR(C71:C86)</f>
        <v>285.3410198453023</v>
      </c>
      <c r="D95">
        <f t="shared" si="180"/>
        <v>243.80952380952394</v>
      </c>
      <c r="E95">
        <f t="shared" si="180"/>
        <v>1531.0650887573961</v>
      </c>
      <c r="G95" t="s">
        <v>21</v>
      </c>
      <c r="H95" t="e">
        <f>VAR(H71:H86)</f>
        <v>#DIV/0!</v>
      </c>
      <c r="I95">
        <f t="shared" ref="I95:K95" si="181">VAR(I71:I86)</f>
        <v>533.33333333333314</v>
      </c>
      <c r="J95">
        <f t="shared" si="181"/>
        <v>405.74809805579042</v>
      </c>
      <c r="K95">
        <f t="shared" si="181"/>
        <v>384.61538461538464</v>
      </c>
      <c r="M95" t="s">
        <v>21</v>
      </c>
      <c r="N95" t="e">
        <f>VAR(N71:N86)</f>
        <v>#DIV/0!</v>
      </c>
      <c r="O95">
        <f t="shared" ref="O95:Q95" si="182">VAR(O71:O86)</f>
        <v>34.377142857142871</v>
      </c>
      <c r="P95">
        <f t="shared" si="182"/>
        <v>382.3166090613031</v>
      </c>
      <c r="Q95">
        <f t="shared" si="182"/>
        <v>752.86736594451509</v>
      </c>
      <c r="S95" s="4"/>
      <c r="U95" t="s">
        <v>21</v>
      </c>
      <c r="V95" t="e">
        <f>VAR(V71:V86)</f>
        <v>#DIV/0!</v>
      </c>
      <c r="W95">
        <f t="shared" ref="W95:Y95" si="183">VAR(W71:W86)</f>
        <v>285.3410198453023</v>
      </c>
      <c r="X95">
        <f t="shared" si="183"/>
        <v>243.80952380952394</v>
      </c>
      <c r="Y95">
        <f t="shared" si="183"/>
        <v>1531.0650887573961</v>
      </c>
      <c r="AA95" t="s">
        <v>21</v>
      </c>
      <c r="AB95" t="e">
        <f>VAR(AB71:AB86)</f>
        <v>#DIV/0!</v>
      </c>
      <c r="AC95">
        <f t="shared" ref="AC95:AE95" si="184">VAR(AC71:AC86)</f>
        <v>533.33333333333314</v>
      </c>
      <c r="AD95">
        <f t="shared" si="184"/>
        <v>405.74809805579042</v>
      </c>
      <c r="AE95">
        <f t="shared" si="184"/>
        <v>384.61538461538464</v>
      </c>
      <c r="AG95" t="s">
        <v>21</v>
      </c>
      <c r="AH95" t="e">
        <f>VAR(AH71:AH86)</f>
        <v>#DIV/0!</v>
      </c>
      <c r="AI95">
        <f t="shared" ref="AI95:AK95" si="185">VAR(AI71:AI86)</f>
        <v>34.377142857142871</v>
      </c>
      <c r="AJ95">
        <f t="shared" si="185"/>
        <v>382.3166090613031</v>
      </c>
      <c r="AK95">
        <f t="shared" si="185"/>
        <v>206.14225496099812</v>
      </c>
    </row>
    <row r="96" spans="1:37" x14ac:dyDescent="0.25">
      <c r="S96" s="4"/>
    </row>
    <row r="97" spans="1:37" x14ac:dyDescent="0.25">
      <c r="A97" t="s">
        <v>22</v>
      </c>
      <c r="S97" s="4"/>
      <c r="U97" t="s">
        <v>22</v>
      </c>
    </row>
    <row r="98" spans="1:37" x14ac:dyDescent="0.25">
      <c r="A98" t="s">
        <v>1</v>
      </c>
      <c r="B98" t="e">
        <f>TTEST(B79:B86,H79:H86,2,3)</f>
        <v>#DIV/0!</v>
      </c>
      <c r="S98" s="4"/>
      <c r="U98" t="s">
        <v>1</v>
      </c>
      <c r="V98" t="e">
        <f>TTEST(V79:V86,AB79:AB86,2,3)</f>
        <v>#DIV/0!</v>
      </c>
    </row>
    <row r="99" spans="1:37" x14ac:dyDescent="0.25">
      <c r="A99" t="s">
        <v>2</v>
      </c>
      <c r="B99" t="e">
        <f>TTEST(C79:C86,I79:I86,2,3)</f>
        <v>#DIV/0!</v>
      </c>
      <c r="S99" s="4"/>
      <c r="U99" t="s">
        <v>2</v>
      </c>
      <c r="V99" t="e">
        <f>TTEST(W79:W86,AC79:AC86,2,3)</f>
        <v>#DIV/0!</v>
      </c>
    </row>
    <row r="100" spans="1:37" x14ac:dyDescent="0.25">
      <c r="A100" t="s">
        <v>3</v>
      </c>
      <c r="B100" t="e">
        <f>TTEST(D79:D86,J79:J86,2,3)</f>
        <v>#DIV/0!</v>
      </c>
      <c r="S100" s="4"/>
      <c r="U100" t="s">
        <v>3</v>
      </c>
      <c r="V100" t="e">
        <f>TTEST(X79:X86,AD79:AD86,2,3)</f>
        <v>#DIV/0!</v>
      </c>
    </row>
    <row r="101" spans="1:37" x14ac:dyDescent="0.25">
      <c r="A101" t="s">
        <v>4</v>
      </c>
      <c r="B101" t="e">
        <f>TTEST(E79:E86,K79:K86,2,3)</f>
        <v>#DIV/0!</v>
      </c>
      <c r="S101" s="4"/>
      <c r="U101" t="s">
        <v>4</v>
      </c>
      <c r="V101" t="e">
        <f>TTEST(Y79:Y86,AE79:AE86,2,3)</f>
        <v>#DIV/0!</v>
      </c>
    </row>
    <row r="102" spans="1:37" x14ac:dyDescent="0.25">
      <c r="S102" s="4"/>
    </row>
    <row r="103" spans="1:37" x14ac:dyDescent="0.25">
      <c r="A103" t="s">
        <v>27</v>
      </c>
      <c r="S103" s="4"/>
      <c r="U103" t="s">
        <v>27</v>
      </c>
    </row>
    <row r="104" spans="1:37" x14ac:dyDescent="0.25">
      <c r="A104" s="1" t="s">
        <v>29</v>
      </c>
      <c r="B104" s="1" t="s">
        <v>1</v>
      </c>
      <c r="C104" s="1" t="s">
        <v>2</v>
      </c>
      <c r="D104" s="1" t="s">
        <v>3</v>
      </c>
      <c r="E104" s="1" t="s">
        <v>4</v>
      </c>
      <c r="G104" s="1" t="s">
        <v>30</v>
      </c>
      <c r="H104" s="1" t="s">
        <v>1</v>
      </c>
      <c r="I104" s="1" t="s">
        <v>2</v>
      </c>
      <c r="J104" s="1" t="s">
        <v>3</v>
      </c>
      <c r="K104" s="1" t="s">
        <v>4</v>
      </c>
      <c r="M104" s="1" t="s">
        <v>31</v>
      </c>
      <c r="N104" s="1" t="s">
        <v>1</v>
      </c>
      <c r="O104" s="1" t="s">
        <v>2</v>
      </c>
      <c r="P104" s="1" t="s">
        <v>3</v>
      </c>
      <c r="Q104" s="1" t="s">
        <v>4</v>
      </c>
      <c r="R104" s="1"/>
      <c r="S104" s="4"/>
      <c r="U104" s="1" t="s">
        <v>29</v>
      </c>
      <c r="V104" s="1" t="s">
        <v>1</v>
      </c>
      <c r="W104" s="1" t="s">
        <v>2</v>
      </c>
      <c r="X104" s="1" t="s">
        <v>3</v>
      </c>
      <c r="Y104" s="1" t="s">
        <v>4</v>
      </c>
      <c r="AA104" s="1" t="s">
        <v>30</v>
      </c>
      <c r="AB104" s="1" t="s">
        <v>1</v>
      </c>
      <c r="AC104" s="1" t="s">
        <v>2</v>
      </c>
      <c r="AD104" s="1" t="s">
        <v>3</v>
      </c>
      <c r="AE104" s="1" t="s">
        <v>4</v>
      </c>
      <c r="AG104" s="1" t="s">
        <v>31</v>
      </c>
      <c r="AH104" s="1" t="s">
        <v>1</v>
      </c>
      <c r="AI104" s="1" t="s">
        <v>2</v>
      </c>
      <c r="AJ104" s="1" t="s">
        <v>3</v>
      </c>
      <c r="AK104" s="1" t="s">
        <v>4</v>
      </c>
    </row>
    <row r="105" spans="1:37" x14ac:dyDescent="0.25">
      <c r="A105" t="s">
        <v>5</v>
      </c>
      <c r="B105" s="3"/>
      <c r="C105" s="3">
        <f>(B$23-C3)/7</f>
        <v>1.336785714285714</v>
      </c>
      <c r="D105" s="3">
        <f t="shared" ref="D105:E112" si="186">(C$23-D3)/7</f>
        <v>0.98500000000000043</v>
      </c>
      <c r="E105" s="3">
        <f t="shared" si="186"/>
        <v>-0.75047619047619007</v>
      </c>
      <c r="G105" t="s">
        <v>5</v>
      </c>
      <c r="H105" s="3"/>
      <c r="I105" s="3">
        <f>(H$29-I3)/7</f>
        <v>-1.6885714285714275</v>
      </c>
      <c r="J105" s="3">
        <f t="shared" ref="J105:K112" si="187">(I$29-J3)/7</f>
        <v>-2.2514285714285722</v>
      </c>
      <c r="K105" s="3">
        <f t="shared" si="187"/>
        <v>-1.1257142857142861</v>
      </c>
      <c r="M105" t="s">
        <v>5</v>
      </c>
      <c r="N105" s="3"/>
      <c r="O105" s="3">
        <f>(N$29-O3)/7</f>
        <v>1.4775000000000003</v>
      </c>
      <c r="P105" s="3">
        <f t="shared" ref="P105:Q112" si="188">(O$29-P3)/7</f>
        <v>0.77392857142856997</v>
      </c>
      <c r="Q105" s="3">
        <f t="shared" si="188"/>
        <v>4.291785714285715</v>
      </c>
      <c r="R105" s="3"/>
      <c r="S105" s="4"/>
      <c r="U105" t="s">
        <v>5</v>
      </c>
      <c r="V105" s="3"/>
      <c r="W105" s="3">
        <f>(V$23-W3)/7</f>
        <v>1.336785714285714</v>
      </c>
      <c r="X105" s="3">
        <f t="shared" ref="X105:X108" si="189">(W$23-X3)/7</f>
        <v>0.98500000000000043</v>
      </c>
      <c r="Y105" s="3">
        <f t="shared" ref="Y105" si="190">(X$23-Y3)/7</f>
        <v>-0.75047619047619007</v>
      </c>
      <c r="AA105" t="s">
        <v>5</v>
      </c>
      <c r="AB105" s="3"/>
      <c r="AC105" s="3">
        <f>(AB$29-AC3)/7</f>
        <v>-1.6885714285714275</v>
      </c>
      <c r="AD105" s="3">
        <f t="shared" ref="AD105:AD112" si="191">(AC$29-AD3)/7</f>
        <v>-2.2514285714285722</v>
      </c>
      <c r="AE105" s="3">
        <f t="shared" ref="AE105:AE112" si="192">(AD$29-AE3)/7</f>
        <v>-1.1257142857142861</v>
      </c>
      <c r="AG105" t="s">
        <v>5</v>
      </c>
      <c r="AH105" s="3"/>
      <c r="AI105" s="3">
        <f>(AH$29-AI3)/7</f>
        <v>1.4775000000000003</v>
      </c>
      <c r="AJ105" s="3">
        <f t="shared" ref="AJ105:AJ112" si="193">(AI$29-AJ3)/7</f>
        <v>0.77392857142856997</v>
      </c>
      <c r="AK105" s="3"/>
    </row>
    <row r="106" spans="1:37" x14ac:dyDescent="0.25">
      <c r="A106" t="s">
        <v>7</v>
      </c>
      <c r="B106" s="3"/>
      <c r="C106" s="3">
        <f t="shared" ref="C106:C112" si="194">(B$23-C4)/7</f>
        <v>1.899642857142857</v>
      </c>
      <c r="D106" s="3">
        <f t="shared" si="186"/>
        <v>0.42214285714285743</v>
      </c>
      <c r="E106" s="3"/>
      <c r="G106" t="s">
        <v>7</v>
      </c>
      <c r="H106" s="3"/>
      <c r="I106" s="3">
        <f t="shared" ref="I106:I112" si="195">(H$29-I4)/7</f>
        <v>0.56285714285714461</v>
      </c>
      <c r="J106" s="3">
        <f t="shared" si="187"/>
        <v>-1.1257142857142861</v>
      </c>
      <c r="K106" s="3">
        <f t="shared" si="187"/>
        <v>1.125714285714285</v>
      </c>
      <c r="M106" t="s">
        <v>7</v>
      </c>
      <c r="N106" s="3"/>
      <c r="O106" s="3">
        <f t="shared" ref="O106:O112" si="196">(N$29-O4)/7</f>
        <v>1.4775000000000003</v>
      </c>
      <c r="P106" s="3">
        <f t="shared" si="188"/>
        <v>-0.35178571428571509</v>
      </c>
      <c r="Q106" s="3">
        <f t="shared" si="188"/>
        <v>-0.21107142857142744</v>
      </c>
      <c r="R106" s="3"/>
      <c r="S106" s="4"/>
      <c r="U106" t="s">
        <v>7</v>
      </c>
      <c r="V106" s="3"/>
      <c r="W106" s="3">
        <f t="shared" ref="W106:W112" si="197">(V$23-W4)/7</f>
        <v>1.899642857142857</v>
      </c>
      <c r="X106" s="3">
        <f t="shared" si="189"/>
        <v>0.42214285714285743</v>
      </c>
      <c r="Y106" s="3"/>
      <c r="AA106" t="s">
        <v>7</v>
      </c>
      <c r="AB106" s="3"/>
      <c r="AC106" s="3">
        <f t="shared" ref="AC106:AC112" si="198">(AB$29-AC4)/7</f>
        <v>0.56285714285714461</v>
      </c>
      <c r="AD106" s="3">
        <f t="shared" si="191"/>
        <v>-1.1257142857142861</v>
      </c>
      <c r="AE106" s="3">
        <f t="shared" si="192"/>
        <v>1.125714285714285</v>
      </c>
      <c r="AG106" t="s">
        <v>7</v>
      </c>
      <c r="AH106" s="3"/>
      <c r="AI106" s="3">
        <f t="shared" ref="AI106:AI112" si="199">(AH$29-AI4)/7</f>
        <v>1.4775000000000003</v>
      </c>
      <c r="AJ106" s="3">
        <f t="shared" si="193"/>
        <v>-0.35178571428571509</v>
      </c>
      <c r="AK106" s="3">
        <f t="shared" ref="AK106:AK112" si="200">(AJ$29-AK4)/7</f>
        <v>-0.21107142857142744</v>
      </c>
    </row>
    <row r="107" spans="1:37" x14ac:dyDescent="0.25">
      <c r="A107" t="s">
        <v>8</v>
      </c>
      <c r="B107" s="3"/>
      <c r="C107" s="3">
        <f t="shared" si="194"/>
        <v>-0.35178571428571509</v>
      </c>
      <c r="D107" s="3">
        <f t="shared" si="186"/>
        <v>-0.14071428571428563</v>
      </c>
      <c r="E107" s="3">
        <f t="shared" si="186"/>
        <v>-2.4390476190476185</v>
      </c>
      <c r="G107" t="s">
        <v>8</v>
      </c>
      <c r="H107" s="3"/>
      <c r="I107" s="3">
        <f t="shared" si="195"/>
        <v>2.2514285714285722</v>
      </c>
      <c r="J107" s="3">
        <f t="shared" si="187"/>
        <v>0.5628571428571425</v>
      </c>
      <c r="K107" s="3">
        <f t="shared" si="187"/>
        <v>-1.1257142857142861</v>
      </c>
      <c r="M107" t="s">
        <v>8</v>
      </c>
      <c r="N107" s="3"/>
      <c r="O107" s="3">
        <f t="shared" si="196"/>
        <v>2.0403571428571428</v>
      </c>
      <c r="P107" s="3">
        <f t="shared" si="188"/>
        <v>0.77392857142856997</v>
      </c>
      <c r="Q107" s="3">
        <f t="shared" si="188"/>
        <v>-1.3367857142857136</v>
      </c>
      <c r="R107" s="3"/>
      <c r="S107" s="4"/>
      <c r="U107" t="s">
        <v>8</v>
      </c>
      <c r="V107" s="3"/>
      <c r="W107" s="3">
        <f t="shared" si="197"/>
        <v>-0.35178571428571509</v>
      </c>
      <c r="X107" s="3">
        <f t="shared" si="189"/>
        <v>-0.14071428571428563</v>
      </c>
      <c r="Y107" s="3">
        <f t="shared" ref="Y107:Y108" si="201">(X$23-Y5)/7</f>
        <v>-2.4390476190476185</v>
      </c>
      <c r="AA107" t="s">
        <v>8</v>
      </c>
      <c r="AB107" s="3"/>
      <c r="AC107" s="3">
        <f t="shared" si="198"/>
        <v>2.2514285714285722</v>
      </c>
      <c r="AD107" s="3">
        <f t="shared" si="191"/>
        <v>0.5628571428571425</v>
      </c>
      <c r="AE107" s="3">
        <f t="shared" si="192"/>
        <v>-1.1257142857142861</v>
      </c>
      <c r="AG107" t="s">
        <v>8</v>
      </c>
      <c r="AH107" s="3"/>
      <c r="AI107" s="3">
        <f t="shared" si="199"/>
        <v>2.0403571428571428</v>
      </c>
      <c r="AJ107" s="3">
        <f t="shared" si="193"/>
        <v>0.77392857142856997</v>
      </c>
      <c r="AK107" s="3">
        <f t="shared" si="200"/>
        <v>-1.3367857142857136</v>
      </c>
    </row>
    <row r="108" spans="1:37" x14ac:dyDescent="0.25">
      <c r="A108" t="s">
        <v>9</v>
      </c>
      <c r="B108" s="3"/>
      <c r="C108" s="3">
        <f t="shared" si="194"/>
        <v>0.21107142857142844</v>
      </c>
      <c r="D108" s="3">
        <f t="shared" si="186"/>
        <v>-1.2664285714285717</v>
      </c>
      <c r="E108" s="3">
        <f t="shared" si="186"/>
        <v>1.500952380952381</v>
      </c>
      <c r="G108" t="s">
        <v>9</v>
      </c>
      <c r="H108" s="3"/>
      <c r="I108" s="3">
        <f t="shared" si="195"/>
        <v>-1.125714285714285</v>
      </c>
      <c r="J108" s="3">
        <f t="shared" si="187"/>
        <v>-1.6885714285714286</v>
      </c>
      <c r="K108" s="3">
        <f t="shared" si="187"/>
        <v>-0.5628571428571425</v>
      </c>
      <c r="M108" t="s">
        <v>9</v>
      </c>
      <c r="N108" s="3"/>
      <c r="O108" s="3">
        <f t="shared" si="196"/>
        <v>0.35178571428571409</v>
      </c>
      <c r="P108" s="3">
        <f t="shared" si="188"/>
        <v>2.4624999999999986</v>
      </c>
      <c r="Q108" s="3">
        <f t="shared" si="188"/>
        <v>-1.3367857142857136</v>
      </c>
      <c r="R108" s="3"/>
      <c r="S108" s="4"/>
      <c r="U108" t="s">
        <v>9</v>
      </c>
      <c r="V108" s="3"/>
      <c r="W108" s="3">
        <f t="shared" si="197"/>
        <v>0.21107142857142844</v>
      </c>
      <c r="X108" s="3">
        <f t="shared" si="189"/>
        <v>-1.2664285714285717</v>
      </c>
      <c r="Y108" s="3">
        <f t="shared" si="201"/>
        <v>1.500952380952381</v>
      </c>
      <c r="AA108" t="s">
        <v>9</v>
      </c>
      <c r="AB108" s="3"/>
      <c r="AC108" s="3">
        <f t="shared" si="198"/>
        <v>-1.125714285714285</v>
      </c>
      <c r="AD108" s="3">
        <f t="shared" si="191"/>
        <v>-1.6885714285714286</v>
      </c>
      <c r="AE108" s="3">
        <f t="shared" si="192"/>
        <v>-0.5628571428571425</v>
      </c>
      <c r="AG108" t="s">
        <v>9</v>
      </c>
      <c r="AH108" s="3"/>
      <c r="AI108" s="3">
        <f t="shared" si="199"/>
        <v>0.35178571428571409</v>
      </c>
      <c r="AJ108" s="3">
        <f t="shared" si="193"/>
        <v>2.4624999999999986</v>
      </c>
      <c r="AK108" s="3">
        <f t="shared" si="200"/>
        <v>-1.3367857142857136</v>
      </c>
    </row>
    <row r="109" spans="1:37" x14ac:dyDescent="0.25">
      <c r="A109" t="s">
        <v>10</v>
      </c>
      <c r="B109" s="3"/>
      <c r="C109" s="3">
        <f t="shared" si="194"/>
        <v>-0.35178571428571509</v>
      </c>
      <c r="D109" s="3"/>
      <c r="E109" s="3"/>
      <c r="G109" t="s">
        <v>10</v>
      </c>
      <c r="H109" s="3"/>
      <c r="I109" s="3">
        <f t="shared" si="195"/>
        <v>1.125714285714287</v>
      </c>
      <c r="J109" s="3">
        <f t="shared" si="187"/>
        <v>0.5628571428571425</v>
      </c>
      <c r="K109" s="3">
        <f t="shared" si="187"/>
        <v>2.2514285714285713</v>
      </c>
      <c r="M109" t="s">
        <v>10</v>
      </c>
      <c r="N109" s="3"/>
      <c r="O109" s="3">
        <f t="shared" si="196"/>
        <v>1.4775000000000003</v>
      </c>
      <c r="P109" s="3">
        <f t="shared" si="188"/>
        <v>1.8996428571428561</v>
      </c>
      <c r="Q109" s="3">
        <f t="shared" si="188"/>
        <v>0.91464285714285765</v>
      </c>
      <c r="R109" s="3"/>
      <c r="S109" s="4"/>
      <c r="U109" t="s">
        <v>10</v>
      </c>
      <c r="V109" s="3"/>
      <c r="W109" s="3">
        <f t="shared" si="197"/>
        <v>-0.35178571428571509</v>
      </c>
      <c r="X109" s="3"/>
      <c r="Y109" s="3"/>
      <c r="AA109" t="s">
        <v>10</v>
      </c>
      <c r="AB109" s="3"/>
      <c r="AC109" s="3">
        <f t="shared" si="198"/>
        <v>1.125714285714287</v>
      </c>
      <c r="AD109" s="3">
        <f t="shared" si="191"/>
        <v>0.5628571428571425</v>
      </c>
      <c r="AE109" s="3">
        <f t="shared" si="192"/>
        <v>2.2514285714285713</v>
      </c>
      <c r="AG109" t="s">
        <v>10</v>
      </c>
      <c r="AH109" s="3"/>
      <c r="AI109" s="3">
        <f t="shared" si="199"/>
        <v>1.4775000000000003</v>
      </c>
      <c r="AJ109" s="3">
        <f t="shared" si="193"/>
        <v>1.8996428571428561</v>
      </c>
      <c r="AK109" s="3">
        <f t="shared" si="200"/>
        <v>0.91464285714285765</v>
      </c>
    </row>
    <row r="110" spans="1:37" x14ac:dyDescent="0.25">
      <c r="A110" t="s">
        <v>11</v>
      </c>
      <c r="B110" s="3"/>
      <c r="C110" s="3">
        <f t="shared" si="194"/>
        <v>0.77392857142857097</v>
      </c>
      <c r="D110" s="3">
        <f t="shared" si="186"/>
        <v>-0.14071428571428563</v>
      </c>
      <c r="E110" s="3"/>
      <c r="G110" t="s">
        <v>11</v>
      </c>
      <c r="H110" s="3"/>
      <c r="I110" s="3">
        <f t="shared" si="195"/>
        <v>4.5028571428571444</v>
      </c>
      <c r="J110" s="3">
        <f t="shared" si="187"/>
        <v>1.125714285714285</v>
      </c>
      <c r="K110" s="3">
        <f t="shared" si="187"/>
        <v>1.6885714285714286</v>
      </c>
      <c r="M110" t="s">
        <v>11</v>
      </c>
      <c r="N110" s="3"/>
      <c r="O110" s="3">
        <f t="shared" si="196"/>
        <v>0.91464285714285765</v>
      </c>
      <c r="P110" s="3">
        <f t="shared" si="188"/>
        <v>0.77392857142856997</v>
      </c>
      <c r="Q110" s="3">
        <f t="shared" si="188"/>
        <v>0.35178571428571509</v>
      </c>
      <c r="R110" s="3"/>
      <c r="S110" s="4"/>
      <c r="U110" t="s">
        <v>11</v>
      </c>
      <c r="V110" s="3"/>
      <c r="W110" s="3">
        <f t="shared" si="197"/>
        <v>0.77392857142857097</v>
      </c>
      <c r="X110" s="3">
        <f t="shared" ref="X110" si="202">(W$23-X8)/7</f>
        <v>-0.14071428571428563</v>
      </c>
      <c r="Y110" s="3"/>
      <c r="AA110" t="s">
        <v>11</v>
      </c>
      <c r="AB110" s="3"/>
      <c r="AC110" s="3">
        <f t="shared" si="198"/>
        <v>4.5028571428571444</v>
      </c>
      <c r="AD110" s="3">
        <f t="shared" si="191"/>
        <v>1.125714285714285</v>
      </c>
      <c r="AE110" s="3">
        <f t="shared" si="192"/>
        <v>1.6885714285714286</v>
      </c>
      <c r="AG110" t="s">
        <v>11</v>
      </c>
      <c r="AH110" s="3"/>
      <c r="AI110" s="3">
        <f t="shared" si="199"/>
        <v>0.91464285714285765</v>
      </c>
      <c r="AJ110" s="3">
        <f t="shared" si="193"/>
        <v>0.77392857142856997</v>
      </c>
      <c r="AK110" s="3">
        <f t="shared" si="200"/>
        <v>0.35178571428571509</v>
      </c>
    </row>
    <row r="111" spans="1:37" x14ac:dyDescent="0.25">
      <c r="A111" t="s">
        <v>12</v>
      </c>
      <c r="B111" s="3"/>
      <c r="C111" s="3">
        <f t="shared" si="194"/>
        <v>1.899642857142857</v>
      </c>
      <c r="D111" s="3"/>
      <c r="E111" s="3">
        <f t="shared" si="186"/>
        <v>1.500952380952381</v>
      </c>
      <c r="G111" t="s">
        <v>12</v>
      </c>
      <c r="H111" s="3"/>
      <c r="I111" s="3">
        <f t="shared" si="195"/>
        <v>1.6885714285714297</v>
      </c>
      <c r="J111" s="3">
        <f t="shared" si="187"/>
        <v>1.6885714285714286</v>
      </c>
      <c r="K111" s="3">
        <f t="shared" si="187"/>
        <v>2.2514285714285713</v>
      </c>
      <c r="M111" t="s">
        <v>12</v>
      </c>
      <c r="N111" s="3"/>
      <c r="O111" s="3">
        <f t="shared" si="196"/>
        <v>0.91464285714285765</v>
      </c>
      <c r="P111" s="3">
        <f t="shared" si="188"/>
        <v>-2.0403571428571445</v>
      </c>
      <c r="Q111" s="3">
        <f t="shared" si="188"/>
        <v>-0.21107142857142744</v>
      </c>
      <c r="R111" s="3"/>
      <c r="S111" s="4"/>
      <c r="U111" t="s">
        <v>12</v>
      </c>
      <c r="V111" s="3"/>
      <c r="W111" s="3">
        <f t="shared" si="197"/>
        <v>1.899642857142857</v>
      </c>
      <c r="X111" s="3"/>
      <c r="Y111" s="3">
        <f t="shared" ref="Y111:Y112" si="203">(X$23-Y9)/7</f>
        <v>1.500952380952381</v>
      </c>
      <c r="AA111" t="s">
        <v>12</v>
      </c>
      <c r="AB111" s="3"/>
      <c r="AC111" s="3">
        <f t="shared" si="198"/>
        <v>1.6885714285714297</v>
      </c>
      <c r="AD111" s="3">
        <f t="shared" si="191"/>
        <v>1.6885714285714286</v>
      </c>
      <c r="AE111" s="3">
        <f t="shared" si="192"/>
        <v>2.2514285714285713</v>
      </c>
      <c r="AG111" t="s">
        <v>12</v>
      </c>
      <c r="AH111" s="3"/>
      <c r="AI111" s="3">
        <f t="shared" si="199"/>
        <v>0.91464285714285765</v>
      </c>
      <c r="AJ111" s="3">
        <f t="shared" si="193"/>
        <v>-2.0403571428571445</v>
      </c>
      <c r="AK111" s="3">
        <f t="shared" si="200"/>
        <v>-0.21107142857142744</v>
      </c>
    </row>
    <row r="112" spans="1:37" x14ac:dyDescent="0.25">
      <c r="A112" t="s">
        <v>13</v>
      </c>
      <c r="B112" s="3"/>
      <c r="C112" s="3">
        <f t="shared" si="194"/>
        <v>1.899642857142857</v>
      </c>
      <c r="D112" s="3">
        <f t="shared" si="186"/>
        <v>0.42214285714285743</v>
      </c>
      <c r="E112" s="3">
        <f t="shared" si="186"/>
        <v>2.0638095238095242</v>
      </c>
      <c r="G112" t="s">
        <v>13</v>
      </c>
      <c r="H112" s="3"/>
      <c r="I112" s="3">
        <f t="shared" si="195"/>
        <v>1.6885714285714297</v>
      </c>
      <c r="J112" s="3">
        <f t="shared" si="187"/>
        <v>1.125714285714285</v>
      </c>
      <c r="K112" s="3">
        <f t="shared" si="187"/>
        <v>1.125714285714285</v>
      </c>
      <c r="M112" t="s">
        <v>13</v>
      </c>
      <c r="N112" s="3"/>
      <c r="O112" s="3">
        <f t="shared" si="196"/>
        <v>1.4775000000000003</v>
      </c>
      <c r="P112" s="3">
        <f t="shared" si="188"/>
        <v>-0.91464285714285865</v>
      </c>
      <c r="Q112" s="3">
        <f t="shared" si="188"/>
        <v>-1.8996428571428561</v>
      </c>
      <c r="R112" s="3"/>
      <c r="S112" s="4"/>
      <c r="U112" t="s">
        <v>13</v>
      </c>
      <c r="V112" s="3"/>
      <c r="W112" s="3">
        <f t="shared" si="197"/>
        <v>1.899642857142857</v>
      </c>
      <c r="X112" s="3">
        <f t="shared" ref="X112" si="204">(W$23-X10)/7</f>
        <v>0.42214285714285743</v>
      </c>
      <c r="Y112" s="3">
        <f t="shared" si="203"/>
        <v>2.0638095238095242</v>
      </c>
      <c r="AA112" t="s">
        <v>13</v>
      </c>
      <c r="AB112" s="3"/>
      <c r="AC112" s="3">
        <f t="shared" si="198"/>
        <v>1.6885714285714297</v>
      </c>
      <c r="AD112" s="3">
        <f t="shared" si="191"/>
        <v>1.125714285714285</v>
      </c>
      <c r="AE112" s="3">
        <f t="shared" si="192"/>
        <v>1.125714285714285</v>
      </c>
      <c r="AG112" t="s">
        <v>13</v>
      </c>
      <c r="AH112" s="3"/>
      <c r="AI112" s="3">
        <f t="shared" si="199"/>
        <v>1.4775000000000003</v>
      </c>
      <c r="AJ112" s="3">
        <f t="shared" si="193"/>
        <v>-0.91464285714285865</v>
      </c>
      <c r="AK112" s="3">
        <f t="shared" si="200"/>
        <v>-1.8996428571428561</v>
      </c>
    </row>
    <row r="113" spans="1:37" x14ac:dyDescent="0.25">
      <c r="A113" t="s">
        <v>5</v>
      </c>
      <c r="C113" s="3"/>
      <c r="D113" s="3"/>
      <c r="E113" s="3"/>
      <c r="G113" t="s">
        <v>5</v>
      </c>
      <c r="I113" s="3"/>
      <c r="J113" s="3"/>
      <c r="K113" s="3"/>
      <c r="M113" t="s">
        <v>5</v>
      </c>
      <c r="O113" s="3"/>
      <c r="P113" s="3"/>
      <c r="Q113" s="3"/>
      <c r="R113" s="3"/>
      <c r="S113" s="4"/>
      <c r="U113" t="s">
        <v>5</v>
      </c>
      <c r="W113" s="3"/>
      <c r="X113" s="3"/>
      <c r="Y113" s="3"/>
      <c r="AA113" t="s">
        <v>5</v>
      </c>
      <c r="AC113" s="3"/>
      <c r="AD113" s="3"/>
      <c r="AE113" s="3"/>
      <c r="AG113" t="s">
        <v>5</v>
      </c>
      <c r="AI113" s="3"/>
      <c r="AJ113" s="3"/>
      <c r="AK113" s="3"/>
    </row>
    <row r="114" spans="1:37" x14ac:dyDescent="0.25">
      <c r="A114" t="s">
        <v>7</v>
      </c>
      <c r="C114" s="3"/>
      <c r="D114" s="3"/>
      <c r="E114" s="3"/>
      <c r="G114" t="s">
        <v>7</v>
      </c>
      <c r="I114" s="3"/>
      <c r="J114" s="3"/>
      <c r="K114" s="3"/>
      <c r="M114" t="s">
        <v>7</v>
      </c>
      <c r="O114" s="3"/>
      <c r="P114" s="3"/>
      <c r="Q114" s="3"/>
      <c r="R114" s="3"/>
      <c r="S114" s="4"/>
      <c r="U114" t="s">
        <v>7</v>
      </c>
      <c r="W114" s="3"/>
      <c r="X114" s="3"/>
      <c r="Y114" s="3"/>
      <c r="AA114" t="s">
        <v>7</v>
      </c>
      <c r="AC114" s="3"/>
      <c r="AD114" s="3"/>
      <c r="AE114" s="3"/>
      <c r="AG114" t="s">
        <v>7</v>
      </c>
      <c r="AI114" s="3"/>
      <c r="AJ114" s="3"/>
      <c r="AK114" s="3"/>
    </row>
    <row r="115" spans="1:37" x14ac:dyDescent="0.25">
      <c r="A115" t="s">
        <v>8</v>
      </c>
      <c r="C115" s="3"/>
      <c r="D115" s="3"/>
      <c r="E115" s="3"/>
      <c r="G115" t="s">
        <v>8</v>
      </c>
      <c r="I115" s="3"/>
      <c r="J115" s="3"/>
      <c r="K115" s="3"/>
      <c r="M115" t="s">
        <v>8</v>
      </c>
      <c r="O115" s="3"/>
      <c r="P115" s="3"/>
      <c r="Q115" s="3"/>
      <c r="R115" s="3"/>
      <c r="S115" s="4"/>
      <c r="U115" t="s">
        <v>8</v>
      </c>
      <c r="W115" s="3"/>
      <c r="X115" s="3"/>
      <c r="Y115" s="3"/>
      <c r="AA115" t="s">
        <v>8</v>
      </c>
      <c r="AC115" s="3"/>
      <c r="AD115" s="3"/>
      <c r="AE115" s="3"/>
      <c r="AG115" t="s">
        <v>8</v>
      </c>
      <c r="AI115" s="3"/>
      <c r="AJ115" s="3"/>
      <c r="AK115" s="3"/>
    </row>
    <row r="116" spans="1:37" x14ac:dyDescent="0.25">
      <c r="A116" t="s">
        <v>9</v>
      </c>
      <c r="C116" s="3"/>
      <c r="D116" s="3"/>
      <c r="E116" s="3"/>
      <c r="G116" t="s">
        <v>9</v>
      </c>
      <c r="I116" s="3"/>
      <c r="J116" s="3"/>
      <c r="K116" s="3"/>
      <c r="M116" t="s">
        <v>9</v>
      </c>
      <c r="O116" s="3"/>
      <c r="P116" s="3"/>
      <c r="Q116" s="3"/>
      <c r="R116" s="3"/>
      <c r="S116" s="4"/>
      <c r="U116" t="s">
        <v>9</v>
      </c>
      <c r="W116" s="3"/>
      <c r="X116" s="3"/>
      <c r="Y116" s="3"/>
      <c r="AA116" t="s">
        <v>9</v>
      </c>
      <c r="AC116" s="3"/>
      <c r="AD116" s="3"/>
      <c r="AE116" s="3"/>
      <c r="AG116" t="s">
        <v>9</v>
      </c>
      <c r="AI116" s="3"/>
      <c r="AJ116" s="3"/>
      <c r="AK116" s="3"/>
    </row>
    <row r="117" spans="1:37" x14ac:dyDescent="0.25">
      <c r="A117" t="s">
        <v>10</v>
      </c>
      <c r="C117" s="3"/>
      <c r="D117" s="3"/>
      <c r="E117" s="3"/>
      <c r="G117" t="s">
        <v>10</v>
      </c>
      <c r="I117" s="3"/>
      <c r="J117" s="3"/>
      <c r="K117" s="3"/>
      <c r="M117" t="s">
        <v>10</v>
      </c>
      <c r="O117" s="3"/>
      <c r="P117" s="3"/>
      <c r="Q117" s="3"/>
      <c r="R117" s="3"/>
      <c r="S117" s="4"/>
      <c r="U117" t="s">
        <v>10</v>
      </c>
      <c r="W117" s="3"/>
      <c r="X117" s="3"/>
      <c r="Y117" s="3"/>
      <c r="AA117" t="s">
        <v>10</v>
      </c>
      <c r="AC117" s="3"/>
      <c r="AD117" s="3"/>
      <c r="AE117" s="3"/>
      <c r="AG117" t="s">
        <v>10</v>
      </c>
      <c r="AI117" s="3"/>
      <c r="AJ117" s="3"/>
      <c r="AK117" s="3"/>
    </row>
    <row r="118" spans="1:37" x14ac:dyDescent="0.25">
      <c r="A118" t="s">
        <v>11</v>
      </c>
      <c r="C118" s="3"/>
      <c r="D118" s="3"/>
      <c r="E118" s="3"/>
      <c r="G118" t="s">
        <v>11</v>
      </c>
      <c r="I118" s="3"/>
      <c r="J118" s="3"/>
      <c r="K118" s="3"/>
      <c r="M118" t="s">
        <v>11</v>
      </c>
      <c r="O118" s="3"/>
      <c r="P118" s="3"/>
      <c r="Q118" s="3"/>
      <c r="R118" s="3"/>
      <c r="S118" s="4"/>
      <c r="U118" t="s">
        <v>11</v>
      </c>
      <c r="W118" s="3"/>
      <c r="X118" s="3"/>
      <c r="Y118" s="3"/>
      <c r="AA118" t="s">
        <v>11</v>
      </c>
      <c r="AC118" s="3"/>
      <c r="AD118" s="3"/>
      <c r="AE118" s="3"/>
      <c r="AG118" t="s">
        <v>11</v>
      </c>
      <c r="AI118" s="3"/>
      <c r="AJ118" s="3"/>
      <c r="AK118" s="3"/>
    </row>
    <row r="119" spans="1:37" x14ac:dyDescent="0.25">
      <c r="A119" t="s">
        <v>12</v>
      </c>
      <c r="C119" s="3"/>
      <c r="D119" s="3"/>
      <c r="E119" s="3"/>
      <c r="G119" t="s">
        <v>12</v>
      </c>
      <c r="I119" s="3"/>
      <c r="J119" s="3"/>
      <c r="K119" s="3"/>
      <c r="M119" t="s">
        <v>12</v>
      </c>
      <c r="O119" s="3"/>
      <c r="P119" s="3"/>
      <c r="Q119" s="3"/>
      <c r="R119" s="3"/>
      <c r="S119" s="4"/>
      <c r="U119" t="s">
        <v>12</v>
      </c>
      <c r="W119" s="3"/>
      <c r="X119" s="3"/>
      <c r="Y119" s="3"/>
      <c r="AA119" t="s">
        <v>12</v>
      </c>
      <c r="AC119" s="3"/>
      <c r="AD119" s="3"/>
      <c r="AE119" s="3"/>
      <c r="AG119" t="s">
        <v>12</v>
      </c>
      <c r="AI119" s="3"/>
      <c r="AJ119" s="3"/>
      <c r="AK119" s="3"/>
    </row>
    <row r="120" spans="1:37" x14ac:dyDescent="0.25">
      <c r="A120" t="s">
        <v>13</v>
      </c>
      <c r="C120" s="3"/>
      <c r="D120" s="3"/>
      <c r="E120" s="3"/>
      <c r="G120" t="s">
        <v>13</v>
      </c>
      <c r="I120" s="3"/>
      <c r="J120" s="3"/>
      <c r="K120" s="3"/>
      <c r="M120" t="s">
        <v>13</v>
      </c>
      <c r="O120" s="3"/>
      <c r="P120" s="3"/>
      <c r="Q120" s="3"/>
      <c r="R120" s="3"/>
      <c r="S120" s="4"/>
      <c r="U120" t="s">
        <v>13</v>
      </c>
      <c r="W120" s="3"/>
      <c r="X120" s="3"/>
      <c r="Y120" s="3"/>
      <c r="AA120" t="s">
        <v>13</v>
      </c>
      <c r="AC120" s="3"/>
      <c r="AD120" s="3"/>
      <c r="AE120" s="3"/>
      <c r="AG120" t="s">
        <v>13</v>
      </c>
      <c r="AI120" s="3"/>
      <c r="AJ120" s="3"/>
      <c r="AK120" s="3"/>
    </row>
    <row r="121" spans="1:37" x14ac:dyDescent="0.25">
      <c r="A121" s="2"/>
      <c r="B121" s="2"/>
      <c r="C121" s="2"/>
      <c r="D121" s="2"/>
      <c r="E121" s="2"/>
      <c r="G121" s="2"/>
      <c r="H121" s="2"/>
      <c r="I121" s="2"/>
      <c r="J121" s="2"/>
      <c r="K121" s="2"/>
      <c r="M121" s="2"/>
      <c r="N121" s="2"/>
      <c r="O121" s="2"/>
      <c r="P121" s="2"/>
      <c r="Q121" s="2"/>
      <c r="R121" s="3"/>
      <c r="S121" s="4"/>
      <c r="U121" s="2"/>
      <c r="V121" s="2"/>
      <c r="W121" s="2"/>
      <c r="X121" s="2"/>
      <c r="Y121" s="2"/>
      <c r="AA121" s="2"/>
      <c r="AB121" s="2"/>
      <c r="AC121" s="2"/>
      <c r="AD121" s="2"/>
      <c r="AE121" s="2"/>
      <c r="AG121" s="2"/>
      <c r="AH121" s="2"/>
      <c r="AI121" s="2"/>
      <c r="AJ121" s="2"/>
      <c r="AK121" s="2"/>
    </row>
    <row r="122" spans="1:37" x14ac:dyDescent="0.25">
      <c r="A122" t="s">
        <v>14</v>
      </c>
      <c r="B122">
        <f>COUNT(B105:B120)</f>
        <v>0</v>
      </c>
      <c r="C122">
        <f t="shared" ref="C122:E122" si="205">COUNT(C105:C120)</f>
        <v>8</v>
      </c>
      <c r="D122">
        <f t="shared" si="205"/>
        <v>6</v>
      </c>
      <c r="E122">
        <f t="shared" si="205"/>
        <v>5</v>
      </c>
      <c r="G122" t="s">
        <v>14</v>
      </c>
      <c r="H122">
        <f>COUNT(H105:H120)</f>
        <v>0</v>
      </c>
      <c r="I122">
        <f t="shared" ref="I122:K122" si="206">COUNT(I105:I120)</f>
        <v>8</v>
      </c>
      <c r="J122">
        <f t="shared" si="206"/>
        <v>8</v>
      </c>
      <c r="K122">
        <f t="shared" si="206"/>
        <v>8</v>
      </c>
      <c r="M122" t="s">
        <v>14</v>
      </c>
      <c r="N122">
        <f>COUNT(N105:N120)</f>
        <v>0</v>
      </c>
      <c r="O122">
        <f t="shared" ref="O122:Q122" si="207">COUNT(O105:O120)</f>
        <v>8</v>
      </c>
      <c r="P122">
        <f t="shared" si="207"/>
        <v>8</v>
      </c>
      <c r="Q122">
        <f t="shared" si="207"/>
        <v>8</v>
      </c>
      <c r="R122" s="3"/>
      <c r="S122" s="4"/>
      <c r="U122" t="s">
        <v>14</v>
      </c>
      <c r="V122">
        <f>COUNT(V105:V120)</f>
        <v>0</v>
      </c>
      <c r="W122">
        <f t="shared" ref="W122:Y122" si="208">COUNT(W105:W120)</f>
        <v>8</v>
      </c>
      <c r="X122">
        <f t="shared" si="208"/>
        <v>6</v>
      </c>
      <c r="Y122">
        <f t="shared" si="208"/>
        <v>5</v>
      </c>
      <c r="AA122" t="s">
        <v>14</v>
      </c>
      <c r="AB122">
        <f>COUNT(AB105:AB120)</f>
        <v>0</v>
      </c>
      <c r="AC122">
        <f t="shared" ref="AC122:AE122" si="209">COUNT(AC105:AC120)</f>
        <v>8</v>
      </c>
      <c r="AD122">
        <f t="shared" si="209"/>
        <v>8</v>
      </c>
      <c r="AE122">
        <f t="shared" si="209"/>
        <v>8</v>
      </c>
      <c r="AG122" t="s">
        <v>14</v>
      </c>
      <c r="AH122">
        <f>COUNT(AH105:AH120)</f>
        <v>0</v>
      </c>
      <c r="AI122">
        <f t="shared" ref="AI122:AK122" si="210">COUNT(AI105:AI120)</f>
        <v>8</v>
      </c>
      <c r="AJ122">
        <f t="shared" si="210"/>
        <v>8</v>
      </c>
      <c r="AK122">
        <f t="shared" si="210"/>
        <v>7</v>
      </c>
    </row>
    <row r="123" spans="1:37" x14ac:dyDescent="0.25">
      <c r="A123" t="s">
        <v>15</v>
      </c>
      <c r="B123">
        <f>MAX(B105:B120)</f>
        <v>0</v>
      </c>
      <c r="C123">
        <f t="shared" ref="C123:E123" si="211">MAX(C105:C120)</f>
        <v>1.899642857142857</v>
      </c>
      <c r="D123">
        <f t="shared" si="211"/>
        <v>0.98500000000000043</v>
      </c>
      <c r="E123">
        <f t="shared" si="211"/>
        <v>2.0638095238095242</v>
      </c>
      <c r="G123" t="s">
        <v>15</v>
      </c>
      <c r="H123">
        <f>MAX(H105:H120)</f>
        <v>0</v>
      </c>
      <c r="I123">
        <f t="shared" ref="I123:K123" si="212">MAX(I105:I120)</f>
        <v>4.5028571428571444</v>
      </c>
      <c r="J123">
        <f t="shared" si="212"/>
        <v>1.6885714285714286</v>
      </c>
      <c r="K123">
        <f t="shared" si="212"/>
        <v>2.2514285714285713</v>
      </c>
      <c r="M123" t="s">
        <v>15</v>
      </c>
      <c r="N123">
        <f>MAX(N105:N120)</f>
        <v>0</v>
      </c>
      <c r="O123">
        <f t="shared" ref="O123:Q123" si="213">MAX(O105:O120)</f>
        <v>2.0403571428571428</v>
      </c>
      <c r="P123">
        <f t="shared" si="213"/>
        <v>2.4624999999999986</v>
      </c>
      <c r="Q123">
        <f t="shared" si="213"/>
        <v>4.291785714285715</v>
      </c>
      <c r="R123" s="3"/>
      <c r="S123" s="4"/>
      <c r="U123" t="s">
        <v>15</v>
      </c>
      <c r="V123">
        <f>MAX(V105:V120)</f>
        <v>0</v>
      </c>
      <c r="W123">
        <f t="shared" ref="W123:Y123" si="214">MAX(W105:W120)</f>
        <v>1.899642857142857</v>
      </c>
      <c r="X123">
        <f t="shared" si="214"/>
        <v>0.98500000000000043</v>
      </c>
      <c r="Y123">
        <f t="shared" si="214"/>
        <v>2.0638095238095242</v>
      </c>
      <c r="AA123" t="s">
        <v>15</v>
      </c>
      <c r="AB123">
        <f>MAX(AB105:AB120)</f>
        <v>0</v>
      </c>
      <c r="AC123">
        <f t="shared" ref="AC123:AE123" si="215">MAX(AC105:AC120)</f>
        <v>4.5028571428571444</v>
      </c>
      <c r="AD123">
        <f t="shared" si="215"/>
        <v>1.6885714285714286</v>
      </c>
      <c r="AE123">
        <f t="shared" si="215"/>
        <v>2.2514285714285713</v>
      </c>
      <c r="AG123" t="s">
        <v>15</v>
      </c>
      <c r="AH123">
        <f>MAX(AH105:AH120)</f>
        <v>0</v>
      </c>
      <c r="AI123">
        <f t="shared" ref="AI123:AK123" si="216">MAX(AI105:AI120)</f>
        <v>2.0403571428571428</v>
      </c>
      <c r="AJ123">
        <f t="shared" si="216"/>
        <v>2.4624999999999986</v>
      </c>
      <c r="AK123">
        <f t="shared" si="216"/>
        <v>0.91464285714285765</v>
      </c>
    </row>
    <row r="124" spans="1:37" x14ac:dyDescent="0.25">
      <c r="A124" t="s">
        <v>16</v>
      </c>
      <c r="B124">
        <f>MIN(B105:B120)</f>
        <v>0</v>
      </c>
      <c r="C124">
        <f t="shared" ref="C124:E124" si="217">MIN(C105:C120)</f>
        <v>-0.35178571428571509</v>
      </c>
      <c r="D124">
        <f t="shared" si="217"/>
        <v>-1.2664285714285717</v>
      </c>
      <c r="E124">
        <f t="shared" si="217"/>
        <v>-2.4390476190476185</v>
      </c>
      <c r="G124" t="s">
        <v>16</v>
      </c>
      <c r="H124">
        <f>MIN(H105:H120)</f>
        <v>0</v>
      </c>
      <c r="I124">
        <f t="shared" ref="I124:K124" si="218">MIN(I105:I120)</f>
        <v>-1.6885714285714275</v>
      </c>
      <c r="J124">
        <f t="shared" si="218"/>
        <v>-2.2514285714285722</v>
      </c>
      <c r="K124">
        <f t="shared" si="218"/>
        <v>-1.1257142857142861</v>
      </c>
      <c r="M124" t="s">
        <v>16</v>
      </c>
      <c r="N124">
        <f>MIN(N105:N120)</f>
        <v>0</v>
      </c>
      <c r="O124">
        <f t="shared" ref="O124:Q124" si="219">MIN(O105:O120)</f>
        <v>0.35178571428571409</v>
      </c>
      <c r="P124">
        <f t="shared" si="219"/>
        <v>-2.0403571428571445</v>
      </c>
      <c r="Q124">
        <f t="shared" si="219"/>
        <v>-1.8996428571428561</v>
      </c>
      <c r="S124" s="4"/>
      <c r="U124" t="s">
        <v>16</v>
      </c>
      <c r="V124">
        <f>MIN(V105:V120)</f>
        <v>0</v>
      </c>
      <c r="W124">
        <f t="shared" ref="W124:Y124" si="220">MIN(W105:W120)</f>
        <v>-0.35178571428571509</v>
      </c>
      <c r="X124">
        <f t="shared" si="220"/>
        <v>-1.2664285714285717</v>
      </c>
      <c r="Y124">
        <f t="shared" si="220"/>
        <v>-2.4390476190476185</v>
      </c>
      <c r="AA124" t="s">
        <v>16</v>
      </c>
      <c r="AB124">
        <f>MIN(AB105:AB120)</f>
        <v>0</v>
      </c>
      <c r="AC124">
        <f t="shared" ref="AC124:AE124" si="221">MIN(AC105:AC120)</f>
        <v>-1.6885714285714275</v>
      </c>
      <c r="AD124">
        <f t="shared" si="221"/>
        <v>-2.2514285714285722</v>
      </c>
      <c r="AE124">
        <f t="shared" si="221"/>
        <v>-1.1257142857142861</v>
      </c>
      <c r="AG124" t="s">
        <v>16</v>
      </c>
      <c r="AH124">
        <f>MIN(AH105:AH120)</f>
        <v>0</v>
      </c>
      <c r="AI124">
        <f t="shared" ref="AI124:AK124" si="222">MIN(AI105:AI120)</f>
        <v>0.35178571428571409</v>
      </c>
      <c r="AJ124">
        <f t="shared" si="222"/>
        <v>-2.0403571428571445</v>
      </c>
      <c r="AK124">
        <f t="shared" si="222"/>
        <v>-1.8996428571428561</v>
      </c>
    </row>
    <row r="125" spans="1:37" x14ac:dyDescent="0.25">
      <c r="A125" t="s">
        <v>17</v>
      </c>
      <c r="B125" t="e">
        <f>AVERAGE(B105:B120)</f>
        <v>#DIV/0!</v>
      </c>
      <c r="C125">
        <f t="shared" ref="C125:E125" si="223">AVERAGE(C105:C120)</f>
        <v>0.91464285714285687</v>
      </c>
      <c r="D125">
        <f t="shared" si="223"/>
        <v>4.6904761904762081E-2</v>
      </c>
      <c r="E125">
        <f t="shared" si="223"/>
        <v>0.37523809523809559</v>
      </c>
      <c r="G125" t="s">
        <v>17</v>
      </c>
      <c r="H125" t="e">
        <f>AVERAGE(H105:H120)</f>
        <v>#DIV/0!</v>
      </c>
      <c r="I125">
        <f t="shared" ref="I125:K125" si="224">AVERAGE(I105:I120)</f>
        <v>1.125714285714287</v>
      </c>
      <c r="J125">
        <f t="shared" si="224"/>
        <v>-4.4408920985006262E-16</v>
      </c>
      <c r="K125">
        <f t="shared" si="224"/>
        <v>0.70357142857142829</v>
      </c>
      <c r="M125" t="s">
        <v>17</v>
      </c>
      <c r="N125" t="e">
        <f>AVERAGE(N105:N120)</f>
        <v>#DIV/0!</v>
      </c>
      <c r="O125">
        <f t="shared" ref="O125:Q125" si="225">AVERAGE(O105:O120)</f>
        <v>1.2664285714285717</v>
      </c>
      <c r="P125">
        <f t="shared" si="225"/>
        <v>0.42214285714285582</v>
      </c>
      <c r="Q125">
        <f t="shared" si="225"/>
        <v>7.0357142857143701E-2</v>
      </c>
      <c r="S125" s="4"/>
      <c r="U125" t="s">
        <v>17</v>
      </c>
      <c r="V125" t="e">
        <f>AVERAGE(V105:V120)</f>
        <v>#DIV/0!</v>
      </c>
      <c r="W125">
        <f t="shared" ref="W125:Y125" si="226">AVERAGE(W105:W120)</f>
        <v>0.91464285714285687</v>
      </c>
      <c r="X125">
        <f t="shared" si="226"/>
        <v>4.6904761904762081E-2</v>
      </c>
      <c r="Y125">
        <f t="shared" si="226"/>
        <v>0.37523809523809559</v>
      </c>
      <c r="AA125" t="s">
        <v>17</v>
      </c>
      <c r="AB125" t="e">
        <f>AVERAGE(AB105:AB120)</f>
        <v>#DIV/0!</v>
      </c>
      <c r="AC125">
        <f t="shared" ref="AC125:AE125" si="227">AVERAGE(AC105:AC120)</f>
        <v>1.125714285714287</v>
      </c>
      <c r="AD125">
        <f t="shared" si="227"/>
        <v>-4.4408920985006262E-16</v>
      </c>
      <c r="AE125">
        <f t="shared" si="227"/>
        <v>0.70357142857142829</v>
      </c>
      <c r="AG125" t="s">
        <v>17</v>
      </c>
      <c r="AH125" t="e">
        <f>AVERAGE(AH105:AH120)</f>
        <v>#DIV/0!</v>
      </c>
      <c r="AI125">
        <f t="shared" ref="AI125:AK125" si="228">AVERAGE(AI105:AI120)</f>
        <v>1.2664285714285717</v>
      </c>
      <c r="AJ125">
        <f t="shared" si="228"/>
        <v>0.42214285714285582</v>
      </c>
      <c r="AK125">
        <f t="shared" si="228"/>
        <v>-0.53270408163265226</v>
      </c>
    </row>
    <row r="126" spans="1:37" x14ac:dyDescent="0.25">
      <c r="A126" t="s">
        <v>18</v>
      </c>
      <c r="B126" t="e">
        <f>STDEV(B105:B120)</f>
        <v>#DIV/0!</v>
      </c>
      <c r="C126">
        <f t="shared" ref="C126:E126" si="229">STDEV(C105:C120)</f>
        <v>0.98643481503587904</v>
      </c>
      <c r="D126">
        <f t="shared" si="229"/>
        <v>0.7690092574834444</v>
      </c>
      <c r="E126">
        <f t="shared" si="229"/>
        <v>1.9087414381081111</v>
      </c>
      <c r="G126" t="s">
        <v>18</v>
      </c>
      <c r="H126" t="e">
        <f>STDEV(H105:H120)</f>
        <v>#DIV/0!</v>
      </c>
      <c r="I126">
        <f t="shared" ref="I126:K126" si="230">STDEV(I105:I120)</f>
        <v>1.9497943376632503</v>
      </c>
      <c r="J126">
        <f t="shared" si="230"/>
        <v>1.4739059786225315</v>
      </c>
      <c r="K126">
        <f t="shared" si="230"/>
        <v>1.4350097773968264</v>
      </c>
      <c r="M126" t="s">
        <v>18</v>
      </c>
      <c r="N126" t="e">
        <f>STDEV(N105:N120)</f>
        <v>#DIV/0!</v>
      </c>
      <c r="O126">
        <f t="shared" ref="O126:Q126" si="231">STDEV(O105:O120)</f>
        <v>0.51564771462469206</v>
      </c>
      <c r="P126">
        <f t="shared" si="231"/>
        <v>1.4719855791377523</v>
      </c>
      <c r="Q126">
        <f t="shared" si="231"/>
        <v>1.9497943376632503</v>
      </c>
      <c r="S126" s="4"/>
      <c r="U126" t="s">
        <v>18</v>
      </c>
      <c r="V126" t="e">
        <f>STDEV(V105:V120)</f>
        <v>#DIV/0!</v>
      </c>
      <c r="W126">
        <f t="shared" ref="W126:Y126" si="232">STDEV(W105:W120)</f>
        <v>0.98643481503587904</v>
      </c>
      <c r="X126">
        <f t="shared" si="232"/>
        <v>0.7690092574834444</v>
      </c>
      <c r="Y126">
        <f t="shared" si="232"/>
        <v>1.9087414381081111</v>
      </c>
      <c r="AA126" t="s">
        <v>18</v>
      </c>
      <c r="AB126" t="e">
        <f>STDEV(AB105:AB120)</f>
        <v>#DIV/0!</v>
      </c>
      <c r="AC126">
        <f t="shared" ref="AC126:AE126" si="233">STDEV(AC105:AC120)</f>
        <v>1.9497943376632503</v>
      </c>
      <c r="AD126">
        <f t="shared" si="233"/>
        <v>1.4739059786225315</v>
      </c>
      <c r="AE126">
        <f t="shared" si="233"/>
        <v>1.4350097773968264</v>
      </c>
      <c r="AG126" t="s">
        <v>18</v>
      </c>
      <c r="AH126" t="e">
        <f>STDEV(AH105:AH120)</f>
        <v>#DIV/0!</v>
      </c>
      <c r="AI126">
        <f t="shared" ref="AI126:AK126" si="234">STDEV(AI105:AI120)</f>
        <v>0.51564771462469206</v>
      </c>
      <c r="AJ126">
        <f t="shared" si="234"/>
        <v>1.4719855791377523</v>
      </c>
      <c r="AK126">
        <f t="shared" si="234"/>
        <v>1.0202652144769613</v>
      </c>
    </row>
    <row r="127" spans="1:37" x14ac:dyDescent="0.25">
      <c r="A127" t="s">
        <v>19</v>
      </c>
      <c r="B127" t="e">
        <f>B125+2*B126</f>
        <v>#DIV/0!</v>
      </c>
      <c r="C127">
        <f t="shared" ref="C127:E127" si="235">C125+2*C126</f>
        <v>2.887512487214615</v>
      </c>
      <c r="D127">
        <f t="shared" si="235"/>
        <v>1.5849232768716508</v>
      </c>
      <c r="E127">
        <f t="shared" si="235"/>
        <v>4.1927209714543174</v>
      </c>
      <c r="G127" t="s">
        <v>19</v>
      </c>
      <c r="H127" t="e">
        <f>H125+2*H126</f>
        <v>#DIV/0!</v>
      </c>
      <c r="I127">
        <f t="shared" ref="I127:K127" si="236">I125+2*I126</f>
        <v>5.0253029610407873</v>
      </c>
      <c r="J127">
        <f t="shared" si="236"/>
        <v>2.9478119572450625</v>
      </c>
      <c r="K127">
        <f t="shared" si="236"/>
        <v>3.5735909833650812</v>
      </c>
      <c r="M127" t="s">
        <v>19</v>
      </c>
      <c r="N127" t="e">
        <f>N125+2*N126</f>
        <v>#DIV/0!</v>
      </c>
      <c r="O127">
        <f t="shared" ref="O127:Q127" si="237">O125+2*O126</f>
        <v>2.297724000677956</v>
      </c>
      <c r="P127">
        <f t="shared" si="237"/>
        <v>3.3661140154183604</v>
      </c>
      <c r="Q127">
        <f t="shared" si="237"/>
        <v>3.9699458181836444</v>
      </c>
      <c r="S127" s="4"/>
      <c r="U127" t="s">
        <v>19</v>
      </c>
      <c r="V127" t="e">
        <f>V125+2*V126</f>
        <v>#DIV/0!</v>
      </c>
      <c r="W127">
        <f t="shared" ref="W127:Y127" si="238">W125+2*W126</f>
        <v>2.887512487214615</v>
      </c>
      <c r="X127">
        <f t="shared" si="238"/>
        <v>1.5849232768716508</v>
      </c>
      <c r="Y127">
        <f t="shared" si="238"/>
        <v>4.1927209714543174</v>
      </c>
      <c r="AA127" t="s">
        <v>19</v>
      </c>
      <c r="AB127" t="e">
        <f>AB125+2*AB126</f>
        <v>#DIV/0!</v>
      </c>
      <c r="AC127">
        <f t="shared" ref="AC127:AE127" si="239">AC125+2*AC126</f>
        <v>5.0253029610407873</v>
      </c>
      <c r="AD127">
        <f t="shared" si="239"/>
        <v>2.9478119572450625</v>
      </c>
      <c r="AE127">
        <f t="shared" si="239"/>
        <v>3.5735909833650812</v>
      </c>
      <c r="AG127" t="s">
        <v>19</v>
      </c>
      <c r="AH127" t="e">
        <f>AH125+2*AH126</f>
        <v>#DIV/0!</v>
      </c>
      <c r="AI127">
        <f t="shared" ref="AI127:AK127" si="240">AI125+2*AI126</f>
        <v>2.297724000677956</v>
      </c>
      <c r="AJ127">
        <f t="shared" si="240"/>
        <v>3.3661140154183604</v>
      </c>
      <c r="AK127">
        <f t="shared" si="240"/>
        <v>1.5078263473212703</v>
      </c>
    </row>
    <row r="128" spans="1:37" x14ac:dyDescent="0.25">
      <c r="A128" t="s">
        <v>20</v>
      </c>
      <c r="B128" t="e">
        <f>B125-2*B126</f>
        <v>#DIV/0!</v>
      </c>
      <c r="C128">
        <f t="shared" ref="C128:E128" si="241">C125-2*C126</f>
        <v>-1.0582267729289012</v>
      </c>
      <c r="D128">
        <f t="shared" si="241"/>
        <v>-1.4911137530621268</v>
      </c>
      <c r="E128">
        <f t="shared" si="241"/>
        <v>-3.4422447809781267</v>
      </c>
      <c r="G128" t="s">
        <v>20</v>
      </c>
      <c r="H128" t="e">
        <f>H125-2*H126</f>
        <v>#DIV/0!</v>
      </c>
      <c r="I128">
        <f t="shared" ref="I128:K128" si="242">I125-2*I126</f>
        <v>-2.7738743896122138</v>
      </c>
      <c r="J128">
        <f t="shared" si="242"/>
        <v>-2.9478119572450634</v>
      </c>
      <c r="K128">
        <f t="shared" si="242"/>
        <v>-2.1664481262222246</v>
      </c>
      <c r="M128" t="s">
        <v>20</v>
      </c>
      <c r="N128" t="e">
        <f>N125-2*N126</f>
        <v>#DIV/0!</v>
      </c>
      <c r="O128">
        <f t="shared" ref="O128:Q128" si="243">O125-2*O126</f>
        <v>0.23513314217918757</v>
      </c>
      <c r="P128">
        <f t="shared" si="243"/>
        <v>-2.5218283011326488</v>
      </c>
      <c r="Q128">
        <f t="shared" si="243"/>
        <v>-3.8292315324693567</v>
      </c>
      <c r="S128" s="4"/>
      <c r="U128" t="s">
        <v>20</v>
      </c>
      <c r="V128" t="e">
        <f>V125-2*V126</f>
        <v>#DIV/0!</v>
      </c>
      <c r="W128">
        <f t="shared" ref="W128:Y128" si="244">W125-2*W126</f>
        <v>-1.0582267729289012</v>
      </c>
      <c r="X128">
        <f t="shared" si="244"/>
        <v>-1.4911137530621268</v>
      </c>
      <c r="Y128">
        <f t="shared" si="244"/>
        <v>-3.4422447809781267</v>
      </c>
      <c r="AA128" t="s">
        <v>20</v>
      </c>
      <c r="AB128" t="e">
        <f>AB125-2*AB126</f>
        <v>#DIV/0!</v>
      </c>
      <c r="AC128">
        <f t="shared" ref="AC128:AE128" si="245">AC125-2*AC126</f>
        <v>-2.7738743896122138</v>
      </c>
      <c r="AD128">
        <f t="shared" si="245"/>
        <v>-2.9478119572450634</v>
      </c>
      <c r="AE128">
        <f t="shared" si="245"/>
        <v>-2.1664481262222246</v>
      </c>
      <c r="AG128" t="s">
        <v>20</v>
      </c>
      <c r="AH128" t="e">
        <f>AH125-2*AH126</f>
        <v>#DIV/0!</v>
      </c>
      <c r="AI128">
        <f t="shared" ref="AI128:AK128" si="246">AI125-2*AI126</f>
        <v>0.23513314217918757</v>
      </c>
      <c r="AJ128">
        <f t="shared" si="246"/>
        <v>-2.5218283011326488</v>
      </c>
      <c r="AK128">
        <f t="shared" si="246"/>
        <v>-2.573234510586575</v>
      </c>
    </row>
    <row r="129" spans="1:37" x14ac:dyDescent="0.25">
      <c r="A129" t="s">
        <v>21</v>
      </c>
      <c r="B129" t="e">
        <f>VAR(B105:B120)</f>
        <v>#DIV/0!</v>
      </c>
      <c r="C129">
        <f t="shared" ref="C129:E129" si="247">VAR(C105:C120)</f>
        <v>0.97305364431486885</v>
      </c>
      <c r="D129">
        <f t="shared" si="247"/>
        <v>0.59137523809523851</v>
      </c>
      <c r="E129">
        <f t="shared" si="247"/>
        <v>3.6432938775510206</v>
      </c>
      <c r="G129" t="s">
        <v>21</v>
      </c>
      <c r="H129" t="e">
        <f>VAR(H105:H120)</f>
        <v>#DIV/0!</v>
      </c>
      <c r="I129">
        <f t="shared" ref="I129:K129" si="248">VAR(I105:I120)</f>
        <v>3.8016979591836733</v>
      </c>
      <c r="J129">
        <f t="shared" si="248"/>
        <v>2.1723988338192424</v>
      </c>
      <c r="K129">
        <f t="shared" si="248"/>
        <v>2.0592530612244895</v>
      </c>
      <c r="M129" t="s">
        <v>21</v>
      </c>
      <c r="N129" t="e">
        <f>VAR(N105:N120)</f>
        <v>#DIV/0!</v>
      </c>
      <c r="O129">
        <f t="shared" ref="O129:Q129" si="249">VAR(O105:O120)</f>
        <v>0.26589256559766788</v>
      </c>
      <c r="P129">
        <f t="shared" si="249"/>
        <v>2.1667415451895042</v>
      </c>
      <c r="Q129">
        <f t="shared" si="249"/>
        <v>3.8016979591836728</v>
      </c>
      <c r="S129" s="4"/>
      <c r="U129" t="s">
        <v>21</v>
      </c>
      <c r="V129" t="e">
        <f>VAR(V105:V120)</f>
        <v>#DIV/0!</v>
      </c>
      <c r="W129">
        <f t="shared" ref="W129:Y129" si="250">VAR(W105:W120)</f>
        <v>0.97305364431486885</v>
      </c>
      <c r="X129">
        <f t="shared" si="250"/>
        <v>0.59137523809523851</v>
      </c>
      <c r="Y129">
        <f t="shared" si="250"/>
        <v>3.6432938775510206</v>
      </c>
      <c r="AA129" t="s">
        <v>21</v>
      </c>
      <c r="AB129" t="e">
        <f>VAR(AB105:AB120)</f>
        <v>#DIV/0!</v>
      </c>
      <c r="AC129">
        <f t="shared" ref="AC129:AE129" si="251">VAR(AC105:AC120)</f>
        <v>3.8016979591836733</v>
      </c>
      <c r="AD129">
        <f t="shared" si="251"/>
        <v>2.1723988338192424</v>
      </c>
      <c r="AE129">
        <f t="shared" si="251"/>
        <v>2.0592530612244895</v>
      </c>
      <c r="AG129" t="s">
        <v>21</v>
      </c>
      <c r="AH129" t="e">
        <f>VAR(AH105:AH120)</f>
        <v>#DIV/0!</v>
      </c>
      <c r="AI129">
        <f t="shared" ref="AI129:AK129" si="252">VAR(AI105:AI120)</f>
        <v>0.26589256559766788</v>
      </c>
      <c r="AJ129">
        <f t="shared" si="252"/>
        <v>2.1667415451895042</v>
      </c>
      <c r="AK129">
        <f t="shared" si="252"/>
        <v>1.0409411078717199</v>
      </c>
    </row>
    <row r="130" spans="1:37" x14ac:dyDescent="0.25">
      <c r="S130" s="4"/>
    </row>
    <row r="131" spans="1:37" x14ac:dyDescent="0.25">
      <c r="A131" t="s">
        <v>22</v>
      </c>
      <c r="S131" s="4"/>
      <c r="U131" t="s">
        <v>22</v>
      </c>
    </row>
    <row r="132" spans="1:37" x14ac:dyDescent="0.25">
      <c r="A132" t="s">
        <v>1</v>
      </c>
      <c r="B132" t="e">
        <f>TTEST(B113:B120,H113:H120,2,3)</f>
        <v>#DIV/0!</v>
      </c>
      <c r="S132" s="4"/>
      <c r="U132" t="s">
        <v>1</v>
      </c>
      <c r="V132" t="e">
        <f>TTEST(V113:V120,AB113:AB120,2,3)</f>
        <v>#DIV/0!</v>
      </c>
    </row>
    <row r="133" spans="1:37" x14ac:dyDescent="0.25">
      <c r="A133" t="s">
        <v>2</v>
      </c>
      <c r="B133" t="e">
        <f>TTEST(C113:C120,I113:I120,2,3)</f>
        <v>#DIV/0!</v>
      </c>
      <c r="S133" s="4"/>
      <c r="U133" t="s">
        <v>2</v>
      </c>
      <c r="V133" t="e">
        <f>TTEST(W113:W120,AC113:AC120,2,3)</f>
        <v>#DIV/0!</v>
      </c>
    </row>
    <row r="134" spans="1:37" x14ac:dyDescent="0.25">
      <c r="A134" t="s">
        <v>3</v>
      </c>
      <c r="B134" t="e">
        <f>TTEST(D113:D120,J113:J120,2,3)</f>
        <v>#DIV/0!</v>
      </c>
      <c r="S134" s="4"/>
      <c r="U134" t="s">
        <v>3</v>
      </c>
      <c r="V134" t="e">
        <f>TTEST(X113:X120,AD113:AD120,2,3)</f>
        <v>#DIV/0!</v>
      </c>
    </row>
    <row r="135" spans="1:37" x14ac:dyDescent="0.25">
      <c r="A135" t="s">
        <v>4</v>
      </c>
      <c r="B135" t="e">
        <f>TTEST(E113:E120,K113:K120,2,3)</f>
        <v>#DIV/0!</v>
      </c>
      <c r="S135" s="4"/>
      <c r="U135" t="s">
        <v>4</v>
      </c>
      <c r="V135" t="e">
        <f>TTEST(Y113:Y120,AE113:AE120,2,3)</f>
        <v>#DIV/0!</v>
      </c>
    </row>
  </sheetData>
  <conditionalFormatting sqref="B30:B33">
    <cfRule type="cellIs" dxfId="452" priority="72" operator="lessThan">
      <formula>0.05</formula>
    </cfRule>
  </conditionalFormatting>
  <conditionalFormatting sqref="B64:B67">
    <cfRule type="cellIs" dxfId="451" priority="74" operator="lessThan">
      <formula>0.05</formula>
    </cfRule>
  </conditionalFormatting>
  <conditionalFormatting sqref="B98:B101">
    <cfRule type="cellIs" dxfId="450" priority="73" operator="lessThan">
      <formula>0.05</formula>
    </cfRule>
  </conditionalFormatting>
  <conditionalFormatting sqref="B105:B120">
    <cfRule type="cellIs" dxfId="449" priority="60" operator="greaterThan">
      <formula>B$93</formula>
    </cfRule>
    <cfRule type="cellIs" dxfId="448" priority="59" operator="lessThan">
      <formula>B$94</formula>
    </cfRule>
  </conditionalFormatting>
  <conditionalFormatting sqref="B132:B135">
    <cfRule type="cellIs" dxfId="447" priority="61" operator="lessThan">
      <formula>0.05</formula>
    </cfRule>
  </conditionalFormatting>
  <conditionalFormatting sqref="B3:E18">
    <cfRule type="cellIs" dxfId="446" priority="70" operator="lessThan">
      <formula>B$26</formula>
    </cfRule>
    <cfRule type="cellIs" dxfId="445" priority="71" operator="greaterThan">
      <formula>B$25</formula>
    </cfRule>
  </conditionalFormatting>
  <conditionalFormatting sqref="B37:E52">
    <cfRule type="cellIs" dxfId="444" priority="7" operator="lessThan">
      <formula>B$60</formula>
    </cfRule>
  </conditionalFormatting>
  <conditionalFormatting sqref="B45:E52">
    <cfRule type="cellIs" dxfId="443" priority="67" operator="greaterThan">
      <formula>B$59</formula>
    </cfRule>
  </conditionalFormatting>
  <conditionalFormatting sqref="B71:E86">
    <cfRule type="cellIs" dxfId="442" priority="65" operator="greaterThan">
      <formula>B$93</formula>
    </cfRule>
    <cfRule type="cellIs" dxfId="441" priority="64" operator="lessThan">
      <formula>B$94</formula>
    </cfRule>
  </conditionalFormatting>
  <conditionalFormatting sqref="C105:E120">
    <cfRule type="cellIs" dxfId="440" priority="58" operator="greaterThan">
      <formula>C$127</formula>
    </cfRule>
    <cfRule type="cellIs" dxfId="439" priority="57" operator="lessThan">
      <formula>C$128</formula>
    </cfRule>
  </conditionalFormatting>
  <conditionalFormatting sqref="H3:K18">
    <cfRule type="cellIs" dxfId="438" priority="69" operator="greaterThan">
      <formula>H$25</formula>
    </cfRule>
    <cfRule type="cellIs" dxfId="437" priority="68" operator="lessThan">
      <formula>H$26</formula>
    </cfRule>
  </conditionalFormatting>
  <conditionalFormatting sqref="H37:K52">
    <cfRule type="cellIs" dxfId="436" priority="8" operator="greaterThan">
      <formula>H$59</formula>
    </cfRule>
  </conditionalFormatting>
  <conditionalFormatting sqref="H45:K52">
    <cfRule type="cellIs" dxfId="435" priority="62" operator="lessThan">
      <formula>H$60</formula>
    </cfRule>
  </conditionalFormatting>
  <conditionalFormatting sqref="I71:K86">
    <cfRule type="cellIs" dxfId="434" priority="45" operator="lessThan">
      <formula>I$94</formula>
    </cfRule>
    <cfRule type="cellIs" dxfId="433" priority="46" operator="greaterThan">
      <formula>I$93</formula>
    </cfRule>
  </conditionalFormatting>
  <conditionalFormatting sqref="I105:K120">
    <cfRule type="cellIs" dxfId="432" priority="56" operator="greaterThan">
      <formula>I$127</formula>
    </cfRule>
    <cfRule type="cellIs" dxfId="431" priority="55" operator="lessThan">
      <formula>I$128</formula>
    </cfRule>
  </conditionalFormatting>
  <conditionalFormatting sqref="N3:R18 R19">
    <cfRule type="cellIs" dxfId="430" priority="52" operator="greaterThan">
      <formula>N$25</formula>
    </cfRule>
    <cfRule type="cellIs" dxfId="429" priority="51" operator="lessThan">
      <formula>N$26</formula>
    </cfRule>
  </conditionalFormatting>
  <conditionalFormatting sqref="N37:R52">
    <cfRule type="cellIs" dxfId="428" priority="6" operator="greaterThan">
      <formula>N$59</formula>
    </cfRule>
    <cfRule type="cellIs" dxfId="427" priority="5" operator="lessThan">
      <formula>N$60</formula>
    </cfRule>
  </conditionalFormatting>
  <conditionalFormatting sqref="O71:Q86">
    <cfRule type="cellIs" dxfId="426" priority="44" operator="greaterThan">
      <formula>O$93</formula>
    </cfRule>
    <cfRule type="cellIs" dxfId="425" priority="43" operator="lessThan">
      <formula>O$94</formula>
    </cfRule>
  </conditionalFormatting>
  <conditionalFormatting sqref="O105:R120 R121:R123">
    <cfRule type="cellIs" dxfId="424" priority="48" operator="greaterThan">
      <formula>O$127</formula>
    </cfRule>
    <cfRule type="cellIs" dxfId="423" priority="47" operator="lessThan">
      <formula>O$128</formula>
    </cfRule>
  </conditionalFormatting>
  <conditionalFormatting sqref="R53">
    <cfRule type="cellIs" dxfId="422" priority="50" operator="greaterThan">
      <formula>R$59</formula>
    </cfRule>
    <cfRule type="cellIs" dxfId="421" priority="49" operator="lessThan">
      <formula>R$60</formula>
    </cfRule>
  </conditionalFormatting>
  <conditionalFormatting sqref="R71:R88">
    <cfRule type="cellIs" dxfId="420" priority="53" operator="lessThan">
      <formula>R$94</formula>
    </cfRule>
    <cfRule type="cellIs" dxfId="419" priority="54" operator="greaterThan">
      <formula>R$93</formula>
    </cfRule>
  </conditionalFormatting>
  <conditionalFormatting sqref="V30:V33">
    <cfRule type="cellIs" dxfId="418" priority="40" operator="lessThan">
      <formula>0.05</formula>
    </cfRule>
  </conditionalFormatting>
  <conditionalFormatting sqref="V64:V67">
    <cfRule type="cellIs" dxfId="417" priority="42" operator="lessThan">
      <formula>0.05</formula>
    </cfRule>
  </conditionalFormatting>
  <conditionalFormatting sqref="V98:V101">
    <cfRule type="cellIs" dxfId="416" priority="41" operator="lessThan">
      <formula>0.05</formula>
    </cfRule>
  </conditionalFormatting>
  <conditionalFormatting sqref="V105:V120">
    <cfRule type="cellIs" dxfId="415" priority="28" operator="greaterThan">
      <formula>V$93</formula>
    </cfRule>
    <cfRule type="cellIs" dxfId="414" priority="27" operator="lessThan">
      <formula>V$94</formula>
    </cfRule>
  </conditionalFormatting>
  <conditionalFormatting sqref="V132:V135">
    <cfRule type="cellIs" dxfId="413" priority="29" operator="lessThan">
      <formula>0.05</formula>
    </cfRule>
  </conditionalFormatting>
  <conditionalFormatting sqref="V3:Y18">
    <cfRule type="cellIs" dxfId="412" priority="39" operator="greaterThan">
      <formula>V$25</formula>
    </cfRule>
    <cfRule type="cellIs" dxfId="411" priority="38" operator="lessThan">
      <formula>V$26</formula>
    </cfRule>
  </conditionalFormatting>
  <conditionalFormatting sqref="V37:Y52">
    <cfRule type="cellIs" dxfId="410" priority="3" operator="lessThan">
      <formula>V$60</formula>
    </cfRule>
  </conditionalFormatting>
  <conditionalFormatting sqref="V45:Y52">
    <cfRule type="cellIs" dxfId="409" priority="35" operator="greaterThan">
      <formula>V$59</formula>
    </cfRule>
  </conditionalFormatting>
  <conditionalFormatting sqref="V71:Y86">
    <cfRule type="cellIs" dxfId="408" priority="33" operator="greaterThan">
      <formula>V$93</formula>
    </cfRule>
    <cfRule type="cellIs" dxfId="407" priority="32" operator="lessThan">
      <formula>V$94</formula>
    </cfRule>
  </conditionalFormatting>
  <conditionalFormatting sqref="W105:Y120">
    <cfRule type="cellIs" dxfId="406" priority="26" operator="greaterThan">
      <formula>W$127</formula>
    </cfRule>
    <cfRule type="cellIs" dxfId="405" priority="25" operator="lessThan">
      <formula>W$128</formula>
    </cfRule>
  </conditionalFormatting>
  <conditionalFormatting sqref="AB3:AE18">
    <cfRule type="cellIs" dxfId="404" priority="37" operator="greaterThan">
      <formula>AB$25</formula>
    </cfRule>
    <cfRule type="cellIs" dxfId="403" priority="36" operator="lessThan">
      <formula>AB$26</formula>
    </cfRule>
  </conditionalFormatting>
  <conditionalFormatting sqref="AB37:AE52">
    <cfRule type="cellIs" dxfId="402" priority="4" operator="greaterThan">
      <formula>AB$59</formula>
    </cfRule>
  </conditionalFormatting>
  <conditionalFormatting sqref="AB45:AE52">
    <cfRule type="cellIs" dxfId="401" priority="30" operator="lessThan">
      <formula>AB$60</formula>
    </cfRule>
  </conditionalFormatting>
  <conditionalFormatting sqref="AC71:AE86">
    <cfRule type="cellIs" dxfId="400" priority="16" operator="greaterThan">
      <formula>AC$93</formula>
    </cfRule>
    <cfRule type="cellIs" dxfId="399" priority="15" operator="lessThan">
      <formula>AC$94</formula>
    </cfRule>
  </conditionalFormatting>
  <conditionalFormatting sqref="AC105:AE120">
    <cfRule type="cellIs" dxfId="398" priority="24" operator="greaterThan">
      <formula>AC$127</formula>
    </cfRule>
    <cfRule type="cellIs" dxfId="397" priority="23" operator="lessThan">
      <formula>AC$128</formula>
    </cfRule>
  </conditionalFormatting>
  <conditionalFormatting sqref="AH3:AK18">
    <cfRule type="cellIs" dxfId="396" priority="22" operator="greaterThan">
      <formula>AH$25</formula>
    </cfRule>
    <cfRule type="cellIs" dxfId="395" priority="21" operator="lessThan">
      <formula>AH$26</formula>
    </cfRule>
  </conditionalFormatting>
  <conditionalFormatting sqref="AH37:AK52">
    <cfRule type="cellIs" dxfId="394" priority="1" operator="lessThan">
      <formula>AH$60</formula>
    </cfRule>
    <cfRule type="cellIs" dxfId="393" priority="2" operator="greaterThan">
      <formula>AH$59</formula>
    </cfRule>
  </conditionalFormatting>
  <conditionalFormatting sqref="AI71:AK86">
    <cfRule type="cellIs" dxfId="392" priority="13" operator="lessThan">
      <formula>AI$94</formula>
    </cfRule>
    <cfRule type="cellIs" dxfId="391" priority="14" operator="greaterThan">
      <formula>AI$93</formula>
    </cfRule>
  </conditionalFormatting>
  <conditionalFormatting sqref="AI105:AK120">
    <cfRule type="cellIs" dxfId="390" priority="18" operator="greaterThan">
      <formula>AI$127</formula>
    </cfRule>
    <cfRule type="cellIs" dxfId="389" priority="17" operator="lessThan">
      <formula>AI$128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2DFE-0924-4E15-81B5-700349DC87C7}">
  <sheetPr codeName="Sheet4"/>
  <dimension ref="A1:AK135"/>
  <sheetViews>
    <sheetView topLeftCell="R1" workbookViewId="0">
      <selection activeCell="AH7" sqref="AH7:AH10"/>
    </sheetView>
  </sheetViews>
  <sheetFormatPr defaultRowHeight="15" x14ac:dyDescent="0.25"/>
  <sheetData>
    <row r="1" spans="1:37" x14ac:dyDescent="0.25">
      <c r="A1" t="s">
        <v>0</v>
      </c>
      <c r="S1" s="4"/>
      <c r="U1" t="s">
        <v>0</v>
      </c>
    </row>
    <row r="2" spans="1:3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  <c r="R2" s="1"/>
      <c r="S2" s="4"/>
      <c r="U2" s="1" t="s">
        <v>29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30</v>
      </c>
      <c r="AB2" s="1" t="s">
        <v>1</v>
      </c>
      <c r="AC2" s="1" t="s">
        <v>2</v>
      </c>
      <c r="AD2" s="1" t="s">
        <v>3</v>
      </c>
      <c r="AE2" s="1" t="s">
        <v>4</v>
      </c>
      <c r="AG2" s="1" t="s">
        <v>31</v>
      </c>
      <c r="AH2" s="1" t="s">
        <v>1</v>
      </c>
      <c r="AI2" s="1" t="s">
        <v>2</v>
      </c>
      <c r="AJ2" s="1" t="s">
        <v>3</v>
      </c>
      <c r="AK2" s="1" t="s">
        <v>4</v>
      </c>
    </row>
    <row r="3" spans="1:37" x14ac:dyDescent="0.25">
      <c r="A3" t="s">
        <v>5</v>
      </c>
      <c r="B3">
        <v>7094.42138671875</v>
      </c>
      <c r="C3">
        <v>1759.7007751464801</v>
      </c>
      <c r="D3">
        <v>2595.52001953125</v>
      </c>
      <c r="E3">
        <v>4477.2720336914099</v>
      </c>
      <c r="G3" t="s">
        <v>5</v>
      </c>
      <c r="H3">
        <v>8917.4652099609393</v>
      </c>
      <c r="I3">
        <v>14534.912109375</v>
      </c>
      <c r="J3">
        <v>13000.7743835449</v>
      </c>
      <c r="K3">
        <v>6005.2299499511701</v>
      </c>
      <c r="M3" t="s">
        <v>5</v>
      </c>
      <c r="N3">
        <v>15506.687164306601</v>
      </c>
      <c r="O3">
        <v>20084.3811035156</v>
      </c>
      <c r="P3">
        <v>13861.312866210899</v>
      </c>
      <c r="Q3">
        <v>2133.5792541503902</v>
      </c>
      <c r="S3" s="4"/>
      <c r="U3" t="s">
        <v>5</v>
      </c>
      <c r="V3">
        <v>7094.42138671875</v>
      </c>
      <c r="W3">
        <v>1759.7007751464801</v>
      </c>
      <c r="X3">
        <v>2595.52001953125</v>
      </c>
      <c r="Y3">
        <v>4477.2720336914099</v>
      </c>
      <c r="AA3" t="s">
        <v>5</v>
      </c>
      <c r="AB3">
        <v>8917.4652099609393</v>
      </c>
      <c r="AC3">
        <v>14534.912109375</v>
      </c>
      <c r="AD3">
        <v>13000.7743835449</v>
      </c>
      <c r="AE3">
        <v>6005.2299499511701</v>
      </c>
      <c r="AG3" t="s">
        <v>5</v>
      </c>
      <c r="AH3">
        <v>15506.687164306601</v>
      </c>
      <c r="AI3">
        <v>20084.3811035156</v>
      </c>
      <c r="AJ3">
        <v>13861.312866210899</v>
      </c>
      <c r="AK3">
        <v>2133.5792541503902</v>
      </c>
    </row>
    <row r="4" spans="1:37" x14ac:dyDescent="0.25">
      <c r="A4" t="s">
        <v>7</v>
      </c>
      <c r="B4">
        <v>5552.5588989257803</v>
      </c>
      <c r="C4">
        <v>3332.4623107910102</v>
      </c>
      <c r="D4">
        <v>3439.0640258789099</v>
      </c>
      <c r="G4" t="s">
        <v>7</v>
      </c>
      <c r="H4">
        <v>13476.619720459001</v>
      </c>
      <c r="I4">
        <v>9228.0006408691406</v>
      </c>
      <c r="J4">
        <v>10272.3884582519</v>
      </c>
      <c r="K4">
        <v>12294.731140136701</v>
      </c>
      <c r="M4" t="s">
        <v>7</v>
      </c>
      <c r="N4">
        <v>16203.4606933594</v>
      </c>
      <c r="O4">
        <v>10808.486938476601</v>
      </c>
      <c r="P4">
        <v>26322.898864746101</v>
      </c>
      <c r="Q4">
        <v>14021.987915039101</v>
      </c>
      <c r="S4" s="4"/>
      <c r="U4" t="s">
        <v>7</v>
      </c>
      <c r="V4">
        <v>5552.5588989257803</v>
      </c>
      <c r="W4">
        <v>3332.4623107910102</v>
      </c>
      <c r="X4">
        <v>3439.0640258789099</v>
      </c>
      <c r="AA4" t="s">
        <v>7</v>
      </c>
      <c r="AB4">
        <v>13476.619720459001</v>
      </c>
      <c r="AC4">
        <v>9228.0006408691406</v>
      </c>
      <c r="AD4">
        <v>10272.3884582519</v>
      </c>
      <c r="AG4" t="s">
        <v>7</v>
      </c>
      <c r="AH4">
        <v>16203.4606933594</v>
      </c>
      <c r="AI4">
        <v>10808.486938476601</v>
      </c>
      <c r="AK4">
        <v>14021.987915039101</v>
      </c>
    </row>
    <row r="5" spans="1:37" x14ac:dyDescent="0.25">
      <c r="A5" t="s">
        <v>8</v>
      </c>
      <c r="B5">
        <v>5353.2600402832004</v>
      </c>
      <c r="C5">
        <v>7897.7966308593705</v>
      </c>
      <c r="D5">
        <v>4274.8832702636701</v>
      </c>
      <c r="E5">
        <v>3958.1680297851499</v>
      </c>
      <c r="G5" t="s">
        <v>8</v>
      </c>
      <c r="H5">
        <v>24493.675231933601</v>
      </c>
      <c r="I5">
        <v>10684.8907470703</v>
      </c>
      <c r="J5">
        <v>7282.9055786132803</v>
      </c>
      <c r="K5">
        <v>5648.3459472656205</v>
      </c>
      <c r="M5" t="s">
        <v>8</v>
      </c>
      <c r="N5">
        <v>21006.717681884798</v>
      </c>
      <c r="O5">
        <v>15276.4892578125</v>
      </c>
      <c r="P5">
        <v>5449.0470886230496</v>
      </c>
      <c r="Q5">
        <v>10167.331695556601</v>
      </c>
      <c r="S5" s="4"/>
      <c r="U5" t="s">
        <v>8</v>
      </c>
      <c r="V5">
        <v>5353.2600402832004</v>
      </c>
      <c r="W5">
        <v>7897.7966308593705</v>
      </c>
      <c r="X5">
        <v>4274.8832702636701</v>
      </c>
      <c r="Y5">
        <v>3958.1680297851499</v>
      </c>
      <c r="AA5" t="s">
        <v>8</v>
      </c>
      <c r="AC5">
        <v>10684.8907470703</v>
      </c>
      <c r="AD5">
        <v>7282.9055786132803</v>
      </c>
      <c r="AE5">
        <v>5648.3459472656205</v>
      </c>
      <c r="AG5" t="s">
        <v>8</v>
      </c>
      <c r="AH5">
        <v>21006.717681884798</v>
      </c>
      <c r="AI5">
        <v>15276.4892578125</v>
      </c>
      <c r="AJ5">
        <v>5449.0470886230496</v>
      </c>
      <c r="AK5">
        <v>10167.331695556601</v>
      </c>
    </row>
    <row r="6" spans="1:37" x14ac:dyDescent="0.25">
      <c r="A6" t="s">
        <v>9</v>
      </c>
      <c r="B6">
        <v>6606.2164306640598</v>
      </c>
      <c r="C6">
        <v>8010.5781555175799</v>
      </c>
      <c r="D6">
        <v>6936.8362426757803</v>
      </c>
      <c r="E6">
        <v>1064.4721984863299</v>
      </c>
      <c r="G6" t="s">
        <v>9</v>
      </c>
      <c r="H6">
        <v>13315.944671630899</v>
      </c>
      <c r="I6">
        <v>13581.676483154301</v>
      </c>
      <c r="J6">
        <v>13720.722198486301</v>
      </c>
      <c r="K6">
        <v>7967.3194885253897</v>
      </c>
      <c r="M6" t="s">
        <v>9</v>
      </c>
      <c r="N6">
        <v>24231.033325195302</v>
      </c>
      <c r="O6">
        <v>13462.715148925799</v>
      </c>
      <c r="P6">
        <v>5583.4579467773401</v>
      </c>
      <c r="Q6">
        <v>11153.011322021501</v>
      </c>
      <c r="S6" s="4"/>
      <c r="U6" t="s">
        <v>9</v>
      </c>
      <c r="V6">
        <v>6606.2164306640598</v>
      </c>
      <c r="W6">
        <v>8010.5781555175799</v>
      </c>
      <c r="X6">
        <v>6936.8362426757803</v>
      </c>
      <c r="Y6">
        <v>1064.4721984863299</v>
      </c>
      <c r="AA6" t="s">
        <v>9</v>
      </c>
      <c r="AB6">
        <v>13315.944671630899</v>
      </c>
      <c r="AC6">
        <v>13581.676483154301</v>
      </c>
      <c r="AD6">
        <v>13720.722198486301</v>
      </c>
      <c r="AE6">
        <v>7967.3194885253897</v>
      </c>
      <c r="AG6" t="s">
        <v>9</v>
      </c>
      <c r="AH6">
        <v>24231.033325195302</v>
      </c>
      <c r="AI6">
        <v>13462.715148925799</v>
      </c>
      <c r="AJ6">
        <v>5583.4579467773401</v>
      </c>
      <c r="AK6">
        <v>11153.011322021501</v>
      </c>
    </row>
    <row r="7" spans="1:37" x14ac:dyDescent="0.25">
      <c r="A7" t="s">
        <v>10</v>
      </c>
      <c r="B7">
        <v>3046.6461181640602</v>
      </c>
      <c r="C7">
        <v>5262.1078491210901</v>
      </c>
      <c r="D7" t="s">
        <v>6</v>
      </c>
      <c r="E7" t="s">
        <v>6</v>
      </c>
      <c r="G7" t="s">
        <v>10</v>
      </c>
      <c r="H7">
        <v>9963.3979797363208</v>
      </c>
      <c r="I7">
        <v>5847.6448059082004</v>
      </c>
      <c r="J7">
        <v>5561.82861328125</v>
      </c>
      <c r="K7">
        <v>2683.5823059081999</v>
      </c>
      <c r="M7" t="s">
        <v>10</v>
      </c>
      <c r="N7">
        <v>6386.8331909179697</v>
      </c>
      <c r="O7">
        <v>10238.3995056152</v>
      </c>
      <c r="P7">
        <v>3661.5371704101599</v>
      </c>
      <c r="Q7">
        <v>6266.3269042968705</v>
      </c>
      <c r="S7" s="4"/>
      <c r="U7" t="s">
        <v>10</v>
      </c>
      <c r="V7">
        <v>3046.6461181640602</v>
      </c>
      <c r="W7">
        <v>5262.1078491210901</v>
      </c>
      <c r="X7" t="s">
        <v>6</v>
      </c>
      <c r="Y7" t="s">
        <v>6</v>
      </c>
      <c r="AA7" t="s">
        <v>10</v>
      </c>
      <c r="AB7">
        <v>9963.3979797363208</v>
      </c>
      <c r="AC7">
        <v>5847.6448059082004</v>
      </c>
      <c r="AD7">
        <v>5561.82861328125</v>
      </c>
      <c r="AE7">
        <v>2683.5823059081999</v>
      </c>
      <c r="AG7" t="s">
        <v>10</v>
      </c>
      <c r="AH7">
        <v>6386.8331909179697</v>
      </c>
      <c r="AI7">
        <v>10238.3995056152</v>
      </c>
      <c r="AJ7">
        <v>3661.5371704101599</v>
      </c>
      <c r="AK7">
        <v>6266.3269042968705</v>
      </c>
    </row>
    <row r="8" spans="1:37" x14ac:dyDescent="0.25">
      <c r="A8" t="s">
        <v>11</v>
      </c>
      <c r="B8">
        <v>2505.9127807617201</v>
      </c>
      <c r="C8">
        <v>2386.9514465331999</v>
      </c>
      <c r="D8">
        <v>9391.7655944824201</v>
      </c>
      <c r="E8" t="s">
        <v>6</v>
      </c>
      <c r="G8" t="s">
        <v>11</v>
      </c>
      <c r="H8">
        <v>5364.07470703125</v>
      </c>
      <c r="I8">
        <v>2505.9127807617201</v>
      </c>
      <c r="J8">
        <v>5150.8712768554697</v>
      </c>
      <c r="K8">
        <v>3448.33374023437</v>
      </c>
      <c r="M8" t="s">
        <v>11</v>
      </c>
      <c r="N8">
        <v>10253.849029540999</v>
      </c>
      <c r="O8">
        <v>9682.2166442871094</v>
      </c>
      <c r="P8">
        <v>13765.525817871099</v>
      </c>
      <c r="Q8">
        <v>3618.2785034179701</v>
      </c>
      <c r="S8" s="4"/>
      <c r="U8" t="s">
        <v>11</v>
      </c>
      <c r="V8">
        <v>2505.9127807617201</v>
      </c>
      <c r="W8">
        <v>2386.9514465331999</v>
      </c>
      <c r="X8">
        <v>9391.7655944824201</v>
      </c>
      <c r="Y8" t="s">
        <v>6</v>
      </c>
      <c r="AA8" t="s">
        <v>11</v>
      </c>
      <c r="AB8">
        <v>5364.07470703125</v>
      </c>
      <c r="AC8">
        <v>2505.9127807617201</v>
      </c>
      <c r="AD8">
        <v>5150.8712768554697</v>
      </c>
      <c r="AE8">
        <v>3448.33374023437</v>
      </c>
      <c r="AG8" t="s">
        <v>11</v>
      </c>
      <c r="AH8">
        <v>10253.849029540999</v>
      </c>
      <c r="AI8">
        <v>9682.2166442871094</v>
      </c>
      <c r="AJ8">
        <v>13765.525817871099</v>
      </c>
      <c r="AK8">
        <v>3618.2785034179701</v>
      </c>
    </row>
    <row r="9" spans="1:37" x14ac:dyDescent="0.25">
      <c r="A9" t="s">
        <v>12</v>
      </c>
      <c r="B9">
        <v>3148.6129760742201</v>
      </c>
      <c r="C9">
        <v>1975.9941101074201</v>
      </c>
      <c r="D9" t="s">
        <v>6</v>
      </c>
      <c r="E9">
        <v>665.87448120117199</v>
      </c>
      <c r="G9" t="s">
        <v>12</v>
      </c>
      <c r="H9">
        <v>5058.1741333007803</v>
      </c>
      <c r="I9">
        <v>9649.7726440429706</v>
      </c>
      <c r="J9">
        <v>5418.1480407714798</v>
      </c>
      <c r="K9">
        <v>3283.0238342285102</v>
      </c>
      <c r="M9" t="s">
        <v>12</v>
      </c>
      <c r="N9">
        <v>7874.6223449707004</v>
      </c>
      <c r="O9">
        <v>7676.8684387207004</v>
      </c>
      <c r="P9">
        <v>13119.735717773399</v>
      </c>
      <c r="Q9">
        <v>7221.1074829101499</v>
      </c>
      <c r="S9" s="4"/>
      <c r="U9" t="s">
        <v>12</v>
      </c>
      <c r="V9">
        <v>3148.6129760742201</v>
      </c>
      <c r="W9">
        <v>1975.9941101074201</v>
      </c>
      <c r="X9" t="s">
        <v>6</v>
      </c>
      <c r="Y9">
        <v>665.87448120117199</v>
      </c>
      <c r="AA9" t="s">
        <v>12</v>
      </c>
      <c r="AB9">
        <v>5058.1741333007803</v>
      </c>
      <c r="AC9">
        <v>9649.7726440429706</v>
      </c>
      <c r="AD9">
        <v>5418.1480407714798</v>
      </c>
      <c r="AE9">
        <v>3283.0238342285102</v>
      </c>
      <c r="AG9" t="s">
        <v>12</v>
      </c>
      <c r="AH9">
        <v>7874.6223449707004</v>
      </c>
      <c r="AI9">
        <v>7676.8684387207004</v>
      </c>
      <c r="AJ9">
        <v>13119.735717773399</v>
      </c>
      <c r="AK9">
        <v>7221.1074829101499</v>
      </c>
    </row>
    <row r="10" spans="1:37" x14ac:dyDescent="0.25">
      <c r="A10" t="s">
        <v>13</v>
      </c>
      <c r="B10">
        <v>474.30038452148398</v>
      </c>
      <c r="C10">
        <v>2284.9845886230501</v>
      </c>
      <c r="D10">
        <v>1345.6535339355501</v>
      </c>
      <c r="E10">
        <v>704.498291015625</v>
      </c>
      <c r="G10" t="s">
        <v>13</v>
      </c>
      <c r="H10">
        <v>5568.0084228515598</v>
      </c>
      <c r="I10">
        <v>7642.8794860839798</v>
      </c>
      <c r="J10">
        <v>6269.4168090820303</v>
      </c>
      <c r="K10">
        <v>6471.8055725097602</v>
      </c>
      <c r="M10" t="s">
        <v>13</v>
      </c>
      <c r="N10">
        <v>13502.8839111328</v>
      </c>
      <c r="O10">
        <v>13002.3193359375</v>
      </c>
      <c r="P10">
        <v>6277.1415710449201</v>
      </c>
      <c r="Q10">
        <v>10212.135314941401</v>
      </c>
      <c r="S10" s="4"/>
      <c r="U10" t="s">
        <v>13</v>
      </c>
      <c r="V10">
        <v>474.30038452148398</v>
      </c>
      <c r="W10">
        <v>2284.9845886230501</v>
      </c>
      <c r="X10">
        <v>1345.6535339355501</v>
      </c>
      <c r="Y10">
        <v>704.498291015625</v>
      </c>
      <c r="AA10" t="s">
        <v>13</v>
      </c>
      <c r="AB10">
        <v>5568.0084228515598</v>
      </c>
      <c r="AC10">
        <v>7642.8794860839798</v>
      </c>
      <c r="AD10">
        <v>6269.4168090820303</v>
      </c>
      <c r="AE10">
        <v>6471.8055725097602</v>
      </c>
      <c r="AG10" t="s">
        <v>13</v>
      </c>
      <c r="AH10">
        <v>13502.8839111328</v>
      </c>
      <c r="AI10">
        <v>13002.3193359375</v>
      </c>
      <c r="AJ10">
        <v>6277.1415710449201</v>
      </c>
      <c r="AK10">
        <v>10212.135314941401</v>
      </c>
    </row>
    <row r="11" spans="1:37" x14ac:dyDescent="0.25">
      <c r="A11" t="s">
        <v>5</v>
      </c>
      <c r="G11" t="s">
        <v>5</v>
      </c>
      <c r="M11" t="s">
        <v>5</v>
      </c>
      <c r="S11" s="4"/>
      <c r="U11" t="s">
        <v>5</v>
      </c>
      <c r="AA11" t="s">
        <v>5</v>
      </c>
      <c r="AG11" t="s">
        <v>5</v>
      </c>
    </row>
    <row r="12" spans="1:37" x14ac:dyDescent="0.25">
      <c r="A12" t="s">
        <v>7</v>
      </c>
      <c r="G12" t="s">
        <v>7</v>
      </c>
      <c r="M12" t="s">
        <v>7</v>
      </c>
      <c r="S12" s="4"/>
      <c r="U12" t="s">
        <v>7</v>
      </c>
      <c r="AA12" t="s">
        <v>7</v>
      </c>
      <c r="AG12" t="s">
        <v>7</v>
      </c>
    </row>
    <row r="13" spans="1:37" x14ac:dyDescent="0.25">
      <c r="A13" t="s">
        <v>8</v>
      </c>
      <c r="G13" t="s">
        <v>8</v>
      </c>
      <c r="M13" t="s">
        <v>8</v>
      </c>
      <c r="S13" s="4"/>
      <c r="U13" t="s">
        <v>8</v>
      </c>
      <c r="AA13" t="s">
        <v>8</v>
      </c>
      <c r="AG13" t="s">
        <v>8</v>
      </c>
    </row>
    <row r="14" spans="1:37" x14ac:dyDescent="0.25">
      <c r="A14" t="s">
        <v>9</v>
      </c>
      <c r="G14" t="s">
        <v>9</v>
      </c>
      <c r="M14" t="s">
        <v>9</v>
      </c>
      <c r="S14" s="4"/>
      <c r="U14" t="s">
        <v>9</v>
      </c>
      <c r="AA14" t="s">
        <v>9</v>
      </c>
      <c r="AG14" t="s">
        <v>9</v>
      </c>
    </row>
    <row r="15" spans="1:37" x14ac:dyDescent="0.25">
      <c r="A15" t="s">
        <v>10</v>
      </c>
      <c r="G15" t="s">
        <v>10</v>
      </c>
      <c r="M15" t="s">
        <v>10</v>
      </c>
      <c r="S15" s="4"/>
      <c r="U15" t="s">
        <v>10</v>
      </c>
      <c r="AA15" t="s">
        <v>10</v>
      </c>
      <c r="AG15" t="s">
        <v>10</v>
      </c>
    </row>
    <row r="16" spans="1:37" x14ac:dyDescent="0.25">
      <c r="A16" t="s">
        <v>11</v>
      </c>
      <c r="G16" t="s">
        <v>11</v>
      </c>
      <c r="M16" t="s">
        <v>11</v>
      </c>
      <c r="S16" s="4"/>
      <c r="U16" t="s">
        <v>11</v>
      </c>
      <c r="AA16" t="s">
        <v>11</v>
      </c>
      <c r="AG16" t="s">
        <v>11</v>
      </c>
    </row>
    <row r="17" spans="1:37" x14ac:dyDescent="0.25">
      <c r="A17" t="s">
        <v>12</v>
      </c>
      <c r="G17" t="s">
        <v>12</v>
      </c>
      <c r="M17" t="s">
        <v>12</v>
      </c>
      <c r="S17" s="4"/>
      <c r="U17" t="s">
        <v>12</v>
      </c>
      <c r="AA17" t="s">
        <v>12</v>
      </c>
      <c r="AG17" t="s">
        <v>12</v>
      </c>
    </row>
    <row r="18" spans="1:37" x14ac:dyDescent="0.25">
      <c r="A18" t="s">
        <v>13</v>
      </c>
      <c r="G18" t="s">
        <v>13</v>
      </c>
      <c r="M18" t="s">
        <v>13</v>
      </c>
      <c r="S18" s="4"/>
      <c r="U18" t="s">
        <v>13</v>
      </c>
      <c r="AA18" t="s">
        <v>13</v>
      </c>
      <c r="AG18" t="s">
        <v>13</v>
      </c>
    </row>
    <row r="19" spans="1:3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  <c r="S19" s="4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</row>
    <row r="20" spans="1:37" x14ac:dyDescent="0.25">
      <c r="A20" t="s">
        <v>14</v>
      </c>
      <c r="B20">
        <f>COUNT(B3:B18)</f>
        <v>8</v>
      </c>
      <c r="C20">
        <f t="shared" ref="C20:E20" si="0">COUNT(C3:C18)</f>
        <v>8</v>
      </c>
      <c r="D20">
        <f t="shared" si="0"/>
        <v>6</v>
      </c>
      <c r="E20">
        <f t="shared" si="0"/>
        <v>5</v>
      </c>
      <c r="G20" t="s">
        <v>14</v>
      </c>
      <c r="H20">
        <f>COUNT(H3:H18)</f>
        <v>8</v>
      </c>
      <c r="I20">
        <f t="shared" ref="I20:K20" si="1">COUNT(I3:I18)</f>
        <v>8</v>
      </c>
      <c r="J20">
        <f t="shared" si="1"/>
        <v>8</v>
      </c>
      <c r="K20">
        <f t="shared" si="1"/>
        <v>8</v>
      </c>
      <c r="M20" t="s">
        <v>14</v>
      </c>
      <c r="N20">
        <f>COUNT(N3:N18)</f>
        <v>8</v>
      </c>
      <c r="O20">
        <f t="shared" ref="O20:Q20" si="2">COUNT(O3:O18)</f>
        <v>8</v>
      </c>
      <c r="P20">
        <f t="shared" si="2"/>
        <v>8</v>
      </c>
      <c r="Q20">
        <f t="shared" si="2"/>
        <v>8</v>
      </c>
      <c r="S20" s="4"/>
      <c r="U20" t="s">
        <v>14</v>
      </c>
      <c r="V20">
        <f>COUNT(V3:V18)</f>
        <v>8</v>
      </c>
      <c r="W20">
        <f t="shared" ref="W20:Y20" si="3">COUNT(W3:W18)</f>
        <v>8</v>
      </c>
      <c r="X20">
        <f t="shared" si="3"/>
        <v>6</v>
      </c>
      <c r="Y20">
        <f t="shared" si="3"/>
        <v>5</v>
      </c>
      <c r="AA20" t="s">
        <v>14</v>
      </c>
      <c r="AB20">
        <f>COUNT(AB3:AB18)</f>
        <v>7</v>
      </c>
      <c r="AC20">
        <f t="shared" ref="AC20:AE20" si="4">COUNT(AC3:AC18)</f>
        <v>8</v>
      </c>
      <c r="AD20">
        <f t="shared" si="4"/>
        <v>8</v>
      </c>
      <c r="AE20">
        <f t="shared" si="4"/>
        <v>7</v>
      </c>
      <c r="AG20" t="s">
        <v>14</v>
      </c>
      <c r="AH20">
        <f>COUNT(AH3:AH18)</f>
        <v>8</v>
      </c>
      <c r="AI20">
        <f t="shared" ref="AI20:AK20" si="5">COUNT(AI3:AI18)</f>
        <v>8</v>
      </c>
      <c r="AJ20">
        <f t="shared" si="5"/>
        <v>7</v>
      </c>
      <c r="AK20">
        <f t="shared" si="5"/>
        <v>8</v>
      </c>
    </row>
    <row r="21" spans="1:37" x14ac:dyDescent="0.25">
      <c r="A21" t="s">
        <v>15</v>
      </c>
      <c r="B21">
        <f>MAX(B3:B18)</f>
        <v>7094.42138671875</v>
      </c>
      <c r="C21">
        <f t="shared" ref="C21:E21" si="6">MAX(C3:C18)</f>
        <v>8010.5781555175799</v>
      </c>
      <c r="D21">
        <f t="shared" si="6"/>
        <v>9391.7655944824201</v>
      </c>
      <c r="E21">
        <f t="shared" si="6"/>
        <v>4477.2720336914099</v>
      </c>
      <c r="G21" t="s">
        <v>15</v>
      </c>
      <c r="H21">
        <f>MAX(H3:H18)</f>
        <v>24493.675231933601</v>
      </c>
      <c r="I21">
        <f t="shared" ref="I21:K21" si="7">MAX(I3:I18)</f>
        <v>14534.912109375</v>
      </c>
      <c r="J21">
        <f t="shared" si="7"/>
        <v>13720.722198486301</v>
      </c>
      <c r="K21">
        <f t="shared" si="7"/>
        <v>12294.731140136701</v>
      </c>
      <c r="M21" t="s">
        <v>15</v>
      </c>
      <c r="N21">
        <f>MAX(N3:N18)</f>
        <v>24231.033325195302</v>
      </c>
      <c r="O21">
        <f t="shared" ref="O21:Q21" si="8">MAX(O3:O18)</f>
        <v>20084.3811035156</v>
      </c>
      <c r="P21">
        <f t="shared" si="8"/>
        <v>26322.898864746101</v>
      </c>
      <c r="Q21">
        <f t="shared" si="8"/>
        <v>14021.987915039101</v>
      </c>
      <c r="S21" s="4"/>
      <c r="U21" t="s">
        <v>15</v>
      </c>
      <c r="V21">
        <f>MAX(V3:V18)</f>
        <v>7094.42138671875</v>
      </c>
      <c r="W21">
        <f t="shared" ref="W21:Y21" si="9">MAX(W3:W18)</f>
        <v>8010.5781555175799</v>
      </c>
      <c r="X21">
        <f t="shared" si="9"/>
        <v>9391.7655944824201</v>
      </c>
      <c r="Y21">
        <f t="shared" si="9"/>
        <v>4477.2720336914099</v>
      </c>
      <c r="AA21" t="s">
        <v>15</v>
      </c>
      <c r="AB21">
        <f>MAX(AB3:AB18)</f>
        <v>13476.619720459001</v>
      </c>
      <c r="AC21">
        <f t="shared" ref="AC21:AE21" si="10">MAX(AC3:AC18)</f>
        <v>14534.912109375</v>
      </c>
      <c r="AD21">
        <f t="shared" si="10"/>
        <v>13720.722198486301</v>
      </c>
      <c r="AE21">
        <f t="shared" si="10"/>
        <v>7967.3194885253897</v>
      </c>
      <c r="AG21" t="s">
        <v>15</v>
      </c>
      <c r="AH21">
        <f>MAX(AH3:AH18)</f>
        <v>24231.033325195302</v>
      </c>
      <c r="AI21">
        <f t="shared" ref="AI21:AK21" si="11">MAX(AI3:AI18)</f>
        <v>20084.3811035156</v>
      </c>
      <c r="AJ21">
        <f t="shared" si="11"/>
        <v>13861.312866210899</v>
      </c>
      <c r="AK21">
        <f t="shared" si="11"/>
        <v>14021.987915039101</v>
      </c>
    </row>
    <row r="22" spans="1:37" x14ac:dyDescent="0.25">
      <c r="A22" t="s">
        <v>16</v>
      </c>
      <c r="B22">
        <f>MIN(B3:B18)</f>
        <v>474.30038452148398</v>
      </c>
      <c r="C22">
        <f t="shared" ref="C22:E22" si="12">MIN(C3:C18)</f>
        <v>1759.7007751464801</v>
      </c>
      <c r="D22">
        <f t="shared" si="12"/>
        <v>1345.6535339355501</v>
      </c>
      <c r="E22">
        <f t="shared" si="12"/>
        <v>665.87448120117199</v>
      </c>
      <c r="G22" t="s">
        <v>16</v>
      </c>
      <c r="H22">
        <f>MIN(H3:H18)</f>
        <v>5058.1741333007803</v>
      </c>
      <c r="I22">
        <f t="shared" ref="I22:K22" si="13">MIN(I3:I18)</f>
        <v>2505.9127807617201</v>
      </c>
      <c r="J22">
        <f t="shared" si="13"/>
        <v>5150.8712768554697</v>
      </c>
      <c r="K22">
        <f t="shared" si="13"/>
        <v>2683.5823059081999</v>
      </c>
      <c r="M22" t="s">
        <v>16</v>
      </c>
      <c r="N22">
        <f>MIN(N3:N18)</f>
        <v>6386.8331909179697</v>
      </c>
      <c r="O22">
        <f t="shared" ref="O22:Q22" si="14">MIN(O3:O18)</f>
        <v>7676.8684387207004</v>
      </c>
      <c r="P22">
        <f t="shared" si="14"/>
        <v>3661.5371704101599</v>
      </c>
      <c r="Q22">
        <f t="shared" si="14"/>
        <v>2133.5792541503902</v>
      </c>
      <c r="S22" s="4"/>
      <c r="U22" t="s">
        <v>16</v>
      </c>
      <c r="V22">
        <f>MIN(V3:V18)</f>
        <v>474.30038452148398</v>
      </c>
      <c r="W22">
        <f t="shared" ref="W22:Y22" si="15">MIN(W3:W18)</f>
        <v>1759.7007751464801</v>
      </c>
      <c r="X22">
        <f t="shared" si="15"/>
        <v>1345.6535339355501</v>
      </c>
      <c r="Y22">
        <f t="shared" si="15"/>
        <v>665.87448120117199</v>
      </c>
      <c r="AA22" t="s">
        <v>16</v>
      </c>
      <c r="AB22">
        <f>MIN(AB3:AB18)</f>
        <v>5058.1741333007803</v>
      </c>
      <c r="AC22">
        <f t="shared" ref="AC22:AE22" si="16">MIN(AC3:AC18)</f>
        <v>2505.9127807617201</v>
      </c>
      <c r="AD22">
        <f t="shared" si="16"/>
        <v>5150.8712768554697</v>
      </c>
      <c r="AE22">
        <f t="shared" si="16"/>
        <v>2683.5823059081999</v>
      </c>
      <c r="AG22" t="s">
        <v>16</v>
      </c>
      <c r="AH22">
        <f>MIN(AH3:AH18)</f>
        <v>6386.8331909179697</v>
      </c>
      <c r="AI22">
        <f t="shared" ref="AI22:AK22" si="17">MIN(AI3:AI18)</f>
        <v>7676.8684387207004</v>
      </c>
      <c r="AJ22">
        <f t="shared" si="17"/>
        <v>3661.5371704101599</v>
      </c>
      <c r="AK22">
        <f t="shared" si="17"/>
        <v>2133.5792541503902</v>
      </c>
    </row>
    <row r="23" spans="1:37" x14ac:dyDescent="0.25">
      <c r="A23" t="s">
        <v>17</v>
      </c>
      <c r="B23">
        <f>AVERAGE(B3:B18)</f>
        <v>4222.7411270141592</v>
      </c>
      <c r="C23">
        <f t="shared" ref="C23:E23" si="18">AVERAGE(C3:C18)</f>
        <v>4113.8219833373996</v>
      </c>
      <c r="D23">
        <f t="shared" si="18"/>
        <v>4663.9537811279306</v>
      </c>
      <c r="E23">
        <f t="shared" si="18"/>
        <v>2174.057006835937</v>
      </c>
      <c r="G23" t="s">
        <v>17</v>
      </c>
      <c r="H23">
        <f>AVERAGE(H3:H18)</f>
        <v>10769.670009613044</v>
      </c>
      <c r="I23">
        <f t="shared" ref="I23:K23" si="19">AVERAGE(I3:I18)</f>
        <v>9209.4612121582013</v>
      </c>
      <c r="J23">
        <f t="shared" si="19"/>
        <v>8334.6319198608253</v>
      </c>
      <c r="K23">
        <f t="shared" si="19"/>
        <v>5975.2964973449643</v>
      </c>
      <c r="M23" t="s">
        <v>17</v>
      </c>
      <c r="N23">
        <f>AVERAGE(N3:N18)</f>
        <v>14370.760917663571</v>
      </c>
      <c r="O23">
        <f t="shared" ref="O23:Q23" si="20">AVERAGE(O3:O18)</f>
        <v>12528.984546661377</v>
      </c>
      <c r="P23">
        <f t="shared" si="20"/>
        <v>11005.08213043212</v>
      </c>
      <c r="Q23">
        <f t="shared" si="20"/>
        <v>8099.2197990417471</v>
      </c>
      <c r="S23" s="4"/>
      <c r="U23" t="s">
        <v>17</v>
      </c>
      <c r="V23">
        <f>AVERAGE(V3:V18)</f>
        <v>4222.7411270141592</v>
      </c>
      <c r="W23">
        <f t="shared" ref="W23:Y23" si="21">AVERAGE(W3:W18)</f>
        <v>4113.8219833373996</v>
      </c>
      <c r="X23">
        <f t="shared" si="21"/>
        <v>4663.9537811279306</v>
      </c>
      <c r="Y23">
        <f t="shared" si="21"/>
        <v>2174.057006835937</v>
      </c>
      <c r="AA23" t="s">
        <v>17</v>
      </c>
      <c r="AB23">
        <f>AVERAGE(AB3:AB18)</f>
        <v>8809.0978349958223</v>
      </c>
      <c r="AC23">
        <f t="shared" ref="AC23:AE23" si="22">AVERAGE(AC3:AC18)</f>
        <v>9209.4612121582013</v>
      </c>
      <c r="AD23">
        <f t="shared" si="22"/>
        <v>8334.6319198608253</v>
      </c>
      <c r="AE23">
        <f t="shared" si="22"/>
        <v>5072.5201198032883</v>
      </c>
      <c r="AG23" t="s">
        <v>17</v>
      </c>
      <c r="AH23">
        <f>AVERAGE(AH3:AH18)</f>
        <v>14370.760917663571</v>
      </c>
      <c r="AI23">
        <f t="shared" ref="AI23:AK23" si="23">AVERAGE(AI3:AI18)</f>
        <v>12528.984546661377</v>
      </c>
      <c r="AJ23">
        <f t="shared" si="23"/>
        <v>8816.8225969586965</v>
      </c>
      <c r="AK23">
        <f t="shared" si="23"/>
        <v>8099.2197990417471</v>
      </c>
    </row>
    <row r="24" spans="1:37" x14ac:dyDescent="0.25">
      <c r="A24" t="s">
        <v>18</v>
      </c>
      <c r="B24">
        <f>STDEV(B3:B18)</f>
        <v>2283.7703375213196</v>
      </c>
      <c r="C24">
        <f t="shared" ref="C24:E24" si="24">STDEV(C3:C18)</f>
        <v>2615.0984387796711</v>
      </c>
      <c r="D24">
        <f t="shared" si="24"/>
        <v>2981.9277240762981</v>
      </c>
      <c r="E24">
        <f t="shared" si="24"/>
        <v>1881.0400978538103</v>
      </c>
      <c r="G24" t="s">
        <v>18</v>
      </c>
      <c r="H24">
        <f>STDEV(H3:H18)</f>
        <v>6493.2830890675796</v>
      </c>
      <c r="I24">
        <f t="shared" ref="I24:K24" si="25">STDEV(I3:I18)</f>
        <v>3937.7541322150068</v>
      </c>
      <c r="J24">
        <f t="shared" si="25"/>
        <v>3509.9785176297537</v>
      </c>
      <c r="K24">
        <f t="shared" si="25"/>
        <v>3133.3911096880597</v>
      </c>
      <c r="M24" t="s">
        <v>18</v>
      </c>
      <c r="N24">
        <f>STDEV(N3:N18)</f>
        <v>6205.4711266700397</v>
      </c>
      <c r="O24">
        <f t="shared" ref="O24:Q24" si="26">STDEV(O3:O18)</f>
        <v>3883.7152314766481</v>
      </c>
      <c r="P24">
        <f t="shared" si="26"/>
        <v>7477.8719409389778</v>
      </c>
      <c r="Q24">
        <f t="shared" si="26"/>
        <v>4016.8324981002515</v>
      </c>
      <c r="S24" s="4"/>
      <c r="U24" t="s">
        <v>18</v>
      </c>
      <c r="V24">
        <f>STDEV(V3:V18)</f>
        <v>2283.7703375213196</v>
      </c>
      <c r="W24">
        <f t="shared" ref="W24:Y24" si="27">STDEV(W3:W18)</f>
        <v>2615.0984387796711</v>
      </c>
      <c r="X24">
        <f t="shared" si="27"/>
        <v>2981.9277240762981</v>
      </c>
      <c r="Y24">
        <f t="shared" si="27"/>
        <v>1881.0400978538103</v>
      </c>
      <c r="AA24" t="s">
        <v>18</v>
      </c>
      <c r="AB24">
        <f>STDEV(AB3:AB18)</f>
        <v>3648.8321149360527</v>
      </c>
      <c r="AC24">
        <f t="shared" ref="AC24:AE24" si="28">STDEV(AC3:AC18)</f>
        <v>3937.7541322150068</v>
      </c>
      <c r="AD24">
        <f t="shared" si="28"/>
        <v>3509.9785176297537</v>
      </c>
      <c r="AE24">
        <f t="shared" si="28"/>
        <v>1961.5762541239628</v>
      </c>
      <c r="AG24" t="s">
        <v>18</v>
      </c>
      <c r="AH24">
        <f>STDEV(AH3:AH18)</f>
        <v>6205.4711266700397</v>
      </c>
      <c r="AI24">
        <f t="shared" ref="AI24:AK24" si="29">STDEV(AI3:AI18)</f>
        <v>3883.7152314766481</v>
      </c>
      <c r="AJ24">
        <f t="shared" si="29"/>
        <v>4532.7532719949622</v>
      </c>
      <c r="AK24">
        <f t="shared" si="29"/>
        <v>4016.8324981002515</v>
      </c>
    </row>
    <row r="25" spans="1:37" x14ac:dyDescent="0.25">
      <c r="A25" t="s">
        <v>19</v>
      </c>
      <c r="B25">
        <f>B23+2*B24</f>
        <v>8790.2818020567975</v>
      </c>
      <c r="C25">
        <f t="shared" ref="C25:E25" si="30">C23+2*C24</f>
        <v>9344.0188608967419</v>
      </c>
      <c r="D25">
        <f t="shared" si="30"/>
        <v>10627.809229280527</v>
      </c>
      <c r="E25">
        <f t="shared" si="30"/>
        <v>5936.1372025435576</v>
      </c>
      <c r="G25" t="s">
        <v>19</v>
      </c>
      <c r="H25">
        <f>H23+2*H24</f>
        <v>23756.236187748204</v>
      </c>
      <c r="I25">
        <f t="shared" ref="I25:K25" si="31">I23+2*I24</f>
        <v>17084.969476588216</v>
      </c>
      <c r="J25">
        <f t="shared" si="31"/>
        <v>15354.588955120333</v>
      </c>
      <c r="K25">
        <f t="shared" si="31"/>
        <v>12242.078716721084</v>
      </c>
      <c r="M25" t="s">
        <v>19</v>
      </c>
      <c r="N25">
        <f>N23+2*N24</f>
        <v>26781.70317100365</v>
      </c>
      <c r="O25">
        <f t="shared" ref="O25:Q25" si="32">O23+2*O24</f>
        <v>20296.415009614673</v>
      </c>
      <c r="P25">
        <f t="shared" si="32"/>
        <v>25960.826012310077</v>
      </c>
      <c r="Q25">
        <f t="shared" si="32"/>
        <v>16132.884795242251</v>
      </c>
      <c r="S25" s="4"/>
      <c r="U25" t="s">
        <v>19</v>
      </c>
      <c r="V25">
        <f>V23+2*V24</f>
        <v>8790.2818020567975</v>
      </c>
      <c r="W25">
        <f t="shared" ref="W25:Y25" si="33">W23+2*W24</f>
        <v>9344.0188608967419</v>
      </c>
      <c r="X25">
        <f t="shared" si="33"/>
        <v>10627.809229280527</v>
      </c>
      <c r="Y25">
        <f t="shared" si="33"/>
        <v>5936.1372025435576</v>
      </c>
      <c r="AA25" t="s">
        <v>19</v>
      </c>
      <c r="AB25">
        <f>AB23+2*AB24</f>
        <v>16106.762064867928</v>
      </c>
      <c r="AC25">
        <f t="shared" ref="AC25:AE25" si="34">AC23+2*AC24</f>
        <v>17084.969476588216</v>
      </c>
      <c r="AD25">
        <f t="shared" si="34"/>
        <v>15354.588955120333</v>
      </c>
      <c r="AE25">
        <f t="shared" si="34"/>
        <v>8995.6726280512139</v>
      </c>
      <c r="AG25" t="s">
        <v>19</v>
      </c>
      <c r="AH25">
        <f>AH23+2*AH24</f>
        <v>26781.70317100365</v>
      </c>
      <c r="AI25">
        <f t="shared" ref="AI25:AK25" si="35">AI23+2*AI24</f>
        <v>20296.415009614673</v>
      </c>
      <c r="AJ25">
        <f t="shared" si="35"/>
        <v>17882.329140948619</v>
      </c>
      <c r="AK25">
        <f t="shared" si="35"/>
        <v>16132.884795242251</v>
      </c>
    </row>
    <row r="26" spans="1:37" x14ac:dyDescent="0.25">
      <c r="A26" t="s">
        <v>20</v>
      </c>
      <c r="B26">
        <f>B23-2*B24</f>
        <v>-344.79954802847988</v>
      </c>
      <c r="C26">
        <f t="shared" ref="C26:E26" si="36">C23-2*C24</f>
        <v>-1116.3748942219427</v>
      </c>
      <c r="D26">
        <f t="shared" si="36"/>
        <v>-1299.9016670246656</v>
      </c>
      <c r="E26">
        <f t="shared" si="36"/>
        <v>-1588.0231888716835</v>
      </c>
      <c r="G26" t="s">
        <v>20</v>
      </c>
      <c r="H26">
        <f>H23-2*H24</f>
        <v>-2216.8961685221147</v>
      </c>
      <c r="I26">
        <f t="shared" ref="I26:K26" si="37">I23-2*I24</f>
        <v>1333.9529477281876</v>
      </c>
      <c r="J26">
        <f t="shared" si="37"/>
        <v>1314.6748846013179</v>
      </c>
      <c r="K26">
        <f t="shared" si="37"/>
        <v>-291.48572203115509</v>
      </c>
      <c r="M26" t="s">
        <v>20</v>
      </c>
      <c r="N26">
        <f>N23-2*N24</f>
        <v>1959.8186643234912</v>
      </c>
      <c r="O26">
        <f t="shared" ref="O26:Q26" si="38">O23-2*O24</f>
        <v>4761.5540837080807</v>
      </c>
      <c r="P26">
        <f t="shared" si="38"/>
        <v>-3950.6617514458358</v>
      </c>
      <c r="Q26">
        <f t="shared" si="38"/>
        <v>65.554802841244054</v>
      </c>
      <c r="S26" s="4"/>
      <c r="U26" t="s">
        <v>20</v>
      </c>
      <c r="V26">
        <f>V23-2*V24</f>
        <v>-344.79954802847988</v>
      </c>
      <c r="W26">
        <f t="shared" ref="W26:Y26" si="39">W23-2*W24</f>
        <v>-1116.3748942219427</v>
      </c>
      <c r="X26">
        <f t="shared" si="39"/>
        <v>-1299.9016670246656</v>
      </c>
      <c r="Y26">
        <f t="shared" si="39"/>
        <v>-1588.0231888716835</v>
      </c>
      <c r="AA26" t="s">
        <v>20</v>
      </c>
      <c r="AB26">
        <f>AB23-2*AB24</f>
        <v>1511.4336051237169</v>
      </c>
      <c r="AC26">
        <f t="shared" ref="AC26:AE26" si="40">AC23-2*AC24</f>
        <v>1333.9529477281876</v>
      </c>
      <c r="AD26">
        <f t="shared" si="40"/>
        <v>1314.6748846013179</v>
      </c>
      <c r="AE26">
        <f t="shared" si="40"/>
        <v>1149.3676115553626</v>
      </c>
      <c r="AG26" t="s">
        <v>20</v>
      </c>
      <c r="AH26">
        <f>AH23-2*AH24</f>
        <v>1959.8186643234912</v>
      </c>
      <c r="AI26">
        <f t="shared" ref="AI26:AK26" si="41">AI23-2*AI24</f>
        <v>4761.5540837080807</v>
      </c>
      <c r="AJ26">
        <f t="shared" si="41"/>
        <v>-248.68394703122794</v>
      </c>
      <c r="AK26">
        <f t="shared" si="41"/>
        <v>65.554802841244054</v>
      </c>
    </row>
    <row r="27" spans="1:37" x14ac:dyDescent="0.25">
      <c r="A27" t="s">
        <v>21</v>
      </c>
      <c r="B27">
        <f>VAR(B3:B18)</f>
        <v>5215606.9545422411</v>
      </c>
      <c r="C27">
        <f t="shared" ref="C27:E27" si="42">VAR(C3:C18)</f>
        <v>6838739.8445078731</v>
      </c>
      <c r="D27">
        <f t="shared" si="42"/>
        <v>8891892.9516148511</v>
      </c>
      <c r="E27">
        <f t="shared" si="42"/>
        <v>3538311.8497338723</v>
      </c>
      <c r="G27" t="s">
        <v>21</v>
      </c>
      <c r="H27">
        <f>VAR(H3:H18)</f>
        <v>42162725.274771012</v>
      </c>
      <c r="I27">
        <f t="shared" ref="I27:K27" si="43">VAR(I3:I18)</f>
        <v>15505907.60577636</v>
      </c>
      <c r="J27">
        <f t="shared" si="43"/>
        <v>12319949.194222365</v>
      </c>
      <c r="K27">
        <f t="shared" si="43"/>
        <v>9818139.8462721705</v>
      </c>
      <c r="M27" t="s">
        <v>21</v>
      </c>
      <c r="N27">
        <f>VAR(N3:N18)</f>
        <v>38507871.903935537</v>
      </c>
      <c r="O27">
        <f t="shared" ref="O27:Q27" si="44">VAR(O3:O18)</f>
        <v>15083243.999203715</v>
      </c>
      <c r="P27">
        <f t="shared" si="44"/>
        <v>55918568.765082479</v>
      </c>
      <c r="Q27">
        <f t="shared" si="44"/>
        <v>16134943.317794306</v>
      </c>
      <c r="S27" s="4"/>
      <c r="U27" t="s">
        <v>21</v>
      </c>
      <c r="V27">
        <f>VAR(V3:V18)</f>
        <v>5215606.9545422411</v>
      </c>
      <c r="W27">
        <f t="shared" ref="W27:Y27" si="45">VAR(W3:W18)</f>
        <v>6838739.8445078731</v>
      </c>
      <c r="X27">
        <f t="shared" si="45"/>
        <v>8891892.9516148511</v>
      </c>
      <c r="Y27">
        <f t="shared" si="45"/>
        <v>3538311.8497338723</v>
      </c>
      <c r="AA27" t="s">
        <v>21</v>
      </c>
      <c r="AB27">
        <f>VAR(AB3:AB18)</f>
        <v>13313975.802988708</v>
      </c>
      <c r="AC27">
        <f t="shared" ref="AC27:AE27" si="46">VAR(AC3:AC18)</f>
        <v>15505907.60577636</v>
      </c>
      <c r="AD27">
        <f t="shared" si="46"/>
        <v>12319949.194222365</v>
      </c>
      <c r="AE27">
        <f t="shared" si="46"/>
        <v>3847781.4007429979</v>
      </c>
      <c r="AG27" t="s">
        <v>21</v>
      </c>
      <c r="AH27">
        <f>VAR(AH3:AH18)</f>
        <v>38507871.903935537</v>
      </c>
      <c r="AI27">
        <f t="shared" ref="AI27:AK27" si="47">VAR(AI3:AI18)</f>
        <v>15083243.999203715</v>
      </c>
      <c r="AJ27">
        <f t="shared" si="47"/>
        <v>20545852.224781036</v>
      </c>
      <c r="AK27">
        <f t="shared" si="47"/>
        <v>16134943.317794306</v>
      </c>
    </row>
    <row r="28" spans="1:37" x14ac:dyDescent="0.25">
      <c r="S28" s="4"/>
    </row>
    <row r="29" spans="1:37" x14ac:dyDescent="0.25">
      <c r="A29" t="s">
        <v>22</v>
      </c>
      <c r="G29" t="s">
        <v>23</v>
      </c>
      <c r="H29">
        <f>AVERAGE(H3:H10)</f>
        <v>10769.670009613044</v>
      </c>
      <c r="I29">
        <f t="shared" ref="I29:K29" si="48">AVERAGE(I3:I10)</f>
        <v>9209.4612121582013</v>
      </c>
      <c r="J29">
        <f t="shared" si="48"/>
        <v>8334.6319198608253</v>
      </c>
      <c r="K29">
        <f t="shared" si="48"/>
        <v>5975.2964973449643</v>
      </c>
      <c r="M29" t="s">
        <v>23</v>
      </c>
      <c r="N29">
        <f>AVERAGE(N3:N10)</f>
        <v>14370.760917663571</v>
      </c>
      <c r="O29">
        <f t="shared" ref="O29:Q29" si="49">AVERAGE(O3:O10)</f>
        <v>12528.984546661377</v>
      </c>
      <c r="P29">
        <f t="shared" si="49"/>
        <v>11005.08213043212</v>
      </c>
      <c r="Q29">
        <f t="shared" si="49"/>
        <v>8099.2197990417471</v>
      </c>
      <c r="S29" s="4"/>
      <c r="U29" t="s">
        <v>22</v>
      </c>
      <c r="AA29" t="s">
        <v>23</v>
      </c>
      <c r="AB29">
        <f>AVERAGE(AB3:AB10)</f>
        <v>8809.0978349958223</v>
      </c>
      <c r="AC29">
        <f t="shared" ref="AC29:AE29" si="50">AVERAGE(AC3:AC10)</f>
        <v>9209.4612121582013</v>
      </c>
      <c r="AD29">
        <f t="shared" si="50"/>
        <v>8334.6319198608253</v>
      </c>
      <c r="AE29">
        <f t="shared" si="50"/>
        <v>5072.5201198032883</v>
      </c>
      <c r="AG29" t="s">
        <v>23</v>
      </c>
      <c r="AH29">
        <f>AVERAGE(AH3:AH10)</f>
        <v>14370.760917663571</v>
      </c>
      <c r="AI29">
        <f t="shared" ref="AI29:AK29" si="51">AVERAGE(AI3:AI10)</f>
        <v>12528.984546661377</v>
      </c>
      <c r="AJ29">
        <f t="shared" si="51"/>
        <v>8816.8225969586965</v>
      </c>
      <c r="AK29">
        <f t="shared" si="51"/>
        <v>8099.2197990417471</v>
      </c>
    </row>
    <row r="30" spans="1:37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52">AVERAGE(I11:I18)</f>
        <v>#DIV/0!</v>
      </c>
      <c r="J30" t="e">
        <f t="shared" si="52"/>
        <v>#DIV/0!</v>
      </c>
      <c r="K30" t="e">
        <f t="shared" si="52"/>
        <v>#DIV/0!</v>
      </c>
      <c r="M30" t="s">
        <v>24</v>
      </c>
      <c r="N30" t="e">
        <f>AVERAGE(N11:N18)</f>
        <v>#DIV/0!</v>
      </c>
      <c r="O30" t="e">
        <f t="shared" ref="O30:Q30" si="53">AVERAGE(O11:O18)</f>
        <v>#DIV/0!</v>
      </c>
      <c r="P30" t="e">
        <f t="shared" si="53"/>
        <v>#DIV/0!</v>
      </c>
      <c r="Q30" t="e">
        <f t="shared" si="53"/>
        <v>#DIV/0!</v>
      </c>
      <c r="S30" s="4"/>
      <c r="U30" t="s">
        <v>1</v>
      </c>
      <c r="V30" t="e">
        <f>TTEST(V11:V18,AB11:AB18,2,3)</f>
        <v>#DIV/0!</v>
      </c>
      <c r="AA30" t="s">
        <v>24</v>
      </c>
      <c r="AB30" t="e">
        <f>AVERAGE(AB11:AB18)</f>
        <v>#DIV/0!</v>
      </c>
      <c r="AC30" t="e">
        <f t="shared" ref="AC30:AE30" si="54">AVERAGE(AC11:AC18)</f>
        <v>#DIV/0!</v>
      </c>
      <c r="AD30" t="e">
        <f t="shared" si="54"/>
        <v>#DIV/0!</v>
      </c>
      <c r="AE30" t="e">
        <f t="shared" si="54"/>
        <v>#DIV/0!</v>
      </c>
      <c r="AG30" t="s">
        <v>24</v>
      </c>
      <c r="AH30" t="e">
        <f>AVERAGE(AH11:AH18)</f>
        <v>#DIV/0!</v>
      </c>
      <c r="AI30" t="e">
        <f t="shared" ref="AI30:AK30" si="55">AVERAGE(AI11:AI18)</f>
        <v>#DIV/0!</v>
      </c>
      <c r="AJ30" t="e">
        <f t="shared" si="55"/>
        <v>#DIV/0!</v>
      </c>
      <c r="AK30" t="e">
        <f t="shared" si="55"/>
        <v>#DIV/0!</v>
      </c>
    </row>
    <row r="31" spans="1:37" x14ac:dyDescent="0.25">
      <c r="A31" t="s">
        <v>2</v>
      </c>
      <c r="B31" t="e">
        <f>TTEST(C11:C18,I11:I18,2,3)</f>
        <v>#DIV/0!</v>
      </c>
      <c r="S31" s="4"/>
      <c r="U31" t="s">
        <v>2</v>
      </c>
      <c r="V31" t="e">
        <f>TTEST(W11:W18,AC11:AC18,2,3)</f>
        <v>#DIV/0!</v>
      </c>
    </row>
    <row r="32" spans="1:37" x14ac:dyDescent="0.25">
      <c r="A32" t="s">
        <v>3</v>
      </c>
      <c r="B32" t="e">
        <f>TTEST(D11:D18,J11:J18,2,3)</f>
        <v>#DIV/0!</v>
      </c>
      <c r="S32" s="4"/>
      <c r="U32" t="s">
        <v>3</v>
      </c>
      <c r="V32" t="e">
        <f>TTEST(X11:X18,AD11:AD18,2,3)</f>
        <v>#DIV/0!</v>
      </c>
    </row>
    <row r="33" spans="1:37" x14ac:dyDescent="0.25">
      <c r="A33" t="s">
        <v>4</v>
      </c>
      <c r="B33" t="e">
        <f>TTEST(E11:E18,K11:K18,2,3)</f>
        <v>#DIV/0!</v>
      </c>
      <c r="S33" s="4"/>
      <c r="U33" t="s">
        <v>4</v>
      </c>
      <c r="V33" t="e">
        <f>TTEST(Y11:Y18,AE11:AE18,2,3)</f>
        <v>#DIV/0!</v>
      </c>
    </row>
    <row r="34" spans="1:37" x14ac:dyDescent="0.25">
      <c r="S34" s="4"/>
    </row>
    <row r="35" spans="1:37" x14ac:dyDescent="0.25">
      <c r="A35" t="s">
        <v>25</v>
      </c>
      <c r="S35" s="5" t="s">
        <v>28</v>
      </c>
      <c r="U35" t="s">
        <v>25</v>
      </c>
    </row>
    <row r="36" spans="1:37" x14ac:dyDescent="0.25">
      <c r="A36" s="1" t="s">
        <v>29</v>
      </c>
      <c r="B36" s="1" t="s">
        <v>1</v>
      </c>
      <c r="C36" s="1" t="s">
        <v>2</v>
      </c>
      <c r="D36" s="1" t="s">
        <v>3</v>
      </c>
      <c r="E36" s="1" t="s">
        <v>4</v>
      </c>
      <c r="G36" s="1" t="s">
        <v>30</v>
      </c>
      <c r="H36" s="1" t="s">
        <v>1</v>
      </c>
      <c r="I36" s="1" t="s">
        <v>2</v>
      </c>
      <c r="J36" s="1" t="s">
        <v>3</v>
      </c>
      <c r="K36" s="1" t="s">
        <v>4</v>
      </c>
      <c r="M36" s="1" t="s">
        <v>31</v>
      </c>
      <c r="N36" s="1" t="s">
        <v>1</v>
      </c>
      <c r="O36" s="1" t="s">
        <v>2</v>
      </c>
      <c r="P36" s="1" t="s">
        <v>3</v>
      </c>
      <c r="Q36" s="1" t="s">
        <v>4</v>
      </c>
      <c r="R36" s="1"/>
      <c r="S36" s="4"/>
      <c r="U36" s="1" t="s">
        <v>29</v>
      </c>
      <c r="V36" s="1" t="s">
        <v>1</v>
      </c>
      <c r="W36" s="1" t="s">
        <v>2</v>
      </c>
      <c r="X36" s="1" t="s">
        <v>3</v>
      </c>
      <c r="Y36" s="1" t="s">
        <v>4</v>
      </c>
      <c r="AA36" s="1" t="s">
        <v>30</v>
      </c>
      <c r="AB36" s="1" t="s">
        <v>1</v>
      </c>
      <c r="AC36" s="1" t="s">
        <v>2</v>
      </c>
      <c r="AD36" s="1" t="s">
        <v>3</v>
      </c>
      <c r="AE36" s="1" t="s">
        <v>4</v>
      </c>
      <c r="AG36" s="1" t="s">
        <v>31</v>
      </c>
      <c r="AH36" s="1" t="s">
        <v>1</v>
      </c>
      <c r="AI36" s="1" t="s">
        <v>2</v>
      </c>
      <c r="AJ36" s="1" t="s">
        <v>3</v>
      </c>
      <c r="AK36" s="1" t="s">
        <v>4</v>
      </c>
    </row>
    <row r="37" spans="1:37" x14ac:dyDescent="0.25">
      <c r="A37" t="s">
        <v>5</v>
      </c>
      <c r="B37" s="3">
        <f>-((B3-$B$23)/$B$23)*100</f>
        <v>-68.005122107381354</v>
      </c>
      <c r="C37" s="3">
        <f t="shared" ref="C37:E44" si="56">-((C3-$B$23)/$B$23)*100</f>
        <v>58.327997804811218</v>
      </c>
      <c r="D37" s="3">
        <f t="shared" si="56"/>
        <v>38.534711424128773</v>
      </c>
      <c r="E37" s="3">
        <f t="shared" si="56"/>
        <v>-6.0276227933779554</v>
      </c>
      <c r="G37" t="s">
        <v>5</v>
      </c>
      <c r="H37" s="3">
        <f>-((H3-$H$29)/$H$29)*100</f>
        <v>17.198343106138079</v>
      </c>
      <c r="I37" s="3">
        <f t="shared" ref="I37:K37" si="57">-((I3-$H$29)/$H$29)*100</f>
        <v>-34.961536392490089</v>
      </c>
      <c r="J37" s="3">
        <f t="shared" si="57"/>
        <v>-20.716552800042752</v>
      </c>
      <c r="K37" s="3">
        <f t="shared" si="57"/>
        <v>44.239424749403824</v>
      </c>
      <c r="M37" t="s">
        <v>5</v>
      </c>
      <c r="N37" s="3">
        <f>-((N3-$N$29)/$N$29)*100</f>
        <v>-7.9044265863947816</v>
      </c>
      <c r="O37" s="3">
        <f>-((O3-$N$29)/$N$29)*100</f>
        <v>-39.758647566318025</v>
      </c>
      <c r="P37" s="3">
        <f>-((P3-$N$29)/$N$29)*100</f>
        <v>3.5450318488458885</v>
      </c>
      <c r="Q37" s="3">
        <f>-((Q3-$N$29)/$N$29)*100</f>
        <v>85.153331362378054</v>
      </c>
      <c r="R37" s="3"/>
      <c r="S37" s="4"/>
      <c r="U37" t="s">
        <v>5</v>
      </c>
      <c r="V37" s="3">
        <f>-((V3-$V$23)/$V$23)*100</f>
        <v>-68.005122107381354</v>
      </c>
      <c r="W37" s="3">
        <f t="shared" ref="W37:Y37" si="58">-((W3-$V$23)/$V$23)*100</f>
        <v>58.327997804811218</v>
      </c>
      <c r="X37" s="3">
        <f t="shared" si="58"/>
        <v>38.534711424128773</v>
      </c>
      <c r="Y37" s="3">
        <f t="shared" si="58"/>
        <v>-6.0276227933779554</v>
      </c>
      <c r="AA37" t="s">
        <v>5</v>
      </c>
      <c r="AB37" s="3">
        <f>-((AB3-$AB$29)/$AB$29)*100</f>
        <v>-1.2301756319995332</v>
      </c>
      <c r="AC37" s="3">
        <f t="shared" ref="AC37:AE37" si="59">-((AC3-$AB$29)/$AB$29)*100</f>
        <v>-64.998872547791308</v>
      </c>
      <c r="AD37" s="3">
        <f t="shared" si="59"/>
        <v>-47.583494099666403</v>
      </c>
      <c r="AE37" s="3">
        <f t="shared" si="59"/>
        <v>31.829228572144491</v>
      </c>
      <c r="AG37" t="s">
        <v>5</v>
      </c>
      <c r="AH37" s="3">
        <f>-((AH3-$AH$29)/$AH$29)*100</f>
        <v>-7.9044265863947816</v>
      </c>
      <c r="AI37" s="3">
        <f t="shared" ref="AI37:AK37" si="60">-((AI3-$AH$29)/$AH$29)*100</f>
        <v>-39.758647566318025</v>
      </c>
      <c r="AJ37" s="3">
        <f t="shared" si="60"/>
        <v>3.5450318488458885</v>
      </c>
      <c r="AK37" s="3">
        <f t="shared" si="60"/>
        <v>85.153331362378054</v>
      </c>
    </row>
    <row r="38" spans="1:37" x14ac:dyDescent="0.25">
      <c r="A38" t="s">
        <v>7</v>
      </c>
      <c r="B38" s="3">
        <f t="shared" ref="B38:B44" si="61">-((B4-$B$23)/$B$23)*100</f>
        <v>-31.491813774810211</v>
      </c>
      <c r="C38" s="3">
        <f t="shared" si="56"/>
        <v>21.082959846336891</v>
      </c>
      <c r="D38" s="3">
        <f t="shared" si="56"/>
        <v>18.558492636970534</v>
      </c>
      <c r="E38" s="3"/>
      <c r="G38" t="s">
        <v>7</v>
      </c>
      <c r="H38" s="3">
        <f t="shared" ref="H38:K44" si="62">-((H4-$H$29)/$H$29)*100</f>
        <v>-25.134936431940101</v>
      </c>
      <c r="I38" s="3">
        <f t="shared" si="62"/>
        <v>14.314917424283236</v>
      </c>
      <c r="J38" s="3">
        <f t="shared" si="62"/>
        <v>4.6174260763539534</v>
      </c>
      <c r="K38" s="3">
        <f t="shared" si="62"/>
        <v>-14.160704359208607</v>
      </c>
      <c r="M38" t="s">
        <v>7</v>
      </c>
      <c r="N38" s="3">
        <f t="shared" ref="N38:Q44" si="63">-((N4-$N$29)/$N$29)*100</f>
        <v>-12.752976590426737</v>
      </c>
      <c r="O38" s="3">
        <f t="shared" si="63"/>
        <v>24.788346278925726</v>
      </c>
      <c r="P38" s="3">
        <f t="shared" si="63"/>
        <v>-83.169833633456165</v>
      </c>
      <c r="Q38" s="3">
        <f t="shared" si="63"/>
        <v>2.4269626683148116</v>
      </c>
      <c r="R38" s="3"/>
      <c r="S38" s="4"/>
      <c r="U38" t="s">
        <v>7</v>
      </c>
      <c r="V38" s="3">
        <f t="shared" ref="V38:Y44" si="64">-((V4-$V$23)/$V$23)*100</f>
        <v>-31.491813774810211</v>
      </c>
      <c r="W38" s="3">
        <f t="shared" si="64"/>
        <v>21.082959846336891</v>
      </c>
      <c r="X38" s="3">
        <f t="shared" si="64"/>
        <v>18.558492636970534</v>
      </c>
      <c r="Y38" s="3"/>
      <c r="AA38" t="s">
        <v>7</v>
      </c>
      <c r="AB38" s="3">
        <f t="shared" ref="AB38:AE39" si="65">-((AB4-$AB$29)/$AB$29)*100</f>
        <v>-52.98524290331477</v>
      </c>
      <c r="AC38" s="3">
        <f t="shared" si="65"/>
        <v>-4.7553428707437781</v>
      </c>
      <c r="AD38" s="3">
        <f t="shared" si="65"/>
        <v>-16.611129206022401</v>
      </c>
      <c r="AE38" s="3"/>
      <c r="AG38" t="s">
        <v>7</v>
      </c>
      <c r="AH38" s="3">
        <f t="shared" ref="AH38:AK44" si="66">-((AH4-$AH$29)/$AH$29)*100</f>
        <v>-12.752976590426737</v>
      </c>
      <c r="AI38" s="3">
        <f t="shared" si="66"/>
        <v>24.788346278925726</v>
      </c>
      <c r="AJ38" s="3"/>
      <c r="AK38" s="3">
        <f t="shared" si="66"/>
        <v>2.4269626683148116</v>
      </c>
    </row>
    <row r="39" spans="1:37" x14ac:dyDescent="0.25">
      <c r="A39" t="s">
        <v>8</v>
      </c>
      <c r="B39" s="3">
        <f t="shared" si="61"/>
        <v>-26.772157687734342</v>
      </c>
      <c r="C39" s="3">
        <f t="shared" si="56"/>
        <v>-87.030092380865199</v>
      </c>
      <c r="D39" s="3">
        <f t="shared" si="56"/>
        <v>-1.2347937437116774</v>
      </c>
      <c r="E39" s="3">
        <f t="shared" si="56"/>
        <v>6.2654349217965271</v>
      </c>
      <c r="G39" t="s">
        <v>8</v>
      </c>
      <c r="H39" s="3">
        <f t="shared" si="62"/>
        <v>-127.43199383147731</v>
      </c>
      <c r="I39" s="3">
        <f t="shared" si="62"/>
        <v>0.78720390194936662</v>
      </c>
      <c r="J39" s="3">
        <f t="shared" si="62"/>
        <v>32.375777789732332</v>
      </c>
      <c r="K39" s="3">
        <f t="shared" si="62"/>
        <v>47.553212473326596</v>
      </c>
      <c r="M39" t="s">
        <v>8</v>
      </c>
      <c r="N39" s="3">
        <f t="shared" si="63"/>
        <v>-46.176794689171658</v>
      </c>
      <c r="O39" s="3">
        <f t="shared" si="63"/>
        <v>-6.3025774719811052</v>
      </c>
      <c r="P39" s="3">
        <f t="shared" si="63"/>
        <v>62.08240384873811</v>
      </c>
      <c r="Q39" s="3">
        <f t="shared" si="63"/>
        <v>29.249872335851041</v>
      </c>
      <c r="R39" s="3"/>
      <c r="S39" s="4"/>
      <c r="U39" t="s">
        <v>8</v>
      </c>
      <c r="V39" s="3">
        <f t="shared" si="64"/>
        <v>-26.772157687734342</v>
      </c>
      <c r="W39" s="3">
        <f t="shared" si="64"/>
        <v>-87.030092380865199</v>
      </c>
      <c r="X39" s="3">
        <f t="shared" si="64"/>
        <v>-1.2347937437116774</v>
      </c>
      <c r="Y39" s="3">
        <f t="shared" si="64"/>
        <v>6.2654349217965271</v>
      </c>
      <c r="AA39" t="s">
        <v>8</v>
      </c>
      <c r="AB39" s="3"/>
      <c r="AC39" s="3">
        <f t="shared" si="65"/>
        <v>-21.293814045548821</v>
      </c>
      <c r="AD39" s="3">
        <f t="shared" si="65"/>
        <v>17.325182271440465</v>
      </c>
      <c r="AE39" s="3">
        <f t="shared" si="65"/>
        <v>35.880540174880473</v>
      </c>
      <c r="AG39" t="s">
        <v>8</v>
      </c>
      <c r="AH39" s="3">
        <f t="shared" si="66"/>
        <v>-46.176794689171658</v>
      </c>
      <c r="AI39" s="3">
        <f t="shared" si="66"/>
        <v>-6.3025774719811052</v>
      </c>
      <c r="AJ39" s="3">
        <f t="shared" si="66"/>
        <v>62.08240384873811</v>
      </c>
      <c r="AK39" s="3">
        <f t="shared" si="66"/>
        <v>29.249872335851041</v>
      </c>
    </row>
    <row r="40" spans="1:37" x14ac:dyDescent="0.25">
      <c r="A40" t="s">
        <v>9</v>
      </c>
      <c r="B40" s="3">
        <f t="shared" si="61"/>
        <v>-56.443794018110282</v>
      </c>
      <c r="C40" s="3">
        <f t="shared" si="56"/>
        <v>-89.700905515412146</v>
      </c>
      <c r="D40" s="3">
        <f t="shared" si="56"/>
        <v>-64.273301015274882</v>
      </c>
      <c r="E40" s="3">
        <f t="shared" si="56"/>
        <v>74.791914387633724</v>
      </c>
      <c r="G40" t="s">
        <v>9</v>
      </c>
      <c r="H40" s="3">
        <f t="shared" si="62"/>
        <v>-23.643014686104973</v>
      </c>
      <c r="I40" s="3">
        <f t="shared" si="62"/>
        <v>-26.11042372729387</v>
      </c>
      <c r="J40" s="3">
        <f t="shared" si="62"/>
        <v>-27.401509853497245</v>
      </c>
      <c r="K40" s="3">
        <f t="shared" si="62"/>
        <v>26.020764968529836</v>
      </c>
      <c r="M40" t="s">
        <v>9</v>
      </c>
      <c r="N40" s="3">
        <f t="shared" si="63"/>
        <v>-68.613432956164132</v>
      </c>
      <c r="O40" s="3">
        <f t="shared" si="63"/>
        <v>6.3187034697770432</v>
      </c>
      <c r="P40" s="3">
        <f t="shared" si="63"/>
        <v>61.14709597656357</v>
      </c>
      <c r="Q40" s="3">
        <f t="shared" si="63"/>
        <v>22.390947939903651</v>
      </c>
      <c r="R40" s="3"/>
      <c r="S40" s="4"/>
      <c r="U40" t="s">
        <v>9</v>
      </c>
      <c r="V40" s="3">
        <f t="shared" si="64"/>
        <v>-56.443794018110282</v>
      </c>
      <c r="W40" s="3">
        <f t="shared" si="64"/>
        <v>-89.700905515412146</v>
      </c>
      <c r="X40" s="3">
        <f t="shared" si="64"/>
        <v>-64.273301015274882</v>
      </c>
      <c r="Y40" s="3">
        <f t="shared" si="64"/>
        <v>74.791914387633724</v>
      </c>
      <c r="AA40" t="s">
        <v>9</v>
      </c>
      <c r="AB40" s="3">
        <f t="shared" ref="AB40:AE44" si="67">-((AB6-$AB$29)/$AB$29)*100</f>
        <v>-51.161275774810534</v>
      </c>
      <c r="AC40" s="3">
        <f t="shared" si="67"/>
        <v>-54.177836795029101</v>
      </c>
      <c r="AD40" s="3">
        <f t="shared" si="67"/>
        <v>-55.756269887003796</v>
      </c>
      <c r="AE40" s="3">
        <f t="shared" si="67"/>
        <v>9.5557838298299682</v>
      </c>
      <c r="AG40" t="s">
        <v>9</v>
      </c>
      <c r="AH40" s="3">
        <f t="shared" si="66"/>
        <v>-68.613432956164132</v>
      </c>
      <c r="AI40" s="3">
        <f t="shared" si="66"/>
        <v>6.3187034697770432</v>
      </c>
      <c r="AJ40" s="3">
        <f t="shared" si="66"/>
        <v>61.14709597656357</v>
      </c>
      <c r="AK40" s="3">
        <f t="shared" si="66"/>
        <v>22.390947939903651</v>
      </c>
    </row>
    <row r="41" spans="1:37" x14ac:dyDescent="0.25">
      <c r="A41" t="s">
        <v>10</v>
      </c>
      <c r="B41" s="3">
        <f t="shared" si="61"/>
        <v>27.851458885941682</v>
      </c>
      <c r="C41" s="3">
        <f t="shared" si="56"/>
        <v>-24.613555291319798</v>
      </c>
      <c r="D41" s="3"/>
      <c r="E41" s="3"/>
      <c r="G41" t="s">
        <v>10</v>
      </c>
      <c r="H41" s="3">
        <f t="shared" si="62"/>
        <v>7.4865063568061263</v>
      </c>
      <c r="I41" s="3">
        <f t="shared" si="62"/>
        <v>45.702655692434661</v>
      </c>
      <c r="J41" s="3">
        <f t="shared" si="62"/>
        <v>48.356554951853283</v>
      </c>
      <c r="K41" s="3">
        <f t="shared" si="62"/>
        <v>75.082037764269245</v>
      </c>
      <c r="M41" t="s">
        <v>10</v>
      </c>
      <c r="N41" s="3">
        <f t="shared" si="63"/>
        <v>55.556750073910813</v>
      </c>
      <c r="O41" s="3">
        <f t="shared" si="63"/>
        <v>28.755341736770184</v>
      </c>
      <c r="P41" s="3">
        <f t="shared" si="63"/>
        <v>74.520923482140418</v>
      </c>
      <c r="Q41" s="3">
        <f t="shared" si="63"/>
        <v>56.395301959308753</v>
      </c>
      <c r="R41" s="3"/>
      <c r="S41" s="4"/>
      <c r="U41" t="s">
        <v>10</v>
      </c>
      <c r="V41" s="3">
        <f t="shared" si="64"/>
        <v>27.851458885941682</v>
      </c>
      <c r="W41" s="3">
        <f t="shared" si="64"/>
        <v>-24.613555291319798</v>
      </c>
      <c r="X41" s="3"/>
      <c r="Y41" s="3"/>
      <c r="AA41" t="s">
        <v>10</v>
      </c>
      <c r="AB41" s="3">
        <f t="shared" si="67"/>
        <v>-13.103500112745042</v>
      </c>
      <c r="AC41" s="3">
        <f t="shared" si="67"/>
        <v>33.618119409716215</v>
      </c>
      <c r="AD41" s="3">
        <f t="shared" si="67"/>
        <v>36.862676320998226</v>
      </c>
      <c r="AE41" s="3">
        <f t="shared" si="67"/>
        <v>69.536241324881686</v>
      </c>
      <c r="AG41" t="s">
        <v>10</v>
      </c>
      <c r="AH41" s="3">
        <f t="shared" si="66"/>
        <v>55.556750073910813</v>
      </c>
      <c r="AI41" s="3">
        <f t="shared" si="66"/>
        <v>28.755341736770184</v>
      </c>
      <c r="AJ41" s="3">
        <f t="shared" si="66"/>
        <v>74.520923482140418</v>
      </c>
      <c r="AK41" s="3">
        <f t="shared" si="66"/>
        <v>56.395301959308753</v>
      </c>
    </row>
    <row r="42" spans="1:37" x14ac:dyDescent="0.25">
      <c r="A42" t="s">
        <v>11</v>
      </c>
      <c r="B42" s="3">
        <f t="shared" si="61"/>
        <v>40.656727339248107</v>
      </c>
      <c r="C42" s="3">
        <f t="shared" si="56"/>
        <v>43.473886398975644</v>
      </c>
      <c r="D42" s="3">
        <f t="shared" si="56"/>
        <v>-122.40921979328638</v>
      </c>
      <c r="E42" s="3"/>
      <c r="G42" t="s">
        <v>11</v>
      </c>
      <c r="H42" s="3">
        <f t="shared" si="62"/>
        <v>50.192766331342945</v>
      </c>
      <c r="I42" s="3">
        <f t="shared" si="62"/>
        <v>76.731758925529434</v>
      </c>
      <c r="J42" s="3">
        <f t="shared" si="62"/>
        <v>52.17243172485523</v>
      </c>
      <c r="K42" s="3">
        <f t="shared" si="62"/>
        <v>67.981064070149088</v>
      </c>
      <c r="M42" t="s">
        <v>11</v>
      </c>
      <c r="N42" s="3">
        <f t="shared" si="63"/>
        <v>28.647835084795968</v>
      </c>
      <c r="O42" s="3">
        <f t="shared" si="63"/>
        <v>32.625581207837214</v>
      </c>
      <c r="P42" s="3">
        <f t="shared" si="63"/>
        <v>4.211573091084948</v>
      </c>
      <c r="Q42" s="3">
        <f t="shared" si="63"/>
        <v>74.821942107667894</v>
      </c>
      <c r="R42" s="3"/>
      <c r="S42" s="4"/>
      <c r="U42" t="s">
        <v>11</v>
      </c>
      <c r="V42" s="3">
        <f t="shared" si="64"/>
        <v>40.656727339248107</v>
      </c>
      <c r="W42" s="3">
        <f t="shared" si="64"/>
        <v>43.473886398975644</v>
      </c>
      <c r="X42" s="3">
        <f t="shared" si="64"/>
        <v>-122.40921979328638</v>
      </c>
      <c r="Y42" s="3"/>
      <c r="AA42" t="s">
        <v>11</v>
      </c>
      <c r="AB42" s="3">
        <f t="shared" si="67"/>
        <v>39.107558940696066</v>
      </c>
      <c r="AC42" s="3">
        <f t="shared" si="67"/>
        <v>71.553128053516403</v>
      </c>
      <c r="AD42" s="3">
        <f t="shared" si="67"/>
        <v>41.527823015057791</v>
      </c>
      <c r="AE42" s="3">
        <f t="shared" si="67"/>
        <v>60.854859319018964</v>
      </c>
      <c r="AG42" t="s">
        <v>11</v>
      </c>
      <c r="AH42" s="3">
        <f t="shared" si="66"/>
        <v>28.647835084795968</v>
      </c>
      <c r="AI42" s="3">
        <f t="shared" si="66"/>
        <v>32.625581207837214</v>
      </c>
      <c r="AJ42" s="3">
        <f t="shared" si="66"/>
        <v>4.211573091084948</v>
      </c>
      <c r="AK42" s="3">
        <f t="shared" si="66"/>
        <v>74.821942107667894</v>
      </c>
    </row>
    <row r="43" spans="1:37" x14ac:dyDescent="0.25">
      <c r="A43" t="s">
        <v>12</v>
      </c>
      <c r="B43" s="3">
        <f t="shared" si="61"/>
        <v>25.436751120460944</v>
      </c>
      <c r="C43" s="3">
        <f t="shared" si="56"/>
        <v>53.205890423488555</v>
      </c>
      <c r="D43" s="3"/>
      <c r="E43" s="3">
        <f t="shared" si="56"/>
        <v>84.231226561785419</v>
      </c>
      <c r="G43" t="s">
        <v>12</v>
      </c>
      <c r="H43" s="3">
        <f t="shared" si="62"/>
        <v>53.033155808991019</v>
      </c>
      <c r="I43" s="3">
        <f t="shared" si="62"/>
        <v>10.398622841465427</v>
      </c>
      <c r="J43" s="3">
        <f t="shared" si="62"/>
        <v>49.690677282263778</v>
      </c>
      <c r="K43" s="3">
        <f t="shared" si="62"/>
        <v>69.51602202019123</v>
      </c>
      <c r="M43" t="s">
        <v>12</v>
      </c>
      <c r="N43" s="3">
        <f t="shared" si="63"/>
        <v>45.203859488805875</v>
      </c>
      <c r="O43" s="3">
        <f t="shared" si="63"/>
        <v>46.579944634074238</v>
      </c>
      <c r="P43" s="3">
        <f t="shared" si="63"/>
        <v>8.7053511436022539</v>
      </c>
      <c r="Q43" s="3">
        <f t="shared" si="63"/>
        <v>49.751390867309944</v>
      </c>
      <c r="R43" s="3"/>
      <c r="S43" s="4"/>
      <c r="U43" t="s">
        <v>12</v>
      </c>
      <c r="V43" s="3">
        <f t="shared" si="64"/>
        <v>25.436751120460944</v>
      </c>
      <c r="W43" s="3">
        <f t="shared" si="64"/>
        <v>53.205890423488555</v>
      </c>
      <c r="X43" s="3"/>
      <c r="Y43" s="3">
        <f t="shared" si="64"/>
        <v>84.231226561785419</v>
      </c>
      <c r="AA43" t="s">
        <v>12</v>
      </c>
      <c r="AB43" s="3">
        <f t="shared" si="67"/>
        <v>42.580111743041172</v>
      </c>
      <c r="AC43" s="3">
        <f t="shared" si="67"/>
        <v>-9.5432565830681</v>
      </c>
      <c r="AD43" s="3">
        <f t="shared" si="67"/>
        <v>38.493723849372493</v>
      </c>
      <c r="AE43" s="3">
        <f t="shared" si="67"/>
        <v>62.73144088392263</v>
      </c>
      <c r="AG43" t="s">
        <v>12</v>
      </c>
      <c r="AH43" s="3">
        <f t="shared" si="66"/>
        <v>45.203859488805875</v>
      </c>
      <c r="AI43" s="3">
        <f t="shared" si="66"/>
        <v>46.579944634074238</v>
      </c>
      <c r="AJ43" s="3">
        <f t="shared" si="66"/>
        <v>8.7053511436022539</v>
      </c>
      <c r="AK43" s="3">
        <f t="shared" si="66"/>
        <v>49.751390867309944</v>
      </c>
    </row>
    <row r="44" spans="1:37" x14ac:dyDescent="0.25">
      <c r="A44" t="s">
        <v>13</v>
      </c>
      <c r="B44" s="3">
        <f t="shared" si="61"/>
        <v>88.767950242385453</v>
      </c>
      <c r="C44" s="3">
        <f t="shared" si="56"/>
        <v>45.888594164456151</v>
      </c>
      <c r="D44" s="3">
        <f t="shared" si="56"/>
        <v>68.133174791914314</v>
      </c>
      <c r="E44" s="3">
        <f t="shared" si="56"/>
        <v>83.316564529406378</v>
      </c>
      <c r="G44" t="s">
        <v>13</v>
      </c>
      <c r="H44" s="3">
        <f t="shared" si="62"/>
        <v>48.29917334624426</v>
      </c>
      <c r="I44" s="3">
        <f t="shared" si="62"/>
        <v>29.033299263005091</v>
      </c>
      <c r="J44" s="3">
        <f t="shared" si="62"/>
        <v>41.786361109616848</v>
      </c>
      <c r="K44" s="3">
        <f t="shared" si="62"/>
        <v>39.907113525920437</v>
      </c>
      <c r="M44" t="s">
        <v>13</v>
      </c>
      <c r="N44" s="3">
        <f t="shared" si="63"/>
        <v>6.0391861746446205</v>
      </c>
      <c r="O44" s="3">
        <f t="shared" si="63"/>
        <v>9.5224016986050781</v>
      </c>
      <c r="P44" s="3">
        <f t="shared" si="63"/>
        <v>56.320047302926866</v>
      </c>
      <c r="Q44" s="3">
        <f t="shared" si="63"/>
        <v>28.938103045125935</v>
      </c>
      <c r="R44" s="3"/>
      <c r="S44" s="4"/>
      <c r="U44" t="s">
        <v>13</v>
      </c>
      <c r="V44" s="3">
        <f t="shared" si="64"/>
        <v>88.767950242385453</v>
      </c>
      <c r="W44" s="3">
        <f t="shared" si="64"/>
        <v>45.888594164456151</v>
      </c>
      <c r="X44" s="3">
        <f t="shared" si="64"/>
        <v>68.133174791914314</v>
      </c>
      <c r="Y44" s="3">
        <f t="shared" si="64"/>
        <v>83.316564529406378</v>
      </c>
      <c r="AA44" t="s">
        <v>13</v>
      </c>
      <c r="AB44" s="3">
        <f t="shared" si="67"/>
        <v>36.792523739132697</v>
      </c>
      <c r="AC44" s="3">
        <f t="shared" si="67"/>
        <v>13.238794377771779</v>
      </c>
      <c r="AD44" s="3">
        <f t="shared" si="67"/>
        <v>28.830205697391897</v>
      </c>
      <c r="AE44" s="3">
        <f t="shared" si="67"/>
        <v>26.532708641294938</v>
      </c>
      <c r="AG44" t="s">
        <v>13</v>
      </c>
      <c r="AH44" s="3">
        <f t="shared" si="66"/>
        <v>6.0391861746446205</v>
      </c>
      <c r="AI44" s="3">
        <f t="shared" si="66"/>
        <v>9.5224016986050781</v>
      </c>
      <c r="AJ44" s="3">
        <f t="shared" si="66"/>
        <v>56.320047302926866</v>
      </c>
      <c r="AK44" s="3">
        <f t="shared" si="66"/>
        <v>28.938103045125935</v>
      </c>
    </row>
    <row r="45" spans="1:37" x14ac:dyDescent="0.25">
      <c r="A45" t="s">
        <v>5</v>
      </c>
      <c r="B45" s="3"/>
      <c r="C45" s="3"/>
      <c r="D45" s="3"/>
      <c r="E45" s="3"/>
      <c r="G45" t="s">
        <v>5</v>
      </c>
      <c r="H45" s="3"/>
      <c r="I45" s="3"/>
      <c r="J45" s="3"/>
      <c r="K45" s="3"/>
      <c r="M45" t="s">
        <v>5</v>
      </c>
      <c r="N45" s="3"/>
      <c r="O45" s="3"/>
      <c r="P45" s="3"/>
      <c r="Q45" s="3"/>
      <c r="S45" s="4"/>
      <c r="U45" t="s">
        <v>5</v>
      </c>
      <c r="V45" s="3"/>
      <c r="W45" s="3"/>
      <c r="X45" s="3"/>
      <c r="Y45" s="3"/>
      <c r="AA45" t="s">
        <v>5</v>
      </c>
      <c r="AB45" s="3"/>
      <c r="AC45" s="3"/>
      <c r="AD45" s="3"/>
      <c r="AE45" s="3"/>
      <c r="AG45" t="s">
        <v>5</v>
      </c>
      <c r="AH45" s="3"/>
      <c r="AI45" s="3"/>
      <c r="AJ45" s="3"/>
      <c r="AK45" s="3"/>
    </row>
    <row r="46" spans="1:37" x14ac:dyDescent="0.25">
      <c r="A46" t="s">
        <v>7</v>
      </c>
      <c r="B46" s="3"/>
      <c r="C46" s="3"/>
      <c r="D46" s="3"/>
      <c r="E46" s="3"/>
      <c r="G46" t="s">
        <v>7</v>
      </c>
      <c r="H46" s="3"/>
      <c r="I46" s="3"/>
      <c r="J46" s="3"/>
      <c r="K46" s="3"/>
      <c r="M46" t="s">
        <v>7</v>
      </c>
      <c r="N46" s="3"/>
      <c r="O46" s="3"/>
      <c r="P46" s="3"/>
      <c r="Q46" s="3"/>
      <c r="S46" s="4"/>
      <c r="U46" t="s">
        <v>7</v>
      </c>
      <c r="V46" s="3"/>
      <c r="W46" s="3"/>
      <c r="X46" s="3"/>
      <c r="Y46" s="3"/>
      <c r="AA46" t="s">
        <v>7</v>
      </c>
      <c r="AB46" s="3"/>
      <c r="AC46" s="3"/>
      <c r="AD46" s="3"/>
      <c r="AE46" s="3"/>
      <c r="AG46" t="s">
        <v>7</v>
      </c>
      <c r="AH46" s="3"/>
      <c r="AI46" s="3"/>
      <c r="AJ46" s="3"/>
      <c r="AK46" s="3"/>
    </row>
    <row r="47" spans="1:37" x14ac:dyDescent="0.25">
      <c r="A47" t="s">
        <v>8</v>
      </c>
      <c r="B47" s="3"/>
      <c r="C47" s="3"/>
      <c r="D47" s="3"/>
      <c r="E47" s="3"/>
      <c r="G47" t="s">
        <v>8</v>
      </c>
      <c r="H47" s="3"/>
      <c r="I47" s="3"/>
      <c r="J47" s="3"/>
      <c r="K47" s="3"/>
      <c r="M47" t="s">
        <v>8</v>
      </c>
      <c r="N47" s="3"/>
      <c r="O47" s="3"/>
      <c r="P47" s="3"/>
      <c r="Q47" s="3"/>
      <c r="S47" s="4"/>
      <c r="U47" t="s">
        <v>8</v>
      </c>
      <c r="V47" s="3"/>
      <c r="W47" s="3"/>
      <c r="X47" s="3"/>
      <c r="Y47" s="3"/>
      <c r="AA47" t="s">
        <v>8</v>
      </c>
      <c r="AB47" s="3"/>
      <c r="AC47" s="3"/>
      <c r="AD47" s="3"/>
      <c r="AE47" s="3"/>
      <c r="AG47" t="s">
        <v>8</v>
      </c>
      <c r="AH47" s="3"/>
      <c r="AI47" s="3"/>
      <c r="AJ47" s="3"/>
      <c r="AK47" s="3"/>
    </row>
    <row r="48" spans="1:37" x14ac:dyDescent="0.25">
      <c r="A48" t="s">
        <v>9</v>
      </c>
      <c r="B48" s="3"/>
      <c r="C48" s="3"/>
      <c r="D48" s="3"/>
      <c r="E48" s="3"/>
      <c r="G48" t="s">
        <v>9</v>
      </c>
      <c r="H48" s="3"/>
      <c r="I48" s="3"/>
      <c r="J48" s="3"/>
      <c r="K48" s="3"/>
      <c r="M48" t="s">
        <v>9</v>
      </c>
      <c r="N48" s="3"/>
      <c r="O48" s="3"/>
      <c r="P48" s="3"/>
      <c r="Q48" s="3"/>
      <c r="S48" s="4"/>
      <c r="U48" t="s">
        <v>9</v>
      </c>
      <c r="V48" s="3"/>
      <c r="W48" s="3"/>
      <c r="X48" s="3"/>
      <c r="Y48" s="3"/>
      <c r="AA48" t="s">
        <v>9</v>
      </c>
      <c r="AB48" s="3"/>
      <c r="AC48" s="3"/>
      <c r="AD48" s="3"/>
      <c r="AE48" s="3"/>
      <c r="AG48" t="s">
        <v>9</v>
      </c>
      <c r="AH48" s="3"/>
      <c r="AI48" s="3"/>
      <c r="AJ48" s="3"/>
      <c r="AK48" s="3"/>
    </row>
    <row r="49" spans="1:37" x14ac:dyDescent="0.25">
      <c r="A49" t="s">
        <v>10</v>
      </c>
      <c r="B49" s="3"/>
      <c r="C49" s="3"/>
      <c r="D49" s="3"/>
      <c r="E49" s="3"/>
      <c r="G49" t="s">
        <v>10</v>
      </c>
      <c r="H49" s="3"/>
      <c r="I49" s="3"/>
      <c r="J49" s="3"/>
      <c r="K49" s="3"/>
      <c r="M49" t="s">
        <v>10</v>
      </c>
      <c r="N49" s="3"/>
      <c r="O49" s="3"/>
      <c r="P49" s="3"/>
      <c r="Q49" s="3"/>
      <c r="S49" s="4"/>
      <c r="U49" t="s">
        <v>10</v>
      </c>
      <c r="V49" s="3"/>
      <c r="W49" s="3"/>
      <c r="X49" s="3"/>
      <c r="Y49" s="3"/>
      <c r="AA49" t="s">
        <v>10</v>
      </c>
      <c r="AB49" s="3"/>
      <c r="AC49" s="3"/>
      <c r="AD49" s="3"/>
      <c r="AE49" s="3"/>
      <c r="AG49" t="s">
        <v>10</v>
      </c>
      <c r="AH49" s="3"/>
      <c r="AI49" s="3"/>
      <c r="AJ49" s="3"/>
      <c r="AK49" s="3"/>
    </row>
    <row r="50" spans="1:37" x14ac:dyDescent="0.25">
      <c r="A50" t="s">
        <v>11</v>
      </c>
      <c r="B50" s="3"/>
      <c r="C50" s="3"/>
      <c r="D50" s="3"/>
      <c r="E50" s="3"/>
      <c r="G50" t="s">
        <v>11</v>
      </c>
      <c r="H50" s="3"/>
      <c r="I50" s="3"/>
      <c r="J50" s="3"/>
      <c r="K50" s="3"/>
      <c r="M50" t="s">
        <v>11</v>
      </c>
      <c r="N50" s="3"/>
      <c r="O50" s="3"/>
      <c r="P50" s="3"/>
      <c r="Q50" s="3"/>
      <c r="S50" s="4"/>
      <c r="U50" t="s">
        <v>11</v>
      </c>
      <c r="V50" s="3"/>
      <c r="W50" s="3"/>
      <c r="X50" s="3"/>
      <c r="Y50" s="3"/>
      <c r="AA50" t="s">
        <v>11</v>
      </c>
      <c r="AB50" s="3"/>
      <c r="AC50" s="3"/>
      <c r="AD50" s="3"/>
      <c r="AE50" s="3"/>
      <c r="AG50" t="s">
        <v>11</v>
      </c>
      <c r="AH50" s="3"/>
      <c r="AI50" s="3"/>
      <c r="AJ50" s="3"/>
      <c r="AK50" s="3"/>
    </row>
    <row r="51" spans="1:37" x14ac:dyDescent="0.25">
      <c r="A51" t="s">
        <v>12</v>
      </c>
      <c r="B51" s="3"/>
      <c r="C51" s="3"/>
      <c r="D51" s="3"/>
      <c r="E51" s="3"/>
      <c r="G51" t="s">
        <v>12</v>
      </c>
      <c r="H51" s="3"/>
      <c r="I51" s="3"/>
      <c r="J51" s="3"/>
      <c r="K51" s="3"/>
      <c r="M51" t="s">
        <v>12</v>
      </c>
      <c r="N51" s="3"/>
      <c r="O51" s="3"/>
      <c r="P51" s="3"/>
      <c r="Q51" s="3"/>
      <c r="S51" s="4"/>
      <c r="U51" t="s">
        <v>12</v>
      </c>
      <c r="V51" s="3"/>
      <c r="W51" s="3"/>
      <c r="X51" s="3"/>
      <c r="Y51" s="3"/>
      <c r="AA51" t="s">
        <v>12</v>
      </c>
      <c r="AB51" s="3"/>
      <c r="AC51" s="3"/>
      <c r="AD51" s="3"/>
      <c r="AE51" s="3"/>
      <c r="AG51" t="s">
        <v>12</v>
      </c>
      <c r="AH51" s="3"/>
      <c r="AI51" s="3"/>
      <c r="AJ51" s="3"/>
      <c r="AK51" s="3"/>
    </row>
    <row r="52" spans="1:37" x14ac:dyDescent="0.25">
      <c r="A52" t="s">
        <v>13</v>
      </c>
      <c r="B52" s="3"/>
      <c r="C52" s="3"/>
      <c r="D52" s="3"/>
      <c r="E52" s="3"/>
      <c r="G52" t="s">
        <v>13</v>
      </c>
      <c r="H52" s="3"/>
      <c r="I52" s="3"/>
      <c r="J52" s="3"/>
      <c r="K52" s="3"/>
      <c r="M52" t="s">
        <v>13</v>
      </c>
      <c r="N52" s="3"/>
      <c r="O52" s="3"/>
      <c r="P52" s="3"/>
      <c r="Q52" s="3"/>
      <c r="S52" s="4"/>
      <c r="U52" t="s">
        <v>13</v>
      </c>
      <c r="V52" s="3"/>
      <c r="W52" s="3"/>
      <c r="X52" s="3"/>
      <c r="Y52" s="3"/>
      <c r="AA52" t="s">
        <v>13</v>
      </c>
      <c r="AB52" s="3"/>
      <c r="AC52" s="3"/>
      <c r="AD52" s="3"/>
      <c r="AE52" s="3"/>
      <c r="AG52" t="s">
        <v>13</v>
      </c>
      <c r="AH52" s="3"/>
      <c r="AI52" s="3"/>
      <c r="AJ52" s="3"/>
      <c r="AK52" s="3"/>
    </row>
    <row r="53" spans="1:37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  <c r="S53" s="4"/>
      <c r="U53" s="2"/>
      <c r="V53" s="2"/>
      <c r="W53" s="2"/>
      <c r="X53" s="2"/>
      <c r="Y53" s="2"/>
      <c r="AA53" s="2"/>
      <c r="AB53" s="2"/>
      <c r="AC53" s="2"/>
      <c r="AD53" s="2"/>
      <c r="AE53" s="2"/>
      <c r="AG53" s="2"/>
      <c r="AH53" s="2"/>
      <c r="AI53" s="2"/>
      <c r="AJ53" s="2"/>
      <c r="AK53" s="2"/>
    </row>
    <row r="54" spans="1:37" x14ac:dyDescent="0.25">
      <c r="A54" t="s">
        <v>14</v>
      </c>
      <c r="B54">
        <f>COUNT(B37:B52)</f>
        <v>8</v>
      </c>
      <c r="C54">
        <f t="shared" ref="C54:E54" si="68">COUNT(C37:C52)</f>
        <v>8</v>
      </c>
      <c r="D54">
        <f t="shared" si="68"/>
        <v>6</v>
      </c>
      <c r="E54">
        <f t="shared" si="68"/>
        <v>5</v>
      </c>
      <c r="G54" t="s">
        <v>14</v>
      </c>
      <c r="H54">
        <f>COUNT(H37:H52)</f>
        <v>8</v>
      </c>
      <c r="I54">
        <f t="shared" ref="I54:K54" si="69">COUNT(I37:I52)</f>
        <v>8</v>
      </c>
      <c r="J54">
        <f t="shared" si="69"/>
        <v>8</v>
      </c>
      <c r="K54">
        <f t="shared" si="69"/>
        <v>8</v>
      </c>
      <c r="M54" t="s">
        <v>14</v>
      </c>
      <c r="N54">
        <f>COUNT(N37:N52)</f>
        <v>8</v>
      </c>
      <c r="O54">
        <f t="shared" ref="O54:Q54" si="70">COUNT(O37:O52)</f>
        <v>8</v>
      </c>
      <c r="P54">
        <f t="shared" si="70"/>
        <v>8</v>
      </c>
      <c r="Q54">
        <f t="shared" si="70"/>
        <v>8</v>
      </c>
      <c r="S54" s="4"/>
      <c r="U54" t="s">
        <v>14</v>
      </c>
      <c r="V54">
        <f>COUNT(V37:V52)</f>
        <v>8</v>
      </c>
      <c r="W54">
        <f t="shared" ref="W54:Y54" si="71">COUNT(W37:W52)</f>
        <v>8</v>
      </c>
      <c r="X54">
        <f t="shared" si="71"/>
        <v>6</v>
      </c>
      <c r="Y54">
        <f t="shared" si="71"/>
        <v>5</v>
      </c>
      <c r="AA54" t="s">
        <v>14</v>
      </c>
      <c r="AB54">
        <f>COUNT(AB37:AB52)</f>
        <v>7</v>
      </c>
      <c r="AC54">
        <f t="shared" ref="AC54:AE54" si="72">COUNT(AC37:AC52)</f>
        <v>8</v>
      </c>
      <c r="AD54">
        <f t="shared" si="72"/>
        <v>8</v>
      </c>
      <c r="AE54">
        <f t="shared" si="72"/>
        <v>7</v>
      </c>
      <c r="AG54" t="s">
        <v>14</v>
      </c>
      <c r="AH54">
        <f>COUNT(AH37:AH52)</f>
        <v>8</v>
      </c>
      <c r="AI54">
        <f t="shared" ref="AI54:AK54" si="73">COUNT(AI37:AI52)</f>
        <v>8</v>
      </c>
      <c r="AJ54">
        <f t="shared" si="73"/>
        <v>7</v>
      </c>
      <c r="AK54">
        <f t="shared" si="73"/>
        <v>8</v>
      </c>
    </row>
    <row r="55" spans="1:37" x14ac:dyDescent="0.25">
      <c r="A55" t="s">
        <v>15</v>
      </c>
      <c r="B55">
        <f>MAX(B37:B52)</f>
        <v>88.767950242385453</v>
      </c>
      <c r="C55">
        <f t="shared" ref="C55:E55" si="74">MAX(C37:C52)</f>
        <v>58.327997804811218</v>
      </c>
      <c r="D55">
        <f t="shared" si="74"/>
        <v>68.133174791914314</v>
      </c>
      <c r="E55">
        <f t="shared" si="74"/>
        <v>84.231226561785419</v>
      </c>
      <c r="G55" t="s">
        <v>15</v>
      </c>
      <c r="H55">
        <f>MAX(H37:H52)</f>
        <v>53.033155808991019</v>
      </c>
      <c r="I55">
        <f t="shared" ref="I55:K55" si="75">MAX(I37:I52)</f>
        <v>76.731758925529434</v>
      </c>
      <c r="J55">
        <f t="shared" si="75"/>
        <v>52.17243172485523</v>
      </c>
      <c r="K55">
        <f t="shared" si="75"/>
        <v>75.082037764269245</v>
      </c>
      <c r="M55" t="s">
        <v>15</v>
      </c>
      <c r="N55">
        <f>MAX(N37:N52)</f>
        <v>55.556750073910813</v>
      </c>
      <c r="O55">
        <f t="shared" ref="O55:Q55" si="76">MAX(O37:O52)</f>
        <v>46.579944634074238</v>
      </c>
      <c r="P55">
        <f t="shared" si="76"/>
        <v>74.520923482140418</v>
      </c>
      <c r="Q55">
        <f t="shared" si="76"/>
        <v>85.153331362378054</v>
      </c>
      <c r="S55" s="4"/>
      <c r="U55" t="s">
        <v>15</v>
      </c>
      <c r="V55">
        <f>MAX(V37:V52)</f>
        <v>88.767950242385453</v>
      </c>
      <c r="W55">
        <f t="shared" ref="W55:Y55" si="77">MAX(W37:W52)</f>
        <v>58.327997804811218</v>
      </c>
      <c r="X55">
        <f t="shared" si="77"/>
        <v>68.133174791914314</v>
      </c>
      <c r="Y55">
        <f t="shared" si="77"/>
        <v>84.231226561785419</v>
      </c>
      <c r="AA55" t="s">
        <v>15</v>
      </c>
      <c r="AB55">
        <f>MAX(AB37:AB52)</f>
        <v>42.580111743041172</v>
      </c>
      <c r="AC55">
        <f t="shared" ref="AC55:AE55" si="78">MAX(AC37:AC52)</f>
        <v>71.553128053516403</v>
      </c>
      <c r="AD55">
        <f t="shared" si="78"/>
        <v>41.527823015057791</v>
      </c>
      <c r="AE55">
        <f t="shared" si="78"/>
        <v>69.536241324881686</v>
      </c>
      <c r="AG55" t="s">
        <v>15</v>
      </c>
      <c r="AH55">
        <f>MAX(AH37:AH52)</f>
        <v>55.556750073910813</v>
      </c>
      <c r="AI55">
        <f t="shared" ref="AI55:AK55" si="79">MAX(AI37:AI52)</f>
        <v>46.579944634074238</v>
      </c>
      <c r="AJ55">
        <f t="shared" si="79"/>
        <v>74.520923482140418</v>
      </c>
      <c r="AK55">
        <f t="shared" si="79"/>
        <v>85.153331362378054</v>
      </c>
    </row>
    <row r="56" spans="1:37" x14ac:dyDescent="0.25">
      <c r="A56" t="s">
        <v>16</v>
      </c>
      <c r="B56">
        <f>MIN(B37:B52)</f>
        <v>-68.005122107381354</v>
      </c>
      <c r="C56">
        <f t="shared" ref="C56:E56" si="80">MIN(C37:C52)</f>
        <v>-89.700905515412146</v>
      </c>
      <c r="D56">
        <f t="shared" si="80"/>
        <v>-122.40921979328638</v>
      </c>
      <c r="E56">
        <f t="shared" si="80"/>
        <v>-6.0276227933779554</v>
      </c>
      <c r="G56" t="s">
        <v>16</v>
      </c>
      <c r="H56">
        <f>MIN(H37:H52)</f>
        <v>-127.43199383147731</v>
      </c>
      <c r="I56">
        <f t="shared" ref="I56:K56" si="81">MIN(I37:I52)</f>
        <v>-34.961536392490089</v>
      </c>
      <c r="J56">
        <f t="shared" si="81"/>
        <v>-27.401509853497245</v>
      </c>
      <c r="K56">
        <f t="shared" si="81"/>
        <v>-14.160704359208607</v>
      </c>
      <c r="M56" t="s">
        <v>16</v>
      </c>
      <c r="N56">
        <f>MIN(N37:N52)</f>
        <v>-68.613432956164132</v>
      </c>
      <c r="O56">
        <f t="shared" ref="O56:Q56" si="82">MIN(O37:O52)</f>
        <v>-39.758647566318025</v>
      </c>
      <c r="P56">
        <f t="shared" si="82"/>
        <v>-83.169833633456165</v>
      </c>
      <c r="Q56">
        <f t="shared" si="82"/>
        <v>2.4269626683148116</v>
      </c>
      <c r="S56" s="4"/>
      <c r="U56" t="s">
        <v>16</v>
      </c>
      <c r="V56">
        <f>MIN(V37:V52)</f>
        <v>-68.005122107381354</v>
      </c>
      <c r="W56">
        <f t="shared" ref="W56:Y56" si="83">MIN(W37:W52)</f>
        <v>-89.700905515412146</v>
      </c>
      <c r="X56">
        <f t="shared" si="83"/>
        <v>-122.40921979328638</v>
      </c>
      <c r="Y56">
        <f t="shared" si="83"/>
        <v>-6.0276227933779554</v>
      </c>
      <c r="AA56" t="s">
        <v>16</v>
      </c>
      <c r="AB56">
        <f>MIN(AB37:AB52)</f>
        <v>-52.98524290331477</v>
      </c>
      <c r="AC56">
        <f t="shared" ref="AC56:AE56" si="84">MIN(AC37:AC52)</f>
        <v>-64.998872547791308</v>
      </c>
      <c r="AD56">
        <f t="shared" si="84"/>
        <v>-55.756269887003796</v>
      </c>
      <c r="AE56">
        <f t="shared" si="84"/>
        <v>9.5557838298299682</v>
      </c>
      <c r="AG56" t="s">
        <v>16</v>
      </c>
      <c r="AH56">
        <f>MIN(AH37:AH52)</f>
        <v>-68.613432956164132</v>
      </c>
      <c r="AI56">
        <f t="shared" ref="AI56:AK56" si="85">MIN(AI37:AI52)</f>
        <v>-39.758647566318025</v>
      </c>
      <c r="AJ56">
        <f t="shared" si="85"/>
        <v>3.5450318488458885</v>
      </c>
      <c r="AK56">
        <f t="shared" si="85"/>
        <v>2.4269626683148116</v>
      </c>
    </row>
    <row r="57" spans="1:37" x14ac:dyDescent="0.25">
      <c r="A57" t="s">
        <v>17</v>
      </c>
      <c r="B57">
        <f>AVERAGE(B37:B52)</f>
        <v>0</v>
      </c>
      <c r="C57">
        <f t="shared" ref="C57:E57" si="86">AVERAGE(C37:C52)</f>
        <v>2.5793469313089137</v>
      </c>
      <c r="D57">
        <f t="shared" si="86"/>
        <v>-10.448489283209886</v>
      </c>
      <c r="E57">
        <f t="shared" si="86"/>
        <v>48.515503521448821</v>
      </c>
      <c r="G57" t="s">
        <v>17</v>
      </c>
      <c r="H57">
        <f>AVERAGE(H37:H52)</f>
        <v>0</v>
      </c>
      <c r="I57">
        <f t="shared" ref="I57:K57" si="87">AVERAGE(I37:I52)</f>
        <v>14.487062241110408</v>
      </c>
      <c r="J57">
        <f t="shared" si="87"/>
        <v>22.610145785141928</v>
      </c>
      <c r="K57">
        <f t="shared" si="87"/>
        <v>44.5173669015727</v>
      </c>
      <c r="M57" t="s">
        <v>17</v>
      </c>
      <c r="N57">
        <f>AVERAGE(N37:N52)</f>
        <v>0</v>
      </c>
      <c r="O57">
        <f t="shared" ref="O57:Q57" si="88">AVERAGE(O37:O52)</f>
        <v>12.816136748461293</v>
      </c>
      <c r="P57">
        <f t="shared" si="88"/>
        <v>23.420324132555738</v>
      </c>
      <c r="Q57">
        <f t="shared" si="88"/>
        <v>43.640981535732514</v>
      </c>
      <c r="S57" s="4"/>
      <c r="U57" t="s">
        <v>17</v>
      </c>
      <c r="V57">
        <f>AVERAGE(V37:V52)</f>
        <v>0</v>
      </c>
      <c r="W57">
        <f t="shared" ref="W57:Y57" si="89">AVERAGE(W37:W52)</f>
        <v>2.5793469313089137</v>
      </c>
      <c r="X57">
        <f t="shared" si="89"/>
        <v>-10.448489283209886</v>
      </c>
      <c r="Y57">
        <f t="shared" si="89"/>
        <v>48.515503521448821</v>
      </c>
      <c r="AA57" t="s">
        <v>17</v>
      </c>
      <c r="AB57">
        <f>AVERAGE(AB37:AB52)</f>
        <v>9.1355494597727174E-15</v>
      </c>
      <c r="AC57">
        <f t="shared" ref="AC57:AE57" si="90">AVERAGE(AC37:AC52)</f>
        <v>-4.5448851251470863</v>
      </c>
      <c r="AD57">
        <f t="shared" si="90"/>
        <v>5.386089745196033</v>
      </c>
      <c r="AE57">
        <f t="shared" si="90"/>
        <v>42.417257535139022</v>
      </c>
      <c r="AG57" t="s">
        <v>17</v>
      </c>
      <c r="AH57">
        <f>AVERAGE(AH37:AH52)</f>
        <v>0</v>
      </c>
      <c r="AI57">
        <f t="shared" ref="AI57:AK57" si="91">AVERAGE(AI37:AI52)</f>
        <v>12.816136748461293</v>
      </c>
      <c r="AJ57">
        <f t="shared" si="91"/>
        <v>38.647489527700294</v>
      </c>
      <c r="AK57">
        <f t="shared" si="91"/>
        <v>43.640981535732514</v>
      </c>
    </row>
    <row r="58" spans="1:37" x14ac:dyDescent="0.25">
      <c r="A58" t="s">
        <v>18</v>
      </c>
      <c r="B58">
        <f>STDEV(B37:B52)</f>
        <v>54.082650790770636</v>
      </c>
      <c r="C58">
        <f t="shared" ref="C58:E58" si="92">STDEV(C37:C52)</f>
        <v>61.928930998163466</v>
      </c>
      <c r="D58">
        <f t="shared" si="92"/>
        <v>70.615925399736213</v>
      </c>
      <c r="E58">
        <f t="shared" si="92"/>
        <v>44.545475113788626</v>
      </c>
      <c r="G58" t="s">
        <v>18</v>
      </c>
      <c r="H58">
        <f>STDEV(H37:H52)</f>
        <v>60.292312422494426</v>
      </c>
      <c r="I58">
        <f t="shared" ref="I58:K58" si="93">STDEV(I37:I52)</f>
        <v>36.563368503400334</v>
      </c>
      <c r="J58">
        <f t="shared" si="93"/>
        <v>32.591328374005265</v>
      </c>
      <c r="K58">
        <f t="shared" si="93"/>
        <v>29.094587920439388</v>
      </c>
      <c r="M58" t="s">
        <v>18</v>
      </c>
      <c r="N58">
        <f>STDEV(N37:N52)</f>
        <v>43.181228622645079</v>
      </c>
      <c r="O58">
        <f t="shared" ref="O58:Q58" si="94">STDEV(O37:O52)</f>
        <v>27.025118946228183</v>
      </c>
      <c r="P58">
        <f t="shared" si="94"/>
        <v>52.035323555815886</v>
      </c>
      <c r="Q58">
        <f t="shared" si="94"/>
        <v>27.951425266306035</v>
      </c>
      <c r="S58" s="4"/>
      <c r="U58" t="s">
        <v>18</v>
      </c>
      <c r="V58">
        <f>STDEV(V37:V52)</f>
        <v>54.082650790770636</v>
      </c>
      <c r="W58">
        <f t="shared" ref="W58:Y58" si="95">STDEV(W37:W52)</f>
        <v>61.928930998163466</v>
      </c>
      <c r="X58">
        <f t="shared" si="95"/>
        <v>70.615925399736213</v>
      </c>
      <c r="Y58">
        <f t="shared" si="95"/>
        <v>44.545475113788626</v>
      </c>
      <c r="AA58" t="s">
        <v>18</v>
      </c>
      <c r="AB58">
        <f>STDEV(AB37:AB52)</f>
        <v>41.42117823280801</v>
      </c>
      <c r="AC58">
        <f t="shared" ref="AC58:AE58" si="96">STDEV(AC37:AC52)</f>
        <v>44.700992155763416</v>
      </c>
      <c r="AD58">
        <f t="shared" si="96"/>
        <v>39.84492604549915</v>
      </c>
      <c r="AE58">
        <f t="shared" si="96"/>
        <v>22.267617988430395</v>
      </c>
      <c r="AG58" t="s">
        <v>18</v>
      </c>
      <c r="AH58">
        <f>STDEV(AH37:AH52)</f>
        <v>43.181228622645079</v>
      </c>
      <c r="AI58">
        <f t="shared" ref="AI58:AK58" si="97">STDEV(AI37:AI52)</f>
        <v>27.025118946228183</v>
      </c>
      <c r="AJ58">
        <f t="shared" si="97"/>
        <v>31.541498031768164</v>
      </c>
      <c r="AK58">
        <f t="shared" si="97"/>
        <v>27.951425266306035</v>
      </c>
    </row>
    <row r="59" spans="1:37" x14ac:dyDescent="0.25">
      <c r="A59" t="s">
        <v>19</v>
      </c>
      <c r="B59">
        <f>B57+2*B58</f>
        <v>108.16530158154127</v>
      </c>
      <c r="C59">
        <f t="shared" ref="C59:E59" si="98">C57+2*C58</f>
        <v>126.43720892763585</v>
      </c>
      <c r="D59">
        <f t="shared" si="98"/>
        <v>130.78336151626254</v>
      </c>
      <c r="E59">
        <f t="shared" si="98"/>
        <v>137.60645374902606</v>
      </c>
      <c r="G59" t="s">
        <v>19</v>
      </c>
      <c r="H59">
        <f>H57+2*H58</f>
        <v>120.58462484498885</v>
      </c>
      <c r="I59">
        <f t="shared" ref="I59:K59" si="99">I57+2*I58</f>
        <v>87.613799247911075</v>
      </c>
      <c r="J59">
        <f t="shared" si="99"/>
        <v>87.792802533152454</v>
      </c>
      <c r="K59">
        <f t="shared" si="99"/>
        <v>102.70654274245148</v>
      </c>
      <c r="M59" t="s">
        <v>19</v>
      </c>
      <c r="N59">
        <f>N57+2*N58</f>
        <v>86.362457245290159</v>
      </c>
      <c r="O59">
        <f t="shared" ref="O59:Q59" si="100">O57+2*O58</f>
        <v>66.866374640917655</v>
      </c>
      <c r="P59">
        <f t="shared" si="100"/>
        <v>127.49097124418751</v>
      </c>
      <c r="Q59">
        <f t="shared" si="100"/>
        <v>99.543832068344585</v>
      </c>
      <c r="S59" s="4"/>
      <c r="U59" t="s">
        <v>19</v>
      </c>
      <c r="V59">
        <f>V57+2*V58</f>
        <v>108.16530158154127</v>
      </c>
      <c r="W59">
        <f t="shared" ref="W59:Y59" si="101">W57+2*W58</f>
        <v>126.43720892763585</v>
      </c>
      <c r="X59">
        <f t="shared" si="101"/>
        <v>130.78336151626254</v>
      </c>
      <c r="Y59">
        <f t="shared" si="101"/>
        <v>137.60645374902606</v>
      </c>
      <c r="AA59" t="s">
        <v>19</v>
      </c>
      <c r="AB59">
        <f>AB57+2*AB58</f>
        <v>82.842356465616035</v>
      </c>
      <c r="AC59">
        <f t="shared" ref="AC59:AE59" si="102">AC57+2*AC58</f>
        <v>84.857099186379742</v>
      </c>
      <c r="AD59">
        <f t="shared" si="102"/>
        <v>85.075941836194332</v>
      </c>
      <c r="AE59">
        <f t="shared" si="102"/>
        <v>86.952493511999819</v>
      </c>
      <c r="AG59" t="s">
        <v>19</v>
      </c>
      <c r="AH59">
        <f>AH57+2*AH58</f>
        <v>86.362457245290159</v>
      </c>
      <c r="AI59">
        <f t="shared" ref="AI59:AK59" si="103">AI57+2*AI58</f>
        <v>66.866374640917655</v>
      </c>
      <c r="AJ59">
        <f t="shared" si="103"/>
        <v>101.73048559123663</v>
      </c>
      <c r="AK59">
        <f t="shared" si="103"/>
        <v>99.543832068344585</v>
      </c>
    </row>
    <row r="60" spans="1:37" x14ac:dyDescent="0.25">
      <c r="A60" t="s">
        <v>20</v>
      </c>
      <c r="B60">
        <f>B57-2*B58</f>
        <v>-108.16530158154127</v>
      </c>
      <c r="C60">
        <f t="shared" ref="C60:E60" si="104">C57-2*C58</f>
        <v>-121.27851506501801</v>
      </c>
      <c r="D60">
        <f t="shared" si="104"/>
        <v>-151.68034008268231</v>
      </c>
      <c r="E60">
        <f t="shared" si="104"/>
        <v>-40.575446706128432</v>
      </c>
      <c r="G60" t="s">
        <v>20</v>
      </c>
      <c r="H60">
        <f>H57-2*H58</f>
        <v>-120.58462484498885</v>
      </c>
      <c r="I60">
        <f t="shared" ref="I60:K60" si="105">I57-2*I58</f>
        <v>-58.639674765690259</v>
      </c>
      <c r="J60">
        <f t="shared" si="105"/>
        <v>-42.572510962868606</v>
      </c>
      <c r="K60">
        <f t="shared" si="105"/>
        <v>-13.671808939306075</v>
      </c>
      <c r="M60" t="s">
        <v>20</v>
      </c>
      <c r="N60">
        <f>N57-2*N58</f>
        <v>-86.362457245290159</v>
      </c>
      <c r="O60">
        <f t="shared" ref="O60:Q60" si="106">O57-2*O58</f>
        <v>-41.234101143995076</v>
      </c>
      <c r="P60">
        <f t="shared" si="106"/>
        <v>-80.650322979076037</v>
      </c>
      <c r="Q60">
        <f t="shared" si="106"/>
        <v>-12.261868996879556</v>
      </c>
      <c r="S60" s="4"/>
      <c r="U60" t="s">
        <v>20</v>
      </c>
      <c r="V60">
        <f>V57-2*V58</f>
        <v>-108.16530158154127</v>
      </c>
      <c r="W60">
        <f t="shared" ref="W60:Y60" si="107">W57-2*W58</f>
        <v>-121.27851506501801</v>
      </c>
      <c r="X60">
        <f t="shared" si="107"/>
        <v>-151.68034008268231</v>
      </c>
      <c r="Y60">
        <f t="shared" si="107"/>
        <v>-40.575446706128432</v>
      </c>
      <c r="AA60" t="s">
        <v>20</v>
      </c>
      <c r="AB60">
        <f>AB57-2*AB58</f>
        <v>-82.842356465616007</v>
      </c>
      <c r="AC60">
        <f t="shared" ref="AC60:AE60" si="108">AC57-2*AC58</f>
        <v>-93.946869436673921</v>
      </c>
      <c r="AD60">
        <f t="shared" si="108"/>
        <v>-74.303762345802269</v>
      </c>
      <c r="AE60">
        <f t="shared" si="108"/>
        <v>-2.1179784417217675</v>
      </c>
      <c r="AG60" t="s">
        <v>20</v>
      </c>
      <c r="AH60">
        <f>AH57-2*AH58</f>
        <v>-86.362457245290159</v>
      </c>
      <c r="AI60">
        <f t="shared" ref="AI60:AK60" si="109">AI57-2*AI58</f>
        <v>-41.234101143995076</v>
      </c>
      <c r="AJ60">
        <f t="shared" si="109"/>
        <v>-24.435506535836033</v>
      </c>
      <c r="AK60">
        <f t="shared" si="109"/>
        <v>-12.261868996879556</v>
      </c>
    </row>
    <row r="61" spans="1:37" x14ac:dyDescent="0.25">
      <c r="A61" t="s">
        <v>21</v>
      </c>
      <c r="B61">
        <f>VAR(B37:B52)</f>
        <v>2924.9331165564436</v>
      </c>
      <c r="C61">
        <f t="shared" ref="C61:E61" si="110">VAR(C37:C52)</f>
        <v>3835.1924945752921</v>
      </c>
      <c r="D61">
        <f t="shared" si="110"/>
        <v>4986.6089200611095</v>
      </c>
      <c r="E61">
        <f t="shared" si="110"/>
        <v>1984.2993531131619</v>
      </c>
      <c r="G61" t="s">
        <v>21</v>
      </c>
      <c r="H61">
        <f>VAR(H37:H52)</f>
        <v>3635.1629372516759</v>
      </c>
      <c r="I61">
        <f t="shared" ref="I61:K61" si="111">VAR(I37:I52)</f>
        <v>1336.8799163154474</v>
      </c>
      <c r="J61">
        <f t="shared" si="111"/>
        <v>1062.1946851822408</v>
      </c>
      <c r="K61">
        <f t="shared" si="111"/>
        <v>846.49504626017756</v>
      </c>
      <c r="M61" t="s">
        <v>21</v>
      </c>
      <c r="N61">
        <f>VAR(N37:N52)</f>
        <v>1864.6185053611428</v>
      </c>
      <c r="O61">
        <f t="shared" ref="O61:Q61" si="112">VAR(O37:O52)</f>
        <v>730.3570540577814</v>
      </c>
      <c r="P61">
        <f t="shared" si="112"/>
        <v>2707.6748975584474</v>
      </c>
      <c r="Q61">
        <f t="shared" si="112"/>
        <v>781.2821744178915</v>
      </c>
      <c r="S61" s="4"/>
      <c r="U61" t="s">
        <v>21</v>
      </c>
      <c r="V61">
        <f>VAR(V37:V52)</f>
        <v>2924.9331165564436</v>
      </c>
      <c r="W61">
        <f t="shared" ref="W61:Y61" si="113">VAR(W37:W52)</f>
        <v>3835.1924945752921</v>
      </c>
      <c r="X61">
        <f t="shared" si="113"/>
        <v>4986.6089200611095</v>
      </c>
      <c r="Y61">
        <f t="shared" si="113"/>
        <v>1984.2993531131619</v>
      </c>
      <c r="AA61" t="s">
        <v>21</v>
      </c>
      <c r="AB61">
        <f>VAR(AB37:AB52)</f>
        <v>1715.7140061940484</v>
      </c>
      <c r="AC61">
        <f t="shared" ref="AC61:AE61" si="114">VAR(AC37:AC52)</f>
        <v>1998.1786997096224</v>
      </c>
      <c r="AD61">
        <f t="shared" si="114"/>
        <v>1587.6181315712965</v>
      </c>
      <c r="AE61">
        <f t="shared" si="114"/>
        <v>495.84681087866892</v>
      </c>
      <c r="AG61" t="s">
        <v>21</v>
      </c>
      <c r="AH61">
        <f>VAR(AH37:AH52)</f>
        <v>1864.6185053611428</v>
      </c>
      <c r="AI61">
        <f t="shared" ref="AI61:AK61" si="115">VAR(AI37:AI52)</f>
        <v>730.3570540577814</v>
      </c>
      <c r="AJ61">
        <f t="shared" si="115"/>
        <v>994.86609808803496</v>
      </c>
      <c r="AK61">
        <f t="shared" si="115"/>
        <v>781.2821744178915</v>
      </c>
    </row>
    <row r="62" spans="1:37" x14ac:dyDescent="0.25">
      <c r="S62" s="4"/>
    </row>
    <row r="63" spans="1:37" x14ac:dyDescent="0.25">
      <c r="A63" t="s">
        <v>22</v>
      </c>
      <c r="S63" s="4"/>
      <c r="U63" t="s">
        <v>22</v>
      </c>
    </row>
    <row r="64" spans="1:37" x14ac:dyDescent="0.25">
      <c r="A64" t="s">
        <v>1</v>
      </c>
      <c r="B64" t="e">
        <f>TTEST(B45:B52,H45:H52,2,3)</f>
        <v>#DIV/0!</v>
      </c>
      <c r="S64" s="4"/>
      <c r="U64" t="s">
        <v>1</v>
      </c>
      <c r="V64" t="e">
        <f>TTEST(V45:V52,AB45:AB52,2,3)</f>
        <v>#DIV/0!</v>
      </c>
    </row>
    <row r="65" spans="1:37" x14ac:dyDescent="0.25">
      <c r="A65" t="s">
        <v>2</v>
      </c>
      <c r="B65" t="e">
        <f>TTEST(C45:C52,I45:I52,2,3)</f>
        <v>#DIV/0!</v>
      </c>
      <c r="S65" s="4"/>
      <c r="U65" t="s">
        <v>2</v>
      </c>
      <c r="V65" t="e">
        <f>TTEST(W45:W52,AC45:AC52,2,3)</f>
        <v>#DIV/0!</v>
      </c>
    </row>
    <row r="66" spans="1:37" x14ac:dyDescent="0.25">
      <c r="A66" t="s">
        <v>3</v>
      </c>
      <c r="B66" t="e">
        <f>TTEST(D45:D52,J45:J52,2,3)</f>
        <v>#DIV/0!</v>
      </c>
      <c r="S66" s="4"/>
      <c r="U66" t="s">
        <v>3</v>
      </c>
      <c r="V66" t="e">
        <f>TTEST(X45:X52,AD45:AD52,2,3)</f>
        <v>#DIV/0!</v>
      </c>
    </row>
    <row r="67" spans="1:37" x14ac:dyDescent="0.25">
      <c r="A67" t="s">
        <v>4</v>
      </c>
      <c r="B67" t="e">
        <f>TTEST(E45:E52,K45:K52,2,3)</f>
        <v>#DIV/0!</v>
      </c>
      <c r="S67" s="4"/>
      <c r="U67" t="s">
        <v>4</v>
      </c>
      <c r="V67" t="e">
        <f>TTEST(Y45:Y52,AE45:AE52,2,3)</f>
        <v>#DIV/0!</v>
      </c>
    </row>
    <row r="68" spans="1:37" x14ac:dyDescent="0.25">
      <c r="S68" s="4"/>
    </row>
    <row r="69" spans="1:37" x14ac:dyDescent="0.25">
      <c r="A69" t="s">
        <v>26</v>
      </c>
      <c r="S69" s="4"/>
      <c r="U69" t="s">
        <v>26</v>
      </c>
    </row>
    <row r="70" spans="1:37" x14ac:dyDescent="0.25">
      <c r="A70" s="1" t="s">
        <v>29</v>
      </c>
      <c r="B70" s="1" t="s">
        <v>1</v>
      </c>
      <c r="C70" s="1" t="s">
        <v>2</v>
      </c>
      <c r="D70" s="1" t="s">
        <v>3</v>
      </c>
      <c r="E70" s="1" t="s">
        <v>4</v>
      </c>
      <c r="G70" s="1" t="s">
        <v>30</v>
      </c>
      <c r="H70" s="1" t="s">
        <v>1</v>
      </c>
      <c r="I70" s="1" t="s">
        <v>2</v>
      </c>
      <c r="J70" s="1" t="s">
        <v>3</v>
      </c>
      <c r="K70" s="1" t="s">
        <v>4</v>
      </c>
      <c r="M70" s="1" t="s">
        <v>31</v>
      </c>
      <c r="N70" s="1" t="s">
        <v>1</v>
      </c>
      <c r="O70" s="1" t="s">
        <v>2</v>
      </c>
      <c r="P70" s="1" t="s">
        <v>3</v>
      </c>
      <c r="Q70" s="1" t="s">
        <v>4</v>
      </c>
      <c r="R70" s="1"/>
      <c r="S70" s="4"/>
      <c r="U70" s="1" t="s">
        <v>29</v>
      </c>
      <c r="V70" s="1" t="s">
        <v>1</v>
      </c>
      <c r="W70" s="1" t="s">
        <v>2</v>
      </c>
      <c r="X70" s="1" t="s">
        <v>3</v>
      </c>
      <c r="Y70" s="1" t="s">
        <v>4</v>
      </c>
      <c r="AA70" s="1" t="s">
        <v>30</v>
      </c>
      <c r="AB70" s="1" t="s">
        <v>1</v>
      </c>
      <c r="AC70" s="1" t="s">
        <v>2</v>
      </c>
      <c r="AD70" s="1" t="s">
        <v>3</v>
      </c>
      <c r="AE70" s="1" t="s">
        <v>4</v>
      </c>
      <c r="AG70" s="1" t="s">
        <v>31</v>
      </c>
      <c r="AH70" s="1" t="s">
        <v>1</v>
      </c>
      <c r="AI70" s="1" t="s">
        <v>2</v>
      </c>
      <c r="AJ70" s="1" t="s">
        <v>3</v>
      </c>
      <c r="AK70" s="1" t="s">
        <v>4</v>
      </c>
    </row>
    <row r="71" spans="1:37" x14ac:dyDescent="0.25">
      <c r="A71" t="s">
        <v>5</v>
      </c>
      <c r="B71" s="3"/>
      <c r="C71" s="3">
        <f>-((C3-B$23)/B$23)*100</f>
        <v>58.327997804811218</v>
      </c>
      <c r="D71" s="3">
        <f t="shared" ref="D71:E78" si="116">-((D3-C$23)/C$23)*100</f>
        <v>36.907332644822041</v>
      </c>
      <c r="E71" s="3">
        <f t="shared" si="116"/>
        <v>4.0026500303648715</v>
      </c>
      <c r="G71" t="s">
        <v>5</v>
      </c>
      <c r="H71" s="3"/>
      <c r="I71" s="3">
        <f>-((I3-H$23)/H$23)*100</f>
        <v>-34.961536392490089</v>
      </c>
      <c r="J71" s="3">
        <f>-((J3-I$23)/I$23)*100</f>
        <v>-41.167589330649015</v>
      </c>
      <c r="K71" s="3">
        <f>-((K3-J$23)/J$23)*100</f>
        <v>27.948468418369611</v>
      </c>
      <c r="M71" t="s">
        <v>5</v>
      </c>
      <c r="N71" s="3"/>
      <c r="O71" s="3">
        <f>-((O3-N$23)/N$23)*100</f>
        <v>-39.758647566318025</v>
      </c>
      <c r="P71" s="3">
        <f t="shared" ref="P71:Q78" si="117">-((P3-O$23)/O$23)*100</f>
        <v>-10.633968894985593</v>
      </c>
      <c r="Q71" s="3">
        <f t="shared" si="117"/>
        <v>80.612782086828332</v>
      </c>
      <c r="R71" s="3"/>
      <c r="S71" s="4"/>
      <c r="U71" t="s">
        <v>5</v>
      </c>
      <c r="V71" s="3"/>
      <c r="W71" s="3">
        <f>-((W3-V$23)/V$23)*100</f>
        <v>58.327997804811218</v>
      </c>
      <c r="X71" s="3">
        <f t="shared" ref="X71:X74" si="118">-((X3-W$23)/W$23)*100</f>
        <v>36.907332644822041</v>
      </c>
      <c r="Y71" s="3">
        <f t="shared" ref="Y71" si="119">-((Y3-X$23)/X$23)*100</f>
        <v>4.0026500303648715</v>
      </c>
      <c r="AA71" t="s">
        <v>5</v>
      </c>
      <c r="AB71" s="3"/>
      <c r="AC71" s="3">
        <f>-((AC3-AB$23)/AB$23)*100</f>
        <v>-64.998872547791308</v>
      </c>
      <c r="AD71" s="3">
        <f>-((AD3-AC$23)/AC$23)*100</f>
        <v>-41.167589330649015</v>
      </c>
      <c r="AE71" s="3">
        <f>-((AE3-AD$23)/AD$23)*100</f>
        <v>27.948468418369611</v>
      </c>
      <c r="AG71" t="s">
        <v>5</v>
      </c>
      <c r="AH71" s="3"/>
      <c r="AI71" s="3">
        <f>-((AI3-AH$23)/AH$23)*100</f>
        <v>-39.758647566318025</v>
      </c>
      <c r="AJ71" s="3">
        <f t="shared" ref="AJ71:AJ78" si="120">-((AJ3-AI$23)/AI$23)*100</f>
        <v>-10.633968894985593</v>
      </c>
      <c r="AK71" s="3">
        <f t="shared" ref="AK71:AK78" si="121">-((AK3-AJ$23)/AJ$23)*100</f>
        <v>75.801041353759871</v>
      </c>
    </row>
    <row r="72" spans="1:37" x14ac:dyDescent="0.25">
      <c r="A72" t="s">
        <v>7</v>
      </c>
      <c r="B72" s="3"/>
      <c r="C72" s="3">
        <f t="shared" ref="C72:C78" si="122">-((C4-B$23)/B$23)*100</f>
        <v>21.082959846336891</v>
      </c>
      <c r="D72" s="3">
        <f t="shared" si="116"/>
        <v>16.402215754389115</v>
      </c>
      <c r="E72" s="3"/>
      <c r="G72" t="s">
        <v>7</v>
      </c>
      <c r="H72" s="3"/>
      <c r="I72" s="3">
        <f t="shared" ref="I72:K78" si="123">-((I4-H$23)/H$23)*100</f>
        <v>14.314917424283236</v>
      </c>
      <c r="J72" s="3">
        <f t="shared" si="123"/>
        <v>-11.541687636302084</v>
      </c>
      <c r="K72" s="3">
        <f t="shared" si="123"/>
        <v>-47.513786551740154</v>
      </c>
      <c r="M72" t="s">
        <v>7</v>
      </c>
      <c r="N72" s="3"/>
      <c r="O72" s="3">
        <f t="shared" ref="O72:O78" si="124">-((O4-N$23)/N$23)*100</f>
        <v>24.788346278925726</v>
      </c>
      <c r="P72" s="3">
        <f t="shared" si="117"/>
        <v>-110.09602786811973</v>
      </c>
      <c r="Q72" s="3">
        <f t="shared" si="117"/>
        <v>-27.413750745797667</v>
      </c>
      <c r="R72" s="3"/>
      <c r="S72" s="4"/>
      <c r="U72" t="s">
        <v>7</v>
      </c>
      <c r="V72" s="3"/>
      <c r="W72" s="3">
        <f t="shared" ref="W72:W78" si="125">-((W4-V$23)/V$23)*100</f>
        <v>21.082959846336891</v>
      </c>
      <c r="X72" s="3">
        <f t="shared" si="118"/>
        <v>16.402215754389115</v>
      </c>
      <c r="Y72" s="3"/>
      <c r="AA72" t="s">
        <v>7</v>
      </c>
      <c r="AB72" s="3"/>
      <c r="AC72" s="3">
        <f t="shared" ref="AC72:AD72" si="126">-((AC4-AB$23)/AB$23)*100</f>
        <v>-4.7553428707437781</v>
      </c>
      <c r="AD72" s="3">
        <f t="shared" si="126"/>
        <v>-11.541687636302084</v>
      </c>
      <c r="AE72" s="3"/>
      <c r="AG72" t="s">
        <v>7</v>
      </c>
      <c r="AH72" s="3"/>
      <c r="AI72" s="3">
        <f t="shared" ref="AI72:AI78" si="127">-((AI4-AH$23)/AH$23)*100</f>
        <v>24.788346278925726</v>
      </c>
      <c r="AJ72" s="3"/>
      <c r="AK72" s="3">
        <f t="shared" si="121"/>
        <v>-59.036747772104327</v>
      </c>
    </row>
    <row r="73" spans="1:37" x14ac:dyDescent="0.25">
      <c r="A73" t="s">
        <v>8</v>
      </c>
      <c r="B73" s="3"/>
      <c r="C73" s="3">
        <f t="shared" si="122"/>
        <v>-87.030092380865199</v>
      </c>
      <c r="D73" s="3">
        <f t="shared" si="116"/>
        <v>-3.9151253403436543</v>
      </c>
      <c r="E73" s="3">
        <f t="shared" si="116"/>
        <v>15.132777563076397</v>
      </c>
      <c r="G73" t="s">
        <v>8</v>
      </c>
      <c r="H73" s="3"/>
      <c r="I73" s="3">
        <f t="shared" si="123"/>
        <v>0.78720390194936662</v>
      </c>
      <c r="J73" s="3">
        <f t="shared" si="123"/>
        <v>20.919308840798518</v>
      </c>
      <c r="K73" s="3">
        <f t="shared" si="123"/>
        <v>32.230409194123851</v>
      </c>
      <c r="M73" t="s">
        <v>8</v>
      </c>
      <c r="N73" s="3"/>
      <c r="O73" s="3">
        <f t="shared" si="124"/>
        <v>-6.3025774719811052</v>
      </c>
      <c r="P73" s="3">
        <f t="shared" si="117"/>
        <v>56.508469873761094</v>
      </c>
      <c r="Q73" s="3">
        <f t="shared" si="117"/>
        <v>7.612396027094662</v>
      </c>
      <c r="R73" s="3"/>
      <c r="S73" s="4"/>
      <c r="U73" t="s">
        <v>8</v>
      </c>
      <c r="V73" s="3"/>
      <c r="W73" s="3">
        <f t="shared" si="125"/>
        <v>-87.030092380865199</v>
      </c>
      <c r="X73" s="3">
        <f t="shared" si="118"/>
        <v>-3.9151253403436543</v>
      </c>
      <c r="Y73" s="3">
        <f t="shared" ref="Y73:Y74" si="128">-((Y5-X$23)/X$23)*100</f>
        <v>15.132777563076397</v>
      </c>
      <c r="AA73" t="s">
        <v>8</v>
      </c>
      <c r="AB73" s="3"/>
      <c r="AC73" s="3">
        <f t="shared" ref="AC73:AE73" si="129">-((AC5-AB$23)/AB$23)*100</f>
        <v>-21.293814045548821</v>
      </c>
      <c r="AD73" s="3">
        <f t="shared" si="129"/>
        <v>20.919308840798518</v>
      </c>
      <c r="AE73" s="3">
        <f t="shared" si="129"/>
        <v>32.230409194123851</v>
      </c>
      <c r="AG73" t="s">
        <v>8</v>
      </c>
      <c r="AH73" s="3"/>
      <c r="AI73" s="3">
        <f t="shared" si="127"/>
        <v>-6.3025774719811052</v>
      </c>
      <c r="AJ73" s="3">
        <f t="shared" si="120"/>
        <v>56.508469873761094</v>
      </c>
      <c r="AK73" s="3">
        <f t="shared" si="121"/>
        <v>-15.317412636427017</v>
      </c>
    </row>
    <row r="74" spans="1:37" x14ac:dyDescent="0.25">
      <c r="A74" t="s">
        <v>9</v>
      </c>
      <c r="B74" s="3"/>
      <c r="C74" s="3">
        <f t="shared" si="122"/>
        <v>-89.700905515412146</v>
      </c>
      <c r="D74" s="3">
        <f t="shared" si="116"/>
        <v>-68.622664538541073</v>
      </c>
      <c r="E74" s="3">
        <f t="shared" si="116"/>
        <v>77.176613482029438</v>
      </c>
      <c r="G74" t="s">
        <v>9</v>
      </c>
      <c r="H74" s="3"/>
      <c r="I74" s="3">
        <f t="shared" si="123"/>
        <v>-26.11042372729387</v>
      </c>
      <c r="J74" s="3">
        <f t="shared" si="123"/>
        <v>-48.985069619191144</v>
      </c>
      <c r="K74" s="3">
        <f t="shared" si="123"/>
        <v>4.4070624217988152</v>
      </c>
      <c r="M74" t="s">
        <v>9</v>
      </c>
      <c r="N74" s="3"/>
      <c r="O74" s="3">
        <f t="shared" si="124"/>
        <v>6.3187034697770432</v>
      </c>
      <c r="P74" s="3">
        <f t="shared" si="117"/>
        <v>55.435670576629647</v>
      </c>
      <c r="Q74" s="3">
        <f t="shared" si="117"/>
        <v>-1.3441898010039877</v>
      </c>
      <c r="R74" s="3"/>
      <c r="S74" s="4"/>
      <c r="U74" t="s">
        <v>9</v>
      </c>
      <c r="V74" s="3"/>
      <c r="W74" s="3">
        <f t="shared" si="125"/>
        <v>-89.700905515412146</v>
      </c>
      <c r="X74" s="3">
        <f t="shared" si="118"/>
        <v>-68.622664538541073</v>
      </c>
      <c r="Y74" s="3">
        <f t="shared" si="128"/>
        <v>77.176613482029438</v>
      </c>
      <c r="AA74" t="s">
        <v>9</v>
      </c>
      <c r="AB74" s="3"/>
      <c r="AC74" s="3">
        <f t="shared" ref="AC74:AE74" si="130">-((AC6-AB$23)/AB$23)*100</f>
        <v>-54.177836795029101</v>
      </c>
      <c r="AD74" s="3">
        <f t="shared" si="130"/>
        <v>-48.985069619191144</v>
      </c>
      <c r="AE74" s="3">
        <f t="shared" si="130"/>
        <v>4.4070624217988152</v>
      </c>
      <c r="AG74" t="s">
        <v>9</v>
      </c>
      <c r="AH74" s="3"/>
      <c r="AI74" s="3">
        <f t="shared" si="127"/>
        <v>6.3187034697770432</v>
      </c>
      <c r="AJ74" s="3">
        <f t="shared" si="120"/>
        <v>55.435670576629647</v>
      </c>
      <c r="AK74" s="3">
        <f t="shared" si="121"/>
        <v>-26.496946029839101</v>
      </c>
    </row>
    <row r="75" spans="1:37" x14ac:dyDescent="0.25">
      <c r="A75" t="s">
        <v>10</v>
      </c>
      <c r="B75" s="3"/>
      <c r="C75" s="3">
        <f t="shared" si="122"/>
        <v>-24.613555291319798</v>
      </c>
      <c r="D75" s="3"/>
      <c r="E75" s="3"/>
      <c r="G75" t="s">
        <v>10</v>
      </c>
      <c r="H75" s="3"/>
      <c r="I75" s="3">
        <f t="shared" si="123"/>
        <v>45.702655692434661</v>
      </c>
      <c r="J75" s="3">
        <f t="shared" si="123"/>
        <v>39.607448414695504</v>
      </c>
      <c r="K75" s="3">
        <f t="shared" si="123"/>
        <v>67.802029751146932</v>
      </c>
      <c r="M75" t="s">
        <v>10</v>
      </c>
      <c r="N75" s="3"/>
      <c r="O75" s="3">
        <f t="shared" si="124"/>
        <v>28.755341736770184</v>
      </c>
      <c r="P75" s="3">
        <f t="shared" si="117"/>
        <v>70.775467422969598</v>
      </c>
      <c r="Q75" s="3">
        <f t="shared" si="117"/>
        <v>43.059698873407498</v>
      </c>
      <c r="R75" s="3"/>
      <c r="S75" s="4"/>
      <c r="U75" t="s">
        <v>10</v>
      </c>
      <c r="V75" s="3"/>
      <c r="W75" s="3">
        <f t="shared" si="125"/>
        <v>-24.613555291319798</v>
      </c>
      <c r="X75" s="3"/>
      <c r="Y75" s="3"/>
      <c r="AA75" t="s">
        <v>10</v>
      </c>
      <c r="AB75" s="3"/>
      <c r="AC75" s="3">
        <f t="shared" ref="AC75:AE75" si="131">-((AC7-AB$23)/AB$23)*100</f>
        <v>33.618119409716215</v>
      </c>
      <c r="AD75" s="3">
        <f t="shared" si="131"/>
        <v>39.607448414695504</v>
      </c>
      <c r="AE75" s="3">
        <f t="shared" si="131"/>
        <v>67.802029751146932</v>
      </c>
      <c r="AG75" t="s">
        <v>10</v>
      </c>
      <c r="AH75" s="3"/>
      <c r="AI75" s="3">
        <f t="shared" si="127"/>
        <v>28.755341736770184</v>
      </c>
      <c r="AJ75" s="3">
        <f t="shared" si="120"/>
        <v>70.775467422969598</v>
      </c>
      <c r="AK75" s="3">
        <f t="shared" si="121"/>
        <v>28.927605887653929</v>
      </c>
    </row>
    <row r="76" spans="1:37" x14ac:dyDescent="0.25">
      <c r="A76" t="s">
        <v>11</v>
      </c>
      <c r="B76" s="3"/>
      <c r="C76" s="3">
        <f t="shared" si="122"/>
        <v>43.473886398975644</v>
      </c>
      <c r="D76" s="3">
        <f t="shared" si="116"/>
        <v>-128.2978124119802</v>
      </c>
      <c r="E76" s="3"/>
      <c r="G76" t="s">
        <v>11</v>
      </c>
      <c r="H76" s="3"/>
      <c r="I76" s="3">
        <f t="shared" si="123"/>
        <v>76.731758925529434</v>
      </c>
      <c r="J76" s="3">
        <f t="shared" si="123"/>
        <v>44.069786948498553</v>
      </c>
      <c r="K76" s="3">
        <f t="shared" si="123"/>
        <v>58.626442374530782</v>
      </c>
      <c r="M76" t="s">
        <v>11</v>
      </c>
      <c r="N76" s="3"/>
      <c r="O76" s="3">
        <f t="shared" si="124"/>
        <v>32.625581207837214</v>
      </c>
      <c r="P76" s="3">
        <f t="shared" si="117"/>
        <v>-9.8694452579497014</v>
      </c>
      <c r="Q76" s="3">
        <f t="shared" si="117"/>
        <v>67.121749201558231</v>
      </c>
      <c r="R76" s="3"/>
      <c r="S76" s="4"/>
      <c r="U76" t="s">
        <v>11</v>
      </c>
      <c r="V76" s="3"/>
      <c r="W76" s="3">
        <f t="shared" si="125"/>
        <v>43.473886398975644</v>
      </c>
      <c r="X76" s="3">
        <f t="shared" ref="X76" si="132">-((X8-W$23)/W$23)*100</f>
        <v>-128.2978124119802</v>
      </c>
      <c r="Y76" s="3"/>
      <c r="AA76" t="s">
        <v>11</v>
      </c>
      <c r="AB76" s="3"/>
      <c r="AC76" s="3">
        <f t="shared" ref="AC76:AE76" si="133">-((AC8-AB$23)/AB$23)*100</f>
        <v>71.553128053516403</v>
      </c>
      <c r="AD76" s="3">
        <f t="shared" si="133"/>
        <v>44.069786948498553</v>
      </c>
      <c r="AE76" s="3">
        <f t="shared" si="133"/>
        <v>58.626442374530782</v>
      </c>
      <c r="AG76" t="s">
        <v>11</v>
      </c>
      <c r="AH76" s="3"/>
      <c r="AI76" s="3">
        <f t="shared" si="127"/>
        <v>32.625581207837214</v>
      </c>
      <c r="AJ76" s="3">
        <f t="shared" si="120"/>
        <v>-9.8694452579497014</v>
      </c>
      <c r="AK76" s="3">
        <f t="shared" si="121"/>
        <v>58.961650145188685</v>
      </c>
    </row>
    <row r="77" spans="1:37" x14ac:dyDescent="0.25">
      <c r="A77" t="s">
        <v>12</v>
      </c>
      <c r="B77" s="3"/>
      <c r="C77" s="3">
        <f t="shared" si="122"/>
        <v>53.205890423488555</v>
      </c>
      <c r="D77" s="3"/>
      <c r="E77" s="3">
        <f t="shared" si="116"/>
        <v>85.722961408932818</v>
      </c>
      <c r="G77" t="s">
        <v>12</v>
      </c>
      <c r="H77" s="3"/>
      <c r="I77" s="3">
        <f t="shared" si="123"/>
        <v>10.398622841465427</v>
      </c>
      <c r="J77" s="3">
        <f t="shared" si="123"/>
        <v>41.167589330649257</v>
      </c>
      <c r="K77" s="3">
        <f t="shared" si="123"/>
        <v>60.609852171092257</v>
      </c>
      <c r="M77" t="s">
        <v>12</v>
      </c>
      <c r="N77" s="3"/>
      <c r="O77" s="3">
        <f t="shared" si="124"/>
        <v>46.579944634074238</v>
      </c>
      <c r="P77" s="3">
        <f t="shared" si="117"/>
        <v>-4.7150762211566537</v>
      </c>
      <c r="Q77" s="3">
        <f t="shared" si="117"/>
        <v>34.383883760923737</v>
      </c>
      <c r="R77" s="3"/>
      <c r="S77" s="4"/>
      <c r="U77" t="s">
        <v>12</v>
      </c>
      <c r="V77" s="3"/>
      <c r="W77" s="3">
        <f t="shared" si="125"/>
        <v>53.205890423488555</v>
      </c>
      <c r="X77" s="3"/>
      <c r="Y77" s="3">
        <f t="shared" ref="Y77:Y78" si="134">-((Y9-X$23)/X$23)*100</f>
        <v>85.722961408932818</v>
      </c>
      <c r="AA77" t="s">
        <v>12</v>
      </c>
      <c r="AB77" s="3"/>
      <c r="AC77" s="3">
        <f t="shared" ref="AC77:AE77" si="135">-((AC9-AB$23)/AB$23)*100</f>
        <v>-9.5432565830681</v>
      </c>
      <c r="AD77" s="3">
        <f t="shared" si="135"/>
        <v>41.167589330649257</v>
      </c>
      <c r="AE77" s="3">
        <f t="shared" si="135"/>
        <v>60.609852171092257</v>
      </c>
      <c r="AG77" t="s">
        <v>12</v>
      </c>
      <c r="AH77" s="3"/>
      <c r="AI77" s="3">
        <f t="shared" si="127"/>
        <v>46.579944634074238</v>
      </c>
      <c r="AJ77" s="3">
        <f t="shared" si="120"/>
        <v>-4.7150762211566537</v>
      </c>
      <c r="AK77" s="3">
        <f t="shared" si="121"/>
        <v>18.098528086512456</v>
      </c>
    </row>
    <row r="78" spans="1:37" x14ac:dyDescent="0.25">
      <c r="A78" t="s">
        <v>13</v>
      </c>
      <c r="B78" s="3"/>
      <c r="C78" s="3">
        <f t="shared" si="122"/>
        <v>45.888594164456151</v>
      </c>
      <c r="D78" s="3">
        <f t="shared" si="116"/>
        <v>67.289456389071347</v>
      </c>
      <c r="E78" s="3">
        <f t="shared" si="116"/>
        <v>84.894826919891798</v>
      </c>
      <c r="G78" t="s">
        <v>13</v>
      </c>
      <c r="H78" s="3"/>
      <c r="I78" s="3">
        <f t="shared" si="123"/>
        <v>29.033299263005091</v>
      </c>
      <c r="J78" s="3">
        <f t="shared" si="123"/>
        <v>31.924173796342892</v>
      </c>
      <c r="K78" s="3">
        <f t="shared" si="123"/>
        <v>22.350433291626047</v>
      </c>
      <c r="M78" t="s">
        <v>13</v>
      </c>
      <c r="N78" s="3"/>
      <c r="O78" s="3">
        <f t="shared" si="124"/>
        <v>9.5224016986050781</v>
      </c>
      <c r="P78" s="3">
        <f t="shared" si="117"/>
        <v>49.899039721318815</v>
      </c>
      <c r="Q78" s="3">
        <f t="shared" si="117"/>
        <v>7.2052784894535229</v>
      </c>
      <c r="R78" s="3"/>
      <c r="S78" s="4"/>
      <c r="U78" t="s">
        <v>13</v>
      </c>
      <c r="V78" s="3"/>
      <c r="W78" s="3">
        <f t="shared" si="125"/>
        <v>45.888594164456151</v>
      </c>
      <c r="X78" s="3">
        <f t="shared" ref="X78" si="136">-((X10-W$23)/W$23)*100</f>
        <v>67.289456389071347</v>
      </c>
      <c r="Y78" s="3">
        <f t="shared" si="134"/>
        <v>84.894826919891798</v>
      </c>
      <c r="AA78" t="s">
        <v>13</v>
      </c>
      <c r="AB78" s="3"/>
      <c r="AC78" s="3">
        <f t="shared" ref="AC78:AE78" si="137">-((AC10-AB$23)/AB$23)*100</f>
        <v>13.238794377771779</v>
      </c>
      <c r="AD78" s="3">
        <f t="shared" si="137"/>
        <v>31.924173796342892</v>
      </c>
      <c r="AE78" s="3">
        <f t="shared" si="137"/>
        <v>22.350433291626047</v>
      </c>
      <c r="AG78" t="s">
        <v>13</v>
      </c>
      <c r="AH78" s="3"/>
      <c r="AI78" s="3">
        <f t="shared" si="127"/>
        <v>9.5224016986050781</v>
      </c>
      <c r="AJ78" s="3">
        <f t="shared" si="120"/>
        <v>49.899039721318815</v>
      </c>
      <c r="AK78" s="3">
        <f t="shared" si="121"/>
        <v>-15.825573245218838</v>
      </c>
    </row>
    <row r="79" spans="1:37" x14ac:dyDescent="0.25">
      <c r="A79" t="s">
        <v>5</v>
      </c>
      <c r="C79" s="3"/>
      <c r="D79" s="3"/>
      <c r="E79" s="3"/>
      <c r="G79" t="s">
        <v>5</v>
      </c>
      <c r="I79" s="3"/>
      <c r="J79" s="3"/>
      <c r="K79" s="3"/>
      <c r="M79" t="s">
        <v>5</v>
      </c>
      <c r="O79" s="3"/>
      <c r="P79" s="3"/>
      <c r="Q79" s="3"/>
      <c r="S79" s="4"/>
      <c r="U79" t="s">
        <v>5</v>
      </c>
      <c r="W79" s="3"/>
      <c r="X79" s="3"/>
      <c r="Y79" s="3"/>
      <c r="AA79" t="s">
        <v>5</v>
      </c>
      <c r="AC79" s="3"/>
      <c r="AD79" s="3"/>
      <c r="AE79" s="3"/>
      <c r="AG79" t="s">
        <v>5</v>
      </c>
      <c r="AI79" s="3"/>
      <c r="AJ79" s="3"/>
      <c r="AK79" s="3"/>
    </row>
    <row r="80" spans="1:37" x14ac:dyDescent="0.25">
      <c r="A80" t="s">
        <v>7</v>
      </c>
      <c r="C80" s="3"/>
      <c r="D80" s="3"/>
      <c r="E80" s="3"/>
      <c r="G80" t="s">
        <v>7</v>
      </c>
      <c r="I80" s="3"/>
      <c r="J80" s="3"/>
      <c r="K80" s="3"/>
      <c r="M80" t="s">
        <v>7</v>
      </c>
      <c r="O80" s="3"/>
      <c r="P80" s="3"/>
      <c r="Q80" s="3"/>
      <c r="S80" s="4"/>
      <c r="U80" t="s">
        <v>7</v>
      </c>
      <c r="W80" s="3"/>
      <c r="X80" s="3"/>
      <c r="Y80" s="3"/>
      <c r="AA80" t="s">
        <v>7</v>
      </c>
      <c r="AC80" s="3"/>
      <c r="AD80" s="3"/>
      <c r="AE80" s="3"/>
      <c r="AG80" t="s">
        <v>7</v>
      </c>
      <c r="AI80" s="3"/>
      <c r="AJ80" s="3"/>
      <c r="AK80" s="3"/>
    </row>
    <row r="81" spans="1:37" x14ac:dyDescent="0.25">
      <c r="A81" t="s">
        <v>8</v>
      </c>
      <c r="C81" s="3"/>
      <c r="D81" s="3"/>
      <c r="E81" s="3"/>
      <c r="G81" t="s">
        <v>8</v>
      </c>
      <c r="I81" s="3"/>
      <c r="J81" s="3"/>
      <c r="K81" s="3"/>
      <c r="M81" t="s">
        <v>8</v>
      </c>
      <c r="O81" s="3"/>
      <c r="P81" s="3"/>
      <c r="Q81" s="3"/>
      <c r="S81" s="4"/>
      <c r="U81" t="s">
        <v>8</v>
      </c>
      <c r="W81" s="3"/>
      <c r="X81" s="3"/>
      <c r="Y81" s="3"/>
      <c r="AA81" t="s">
        <v>8</v>
      </c>
      <c r="AC81" s="3"/>
      <c r="AD81" s="3"/>
      <c r="AE81" s="3"/>
      <c r="AG81" t="s">
        <v>8</v>
      </c>
      <c r="AI81" s="3"/>
      <c r="AJ81" s="3"/>
      <c r="AK81" s="3"/>
    </row>
    <row r="82" spans="1:37" x14ac:dyDescent="0.25">
      <c r="A82" t="s">
        <v>9</v>
      </c>
      <c r="C82" s="3"/>
      <c r="D82" s="3"/>
      <c r="E82" s="3"/>
      <c r="G82" t="s">
        <v>9</v>
      </c>
      <c r="I82" s="3"/>
      <c r="J82" s="3"/>
      <c r="K82" s="3"/>
      <c r="M82" t="s">
        <v>9</v>
      </c>
      <c r="O82" s="3"/>
      <c r="P82" s="3"/>
      <c r="Q82" s="3"/>
      <c r="S82" s="4"/>
      <c r="U82" t="s">
        <v>9</v>
      </c>
      <c r="W82" s="3"/>
      <c r="X82" s="3"/>
      <c r="Y82" s="3"/>
      <c r="AA82" t="s">
        <v>9</v>
      </c>
      <c r="AC82" s="3"/>
      <c r="AD82" s="3"/>
      <c r="AE82" s="3"/>
      <c r="AG82" t="s">
        <v>9</v>
      </c>
      <c r="AI82" s="3"/>
      <c r="AJ82" s="3"/>
      <c r="AK82" s="3"/>
    </row>
    <row r="83" spans="1:37" x14ac:dyDescent="0.25">
      <c r="A83" t="s">
        <v>10</v>
      </c>
      <c r="C83" s="3"/>
      <c r="D83" s="3"/>
      <c r="E83" s="3"/>
      <c r="G83" t="s">
        <v>10</v>
      </c>
      <c r="I83" s="3"/>
      <c r="J83" s="3"/>
      <c r="K83" s="3"/>
      <c r="M83" t="s">
        <v>10</v>
      </c>
      <c r="O83" s="3"/>
      <c r="P83" s="3"/>
      <c r="Q83" s="3"/>
      <c r="S83" s="4"/>
      <c r="U83" t="s">
        <v>10</v>
      </c>
      <c r="W83" s="3"/>
      <c r="X83" s="3"/>
      <c r="Y83" s="3"/>
      <c r="AA83" t="s">
        <v>10</v>
      </c>
      <c r="AC83" s="3"/>
      <c r="AD83" s="3"/>
      <c r="AE83" s="3"/>
      <c r="AG83" t="s">
        <v>10</v>
      </c>
      <c r="AI83" s="3"/>
      <c r="AJ83" s="3"/>
      <c r="AK83" s="3"/>
    </row>
    <row r="84" spans="1:37" x14ac:dyDescent="0.25">
      <c r="A84" t="s">
        <v>11</v>
      </c>
      <c r="C84" s="3"/>
      <c r="D84" s="3"/>
      <c r="E84" s="3"/>
      <c r="G84" t="s">
        <v>11</v>
      </c>
      <c r="I84" s="3"/>
      <c r="J84" s="3"/>
      <c r="K84" s="3"/>
      <c r="M84" t="s">
        <v>11</v>
      </c>
      <c r="O84" s="3"/>
      <c r="P84" s="3"/>
      <c r="Q84" s="3"/>
      <c r="S84" s="4"/>
      <c r="U84" t="s">
        <v>11</v>
      </c>
      <c r="W84" s="3"/>
      <c r="X84" s="3"/>
      <c r="Y84" s="3"/>
      <c r="AA84" t="s">
        <v>11</v>
      </c>
      <c r="AC84" s="3"/>
      <c r="AD84" s="3"/>
      <c r="AE84" s="3"/>
      <c r="AG84" t="s">
        <v>11</v>
      </c>
      <c r="AI84" s="3"/>
      <c r="AJ84" s="3"/>
      <c r="AK84" s="3"/>
    </row>
    <row r="85" spans="1:37" x14ac:dyDescent="0.25">
      <c r="A85" t="s">
        <v>12</v>
      </c>
      <c r="C85" s="3"/>
      <c r="D85" s="3"/>
      <c r="E85" s="3"/>
      <c r="G85" t="s">
        <v>12</v>
      </c>
      <c r="I85" s="3"/>
      <c r="J85" s="3"/>
      <c r="K85" s="3"/>
      <c r="M85" t="s">
        <v>12</v>
      </c>
      <c r="O85" s="3"/>
      <c r="P85" s="3"/>
      <c r="Q85" s="3"/>
      <c r="S85" s="4"/>
      <c r="U85" t="s">
        <v>12</v>
      </c>
      <c r="W85" s="3"/>
      <c r="X85" s="3"/>
      <c r="Y85" s="3"/>
      <c r="AA85" t="s">
        <v>12</v>
      </c>
      <c r="AC85" s="3"/>
      <c r="AD85" s="3"/>
      <c r="AE85" s="3"/>
      <c r="AG85" t="s">
        <v>12</v>
      </c>
      <c r="AI85" s="3"/>
      <c r="AJ85" s="3"/>
      <c r="AK85" s="3"/>
    </row>
    <row r="86" spans="1:37" x14ac:dyDescent="0.25">
      <c r="A86" t="s">
        <v>13</v>
      </c>
      <c r="C86" s="3"/>
      <c r="D86" s="3"/>
      <c r="E86" s="3"/>
      <c r="G86" t="s">
        <v>13</v>
      </c>
      <c r="I86" s="3"/>
      <c r="J86" s="3"/>
      <c r="K86" s="3"/>
      <c r="M86" t="s">
        <v>13</v>
      </c>
      <c r="O86" s="3"/>
      <c r="P86" s="3"/>
      <c r="Q86" s="3"/>
      <c r="S86" s="4"/>
      <c r="U86" t="s">
        <v>13</v>
      </c>
      <c r="W86" s="3"/>
      <c r="X86" s="3"/>
      <c r="Y86" s="3"/>
      <c r="AA86" t="s">
        <v>13</v>
      </c>
      <c r="AC86" s="3"/>
      <c r="AD86" s="3"/>
      <c r="AE86" s="3"/>
      <c r="AG86" t="s">
        <v>13</v>
      </c>
      <c r="AI86" s="3"/>
      <c r="AJ86" s="3"/>
      <c r="AK86" s="3"/>
    </row>
    <row r="87" spans="1:37" x14ac:dyDescent="0.25">
      <c r="A87" s="2"/>
      <c r="B87" s="2"/>
      <c r="C87" s="2"/>
      <c r="D87" s="2"/>
      <c r="E87" s="2"/>
      <c r="G87" s="2"/>
      <c r="H87" s="2"/>
      <c r="I87" s="2"/>
      <c r="J87" s="2"/>
      <c r="K87" s="2"/>
      <c r="M87" s="2"/>
      <c r="N87" s="2"/>
      <c r="O87" s="2"/>
      <c r="P87" s="2"/>
      <c r="Q87" s="2"/>
      <c r="S87" s="4"/>
      <c r="U87" s="2"/>
      <c r="V87" s="2"/>
      <c r="W87" s="2"/>
      <c r="X87" s="2"/>
      <c r="Y87" s="2"/>
      <c r="AA87" s="2"/>
      <c r="AB87" s="2"/>
      <c r="AC87" s="2"/>
      <c r="AD87" s="2"/>
      <c r="AE87" s="2"/>
      <c r="AG87" s="2"/>
      <c r="AH87" s="2"/>
      <c r="AI87" s="2"/>
      <c r="AJ87" s="2"/>
      <c r="AK87" s="2"/>
    </row>
    <row r="88" spans="1:37" x14ac:dyDescent="0.25">
      <c r="A88" t="s">
        <v>14</v>
      </c>
      <c r="B88">
        <f>COUNT(B71:B86)</f>
        <v>0</v>
      </c>
      <c r="C88">
        <f t="shared" ref="C88:E88" si="138">COUNT(C71:C86)</f>
        <v>8</v>
      </c>
      <c r="D88">
        <f t="shared" si="138"/>
        <v>6</v>
      </c>
      <c r="E88">
        <f t="shared" si="138"/>
        <v>5</v>
      </c>
      <c r="G88" t="s">
        <v>14</v>
      </c>
      <c r="H88">
        <f>COUNT(H71:H86)</f>
        <v>0</v>
      </c>
      <c r="I88">
        <f t="shared" ref="I88:K88" si="139">COUNT(I71:I86)</f>
        <v>8</v>
      </c>
      <c r="J88">
        <f t="shared" si="139"/>
        <v>8</v>
      </c>
      <c r="K88">
        <f t="shared" si="139"/>
        <v>8</v>
      </c>
      <c r="M88" t="s">
        <v>14</v>
      </c>
      <c r="N88">
        <f>COUNT(N71:N86)</f>
        <v>0</v>
      </c>
      <c r="O88">
        <f t="shared" ref="O88:Q88" si="140">COUNT(O71:O86)</f>
        <v>8</v>
      </c>
      <c r="P88">
        <f t="shared" si="140"/>
        <v>8</v>
      </c>
      <c r="Q88">
        <f t="shared" si="140"/>
        <v>8</v>
      </c>
      <c r="S88" s="4"/>
      <c r="U88" t="s">
        <v>14</v>
      </c>
      <c r="V88">
        <f>COUNT(V71:V86)</f>
        <v>0</v>
      </c>
      <c r="W88">
        <f t="shared" ref="W88:Y88" si="141">COUNT(W71:W86)</f>
        <v>8</v>
      </c>
      <c r="X88">
        <f t="shared" si="141"/>
        <v>6</v>
      </c>
      <c r="Y88">
        <f t="shared" si="141"/>
        <v>5</v>
      </c>
      <c r="AA88" t="s">
        <v>14</v>
      </c>
      <c r="AB88">
        <f>COUNT(AB71:AB86)</f>
        <v>0</v>
      </c>
      <c r="AC88">
        <f t="shared" ref="AC88:AE88" si="142">COUNT(AC71:AC86)</f>
        <v>8</v>
      </c>
      <c r="AD88">
        <f t="shared" si="142"/>
        <v>8</v>
      </c>
      <c r="AE88">
        <f t="shared" si="142"/>
        <v>7</v>
      </c>
      <c r="AG88" t="s">
        <v>14</v>
      </c>
      <c r="AH88">
        <f>COUNT(AH71:AH86)</f>
        <v>0</v>
      </c>
      <c r="AI88">
        <f t="shared" ref="AI88:AK88" si="143">COUNT(AI71:AI86)</f>
        <v>8</v>
      </c>
      <c r="AJ88">
        <f t="shared" si="143"/>
        <v>7</v>
      </c>
      <c r="AK88">
        <f t="shared" si="143"/>
        <v>8</v>
      </c>
    </row>
    <row r="89" spans="1:37" x14ac:dyDescent="0.25">
      <c r="A89" t="s">
        <v>15</v>
      </c>
      <c r="B89">
        <f>MAX(B71:B86)</f>
        <v>0</v>
      </c>
      <c r="C89">
        <f t="shared" ref="C89:E89" si="144">MAX(C71:C86)</f>
        <v>58.327997804811218</v>
      </c>
      <c r="D89">
        <f t="shared" si="144"/>
        <v>67.289456389071347</v>
      </c>
      <c r="E89">
        <f t="shared" si="144"/>
        <v>85.722961408932818</v>
      </c>
      <c r="G89" t="s">
        <v>15</v>
      </c>
      <c r="H89">
        <f>MAX(H71:H86)</f>
        <v>0</v>
      </c>
      <c r="I89">
        <f t="shared" ref="I89:K89" si="145">MAX(I71:I86)</f>
        <v>76.731758925529434</v>
      </c>
      <c r="J89">
        <f t="shared" si="145"/>
        <v>44.069786948498553</v>
      </c>
      <c r="K89">
        <f t="shared" si="145"/>
        <v>67.802029751146932</v>
      </c>
      <c r="M89" t="s">
        <v>15</v>
      </c>
      <c r="N89">
        <f>MAX(N71:N86)</f>
        <v>0</v>
      </c>
      <c r="O89">
        <f t="shared" ref="O89:Q89" si="146">MAX(O71:O86)</f>
        <v>46.579944634074238</v>
      </c>
      <c r="P89">
        <f t="shared" si="146"/>
        <v>70.775467422969598</v>
      </c>
      <c r="Q89">
        <f t="shared" si="146"/>
        <v>80.612782086828332</v>
      </c>
      <c r="S89" s="4"/>
      <c r="U89" t="s">
        <v>15</v>
      </c>
      <c r="V89">
        <f>MAX(V71:V86)</f>
        <v>0</v>
      </c>
      <c r="W89">
        <f t="shared" ref="W89:Y89" si="147">MAX(W71:W86)</f>
        <v>58.327997804811218</v>
      </c>
      <c r="X89">
        <f t="shared" si="147"/>
        <v>67.289456389071347</v>
      </c>
      <c r="Y89">
        <f t="shared" si="147"/>
        <v>85.722961408932818</v>
      </c>
      <c r="AA89" t="s">
        <v>15</v>
      </c>
      <c r="AB89">
        <f>MAX(AB71:AB86)</f>
        <v>0</v>
      </c>
      <c r="AC89">
        <f t="shared" ref="AC89:AE89" si="148">MAX(AC71:AC86)</f>
        <v>71.553128053516403</v>
      </c>
      <c r="AD89">
        <f t="shared" si="148"/>
        <v>44.069786948498553</v>
      </c>
      <c r="AE89">
        <f t="shared" si="148"/>
        <v>67.802029751146932</v>
      </c>
      <c r="AG89" t="s">
        <v>15</v>
      </c>
      <c r="AH89">
        <f>MAX(AH71:AH86)</f>
        <v>0</v>
      </c>
      <c r="AI89">
        <f t="shared" ref="AI89:AK89" si="149">MAX(AI71:AI86)</f>
        <v>46.579944634074238</v>
      </c>
      <c r="AJ89">
        <f t="shared" si="149"/>
        <v>70.775467422969598</v>
      </c>
      <c r="AK89">
        <f t="shared" si="149"/>
        <v>75.801041353759871</v>
      </c>
    </row>
    <row r="90" spans="1:37" x14ac:dyDescent="0.25">
      <c r="A90" t="s">
        <v>16</v>
      </c>
      <c r="B90">
        <f>MIN(B71:B86)</f>
        <v>0</v>
      </c>
      <c r="C90">
        <f t="shared" ref="C90:E90" si="150">MIN(C71:C86)</f>
        <v>-89.700905515412146</v>
      </c>
      <c r="D90">
        <f t="shared" si="150"/>
        <v>-128.2978124119802</v>
      </c>
      <c r="E90">
        <f t="shared" si="150"/>
        <v>4.0026500303648715</v>
      </c>
      <c r="G90" t="s">
        <v>16</v>
      </c>
      <c r="H90">
        <f>MIN(H71:H86)</f>
        <v>0</v>
      </c>
      <c r="I90">
        <f t="shared" ref="I90:K90" si="151">MIN(I71:I86)</f>
        <v>-34.961536392490089</v>
      </c>
      <c r="J90">
        <f t="shared" si="151"/>
        <v>-48.985069619191144</v>
      </c>
      <c r="K90">
        <f t="shared" si="151"/>
        <v>-47.513786551740154</v>
      </c>
      <c r="M90" t="s">
        <v>16</v>
      </c>
      <c r="N90">
        <f>MIN(N71:N86)</f>
        <v>0</v>
      </c>
      <c r="O90">
        <f t="shared" ref="O90:Q90" si="152">MIN(O71:O86)</f>
        <v>-39.758647566318025</v>
      </c>
      <c r="P90">
        <f t="shared" si="152"/>
        <v>-110.09602786811973</v>
      </c>
      <c r="Q90">
        <f t="shared" si="152"/>
        <v>-27.413750745797667</v>
      </c>
      <c r="S90" s="4"/>
      <c r="U90" t="s">
        <v>16</v>
      </c>
      <c r="V90">
        <f>MIN(V71:V86)</f>
        <v>0</v>
      </c>
      <c r="W90">
        <f t="shared" ref="W90:Y90" si="153">MIN(W71:W86)</f>
        <v>-89.700905515412146</v>
      </c>
      <c r="X90">
        <f t="shared" si="153"/>
        <v>-128.2978124119802</v>
      </c>
      <c r="Y90">
        <f t="shared" si="153"/>
        <v>4.0026500303648715</v>
      </c>
      <c r="AA90" t="s">
        <v>16</v>
      </c>
      <c r="AB90">
        <f>MIN(AB71:AB86)</f>
        <v>0</v>
      </c>
      <c r="AC90">
        <f t="shared" ref="AC90:AE90" si="154">MIN(AC71:AC86)</f>
        <v>-64.998872547791308</v>
      </c>
      <c r="AD90">
        <f t="shared" si="154"/>
        <v>-48.985069619191144</v>
      </c>
      <c r="AE90">
        <f t="shared" si="154"/>
        <v>4.4070624217988152</v>
      </c>
      <c r="AG90" t="s">
        <v>16</v>
      </c>
      <c r="AH90">
        <f>MIN(AH71:AH86)</f>
        <v>0</v>
      </c>
      <c r="AI90">
        <f t="shared" ref="AI90:AK90" si="155">MIN(AI71:AI86)</f>
        <v>-39.758647566318025</v>
      </c>
      <c r="AJ90">
        <f t="shared" si="155"/>
        <v>-10.633968894985593</v>
      </c>
      <c r="AK90">
        <f t="shared" si="155"/>
        <v>-59.036747772104327</v>
      </c>
    </row>
    <row r="91" spans="1:37" x14ac:dyDescent="0.25">
      <c r="A91" t="s">
        <v>17</v>
      </c>
      <c r="B91" t="e">
        <f>AVERAGE(B71:B86)</f>
        <v>#DIV/0!</v>
      </c>
      <c r="C91">
        <f t="shared" ref="C91:E91" si="156">AVERAGE(C71:C86)</f>
        <v>2.5793469313089137</v>
      </c>
      <c r="D91">
        <f t="shared" si="156"/>
        <v>-13.372766250430407</v>
      </c>
      <c r="E91">
        <f t="shared" si="156"/>
        <v>53.385965880859068</v>
      </c>
      <c r="G91" t="s">
        <v>17</v>
      </c>
      <c r="H91" t="e">
        <f>AVERAGE(H71:H86)</f>
        <v>#DIV/0!</v>
      </c>
      <c r="I91">
        <f t="shared" ref="I91:K91" si="157">AVERAGE(I71:I86)</f>
        <v>14.487062241110408</v>
      </c>
      <c r="J91">
        <f t="shared" si="157"/>
        <v>9.4992450931053103</v>
      </c>
      <c r="K91">
        <f t="shared" si="157"/>
        <v>28.307613883868516</v>
      </c>
      <c r="M91" t="s">
        <v>17</v>
      </c>
      <c r="N91" t="e">
        <f>AVERAGE(N71:N86)</f>
        <v>#DIV/0!</v>
      </c>
      <c r="O91">
        <f t="shared" ref="O91:Q91" si="158">AVERAGE(O71:O86)</f>
        <v>12.816136748461293</v>
      </c>
      <c r="P91">
        <f t="shared" si="158"/>
        <v>12.163016169058434</v>
      </c>
      <c r="Q91">
        <f t="shared" si="158"/>
        <v>26.40473098655804</v>
      </c>
      <c r="S91" s="4"/>
      <c r="U91" t="s">
        <v>17</v>
      </c>
      <c r="V91" t="e">
        <f>AVERAGE(V71:V86)</f>
        <v>#DIV/0!</v>
      </c>
      <c r="W91">
        <f t="shared" ref="W91:Y91" si="159">AVERAGE(W71:W86)</f>
        <v>2.5793469313089137</v>
      </c>
      <c r="X91">
        <f t="shared" si="159"/>
        <v>-13.372766250430407</v>
      </c>
      <c r="Y91">
        <f t="shared" si="159"/>
        <v>53.385965880859068</v>
      </c>
      <c r="AA91" t="s">
        <v>17</v>
      </c>
      <c r="AB91" t="e">
        <f>AVERAGE(AB71:AB86)</f>
        <v>#DIV/0!</v>
      </c>
      <c r="AC91">
        <f t="shared" ref="AC91:AE91" si="160">AVERAGE(AC71:AC86)</f>
        <v>-4.5448851251470863</v>
      </c>
      <c r="AD91">
        <f t="shared" si="160"/>
        <v>9.4992450931053103</v>
      </c>
      <c r="AE91">
        <f t="shared" si="160"/>
        <v>39.139242517526895</v>
      </c>
      <c r="AG91" t="s">
        <v>17</v>
      </c>
      <c r="AH91" t="e">
        <f>AVERAGE(AH71:AH86)</f>
        <v>#DIV/0!</v>
      </c>
      <c r="AI91">
        <f t="shared" ref="AI91:AK91" si="161">AVERAGE(AI71:AI86)</f>
        <v>12.816136748461293</v>
      </c>
      <c r="AJ91">
        <f t="shared" si="161"/>
        <v>29.62859388865531</v>
      </c>
      <c r="AK91">
        <f t="shared" si="161"/>
        <v>8.1390182236907087</v>
      </c>
    </row>
    <row r="92" spans="1:37" x14ac:dyDescent="0.25">
      <c r="A92" t="s">
        <v>18</v>
      </c>
      <c r="B92" t="e">
        <f>STDEV(B71:B86)</f>
        <v>#DIV/0!</v>
      </c>
      <c r="C92">
        <f t="shared" ref="C92:E92" si="162">STDEV(C71:C86)</f>
        <v>61.928930998163466</v>
      </c>
      <c r="D92">
        <f t="shared" si="162"/>
        <v>72.48557998266044</v>
      </c>
      <c r="E92">
        <f t="shared" si="162"/>
        <v>40.3314480830661</v>
      </c>
      <c r="G92" t="s">
        <v>18</v>
      </c>
      <c r="H92" t="e">
        <f>STDEV(H71:H86)</f>
        <v>#DIV/0!</v>
      </c>
      <c r="I92">
        <f t="shared" ref="I92:K92" si="163">STDEV(I71:I86)</f>
        <v>36.563368503400334</v>
      </c>
      <c r="J92">
        <f t="shared" si="163"/>
        <v>38.112745542550613</v>
      </c>
      <c r="K92">
        <f t="shared" si="163"/>
        <v>37.594834898724379</v>
      </c>
      <c r="M92" t="s">
        <v>18</v>
      </c>
      <c r="N92" t="e">
        <f>STDEV(N71:N86)</f>
        <v>#DIV/0!</v>
      </c>
      <c r="O92">
        <f t="shared" ref="O92:Q92" si="164">STDEV(O71:O86)</f>
        <v>27.025118946228183</v>
      </c>
      <c r="P92">
        <f t="shared" si="164"/>
        <v>59.684581085476857</v>
      </c>
      <c r="Q92">
        <f t="shared" si="164"/>
        <v>36.499795735213894</v>
      </c>
      <c r="S92" s="4"/>
      <c r="U92" t="s">
        <v>18</v>
      </c>
      <c r="V92" t="e">
        <f>STDEV(V71:V86)</f>
        <v>#DIV/0!</v>
      </c>
      <c r="W92">
        <f t="shared" ref="W92:Y92" si="165">STDEV(W71:W86)</f>
        <v>61.928930998163466</v>
      </c>
      <c r="X92">
        <f t="shared" si="165"/>
        <v>72.48557998266044</v>
      </c>
      <c r="Y92">
        <f t="shared" si="165"/>
        <v>40.3314480830661</v>
      </c>
      <c r="AA92" t="s">
        <v>18</v>
      </c>
      <c r="AB92" t="e">
        <f>STDEV(AB71:AB86)</f>
        <v>#DIV/0!</v>
      </c>
      <c r="AC92">
        <f t="shared" ref="AC92:AE92" si="166">STDEV(AC71:AC86)</f>
        <v>44.700992155763416</v>
      </c>
      <c r="AD92">
        <f t="shared" si="166"/>
        <v>38.112745542550613</v>
      </c>
      <c r="AE92">
        <f t="shared" si="166"/>
        <v>23.535247542841912</v>
      </c>
      <c r="AG92" t="s">
        <v>18</v>
      </c>
      <c r="AH92" t="e">
        <f>STDEV(AH71:AH86)</f>
        <v>#DIV/0!</v>
      </c>
      <c r="AI92">
        <f t="shared" ref="AI92:AK92" si="167">STDEV(AI71:AI86)</f>
        <v>27.025118946228183</v>
      </c>
      <c r="AJ92">
        <f t="shared" si="167"/>
        <v>36.178137622516388</v>
      </c>
      <c r="AK92">
        <f t="shared" si="167"/>
        <v>45.558731095324845</v>
      </c>
    </row>
    <row r="93" spans="1:37" x14ac:dyDescent="0.25">
      <c r="A93" t="s">
        <v>19</v>
      </c>
      <c r="B93" t="e">
        <f>B91+2*B92</f>
        <v>#DIV/0!</v>
      </c>
      <c r="C93">
        <f t="shared" ref="C93:E93" si="168">C91+2*C92</f>
        <v>126.43720892763585</v>
      </c>
      <c r="D93">
        <f t="shared" si="168"/>
        <v>131.59839371489048</v>
      </c>
      <c r="E93">
        <f t="shared" si="168"/>
        <v>134.04886204699127</v>
      </c>
      <c r="G93" t="s">
        <v>19</v>
      </c>
      <c r="H93" t="e">
        <f>H91+2*H92</f>
        <v>#DIV/0!</v>
      </c>
      <c r="I93">
        <f t="shared" ref="I93:K93" si="169">I91+2*I92</f>
        <v>87.613799247911075</v>
      </c>
      <c r="J93">
        <f t="shared" si="169"/>
        <v>85.724736178206541</v>
      </c>
      <c r="K93">
        <f t="shared" si="169"/>
        <v>103.49728368131727</v>
      </c>
      <c r="M93" t="s">
        <v>19</v>
      </c>
      <c r="N93" t="e">
        <f>N91+2*N92</f>
        <v>#DIV/0!</v>
      </c>
      <c r="O93">
        <f t="shared" ref="O93:Q93" si="170">O91+2*O92</f>
        <v>66.866374640917655</v>
      </c>
      <c r="P93">
        <f t="shared" si="170"/>
        <v>131.53217834001214</v>
      </c>
      <c r="Q93">
        <f t="shared" si="170"/>
        <v>99.404322456985824</v>
      </c>
      <c r="S93" s="4"/>
      <c r="U93" t="s">
        <v>19</v>
      </c>
      <c r="V93" t="e">
        <f>V91+2*V92</f>
        <v>#DIV/0!</v>
      </c>
      <c r="W93">
        <f t="shared" ref="W93:Y93" si="171">W91+2*W92</f>
        <v>126.43720892763585</v>
      </c>
      <c r="X93">
        <f t="shared" si="171"/>
        <v>131.59839371489048</v>
      </c>
      <c r="Y93">
        <f t="shared" si="171"/>
        <v>134.04886204699127</v>
      </c>
      <c r="AA93" t="s">
        <v>19</v>
      </c>
      <c r="AB93" t="e">
        <f>AB91+2*AB92</f>
        <v>#DIV/0!</v>
      </c>
      <c r="AC93">
        <f t="shared" ref="AC93:AE93" si="172">AC91+2*AC92</f>
        <v>84.857099186379742</v>
      </c>
      <c r="AD93">
        <f t="shared" si="172"/>
        <v>85.724736178206541</v>
      </c>
      <c r="AE93">
        <f t="shared" si="172"/>
        <v>86.209737603210726</v>
      </c>
      <c r="AG93" t="s">
        <v>19</v>
      </c>
      <c r="AH93" t="e">
        <f>AH91+2*AH92</f>
        <v>#DIV/0!</v>
      </c>
      <c r="AI93">
        <f t="shared" ref="AI93:AK93" si="173">AI91+2*AI92</f>
        <v>66.866374640917655</v>
      </c>
      <c r="AJ93">
        <f t="shared" si="173"/>
        <v>101.98486913368808</v>
      </c>
      <c r="AK93">
        <f t="shared" si="173"/>
        <v>99.256480414340402</v>
      </c>
    </row>
    <row r="94" spans="1:37" x14ac:dyDescent="0.25">
      <c r="A94" t="s">
        <v>20</v>
      </c>
      <c r="B94" t="e">
        <f>B91-2*B92</f>
        <v>#DIV/0!</v>
      </c>
      <c r="C94">
        <f t="shared" ref="C94:E94" si="174">C91-2*C92</f>
        <v>-121.27851506501801</v>
      </c>
      <c r="D94">
        <f t="shared" si="174"/>
        <v>-158.34392621575128</v>
      </c>
      <c r="E94">
        <f t="shared" si="174"/>
        <v>-27.276930285273131</v>
      </c>
      <c r="G94" t="s">
        <v>20</v>
      </c>
      <c r="H94" t="e">
        <f>H91-2*H92</f>
        <v>#DIV/0!</v>
      </c>
      <c r="I94">
        <f t="shared" ref="I94:K94" si="175">I91-2*I92</f>
        <v>-58.639674765690259</v>
      </c>
      <c r="J94">
        <f t="shared" si="175"/>
        <v>-66.72624599199591</v>
      </c>
      <c r="K94">
        <f t="shared" si="175"/>
        <v>-46.882055913580245</v>
      </c>
      <c r="M94" t="s">
        <v>20</v>
      </c>
      <c r="N94" t="e">
        <f>N91-2*N92</f>
        <v>#DIV/0!</v>
      </c>
      <c r="O94">
        <f t="shared" ref="O94:Q94" si="176">O91-2*O92</f>
        <v>-41.234101143995076</v>
      </c>
      <c r="P94">
        <f t="shared" si="176"/>
        <v>-107.20614600189528</v>
      </c>
      <c r="Q94">
        <f t="shared" si="176"/>
        <v>-46.594860483869752</v>
      </c>
      <c r="S94" s="4"/>
      <c r="U94" t="s">
        <v>20</v>
      </c>
      <c r="V94" t="e">
        <f>V91-2*V92</f>
        <v>#DIV/0!</v>
      </c>
      <c r="W94">
        <f t="shared" ref="W94:Y94" si="177">W91-2*W92</f>
        <v>-121.27851506501801</v>
      </c>
      <c r="X94">
        <f t="shared" si="177"/>
        <v>-158.34392621575128</v>
      </c>
      <c r="Y94">
        <f t="shared" si="177"/>
        <v>-27.276930285273131</v>
      </c>
      <c r="AA94" t="s">
        <v>20</v>
      </c>
      <c r="AB94" t="e">
        <f>AB91-2*AB92</f>
        <v>#DIV/0!</v>
      </c>
      <c r="AC94">
        <f t="shared" ref="AC94:AE94" si="178">AC91-2*AC92</f>
        <v>-93.946869436673921</v>
      </c>
      <c r="AD94">
        <f t="shared" si="178"/>
        <v>-66.72624599199591</v>
      </c>
      <c r="AE94">
        <f t="shared" si="178"/>
        <v>-7.9312525681569284</v>
      </c>
      <c r="AG94" t="s">
        <v>20</v>
      </c>
      <c r="AH94" t="e">
        <f>AH91-2*AH92</f>
        <v>#DIV/0!</v>
      </c>
      <c r="AI94">
        <f t="shared" ref="AI94:AK94" si="179">AI91-2*AI92</f>
        <v>-41.234101143995076</v>
      </c>
      <c r="AJ94">
        <f t="shared" si="179"/>
        <v>-42.727681356377467</v>
      </c>
      <c r="AK94">
        <f t="shared" si="179"/>
        <v>-82.978443966958977</v>
      </c>
    </row>
    <row r="95" spans="1:37" x14ac:dyDescent="0.25">
      <c r="A95" t="s">
        <v>21</v>
      </c>
      <c r="B95" t="e">
        <f>VAR(B71:B86)</f>
        <v>#DIV/0!</v>
      </c>
      <c r="C95">
        <f t="shared" ref="C95:E95" si="180">VAR(C71:C86)</f>
        <v>3835.1924945752921</v>
      </c>
      <c r="D95">
        <f t="shared" si="180"/>
        <v>5254.1593054226632</v>
      </c>
      <c r="E95">
        <f t="shared" si="180"/>
        <v>1626.6257044770559</v>
      </c>
      <c r="G95" t="s">
        <v>21</v>
      </c>
      <c r="H95" t="e">
        <f>VAR(H71:H86)</f>
        <v>#DIV/0!</v>
      </c>
      <c r="I95">
        <f t="shared" ref="I95:K95" si="181">VAR(I71:I86)</f>
        <v>1336.8799163154474</v>
      </c>
      <c r="J95">
        <f t="shared" si="181"/>
        <v>1452.5813727912114</v>
      </c>
      <c r="K95">
        <f t="shared" si="181"/>
        <v>1413.3716110623443</v>
      </c>
      <c r="M95" t="s">
        <v>21</v>
      </c>
      <c r="N95" t="e">
        <f>VAR(N71:N86)</f>
        <v>#DIV/0!</v>
      </c>
      <c r="O95">
        <f t="shared" ref="O95:Q95" si="182">VAR(O71:O86)</f>
        <v>730.3570540577814</v>
      </c>
      <c r="P95">
        <f t="shared" si="182"/>
        <v>3562.249219348862</v>
      </c>
      <c r="Q95">
        <f t="shared" si="182"/>
        <v>1332.2350887123382</v>
      </c>
      <c r="S95" s="4"/>
      <c r="U95" t="s">
        <v>21</v>
      </c>
      <c r="V95" t="e">
        <f>VAR(V71:V86)</f>
        <v>#DIV/0!</v>
      </c>
      <c r="W95">
        <f t="shared" ref="W95:Y95" si="183">VAR(W71:W86)</f>
        <v>3835.1924945752921</v>
      </c>
      <c r="X95">
        <f t="shared" si="183"/>
        <v>5254.1593054226632</v>
      </c>
      <c r="Y95">
        <f t="shared" si="183"/>
        <v>1626.6257044770559</v>
      </c>
      <c r="AA95" t="s">
        <v>21</v>
      </c>
      <c r="AB95" t="e">
        <f>VAR(AB71:AB86)</f>
        <v>#DIV/0!</v>
      </c>
      <c r="AC95">
        <f t="shared" ref="AC95:AE95" si="184">VAR(AC71:AC86)</f>
        <v>1998.1786997096224</v>
      </c>
      <c r="AD95">
        <f t="shared" si="184"/>
        <v>1452.5813727912114</v>
      </c>
      <c r="AE95">
        <f t="shared" si="184"/>
        <v>553.90787690284617</v>
      </c>
      <c r="AG95" t="s">
        <v>21</v>
      </c>
      <c r="AH95" t="e">
        <f>VAR(AH71:AH86)</f>
        <v>#DIV/0!</v>
      </c>
      <c r="AI95">
        <f t="shared" ref="AI95:AK95" si="185">VAR(AI71:AI86)</f>
        <v>730.3570540577814</v>
      </c>
      <c r="AJ95">
        <f t="shared" si="185"/>
        <v>1308.8576418337357</v>
      </c>
      <c r="AK95">
        <f t="shared" si="185"/>
        <v>2075.5979790161186</v>
      </c>
    </row>
    <row r="96" spans="1:37" x14ac:dyDescent="0.25">
      <c r="S96" s="4"/>
    </row>
    <row r="97" spans="1:37" x14ac:dyDescent="0.25">
      <c r="A97" t="s">
        <v>22</v>
      </c>
      <c r="S97" s="4"/>
      <c r="U97" t="s">
        <v>22</v>
      </c>
    </row>
    <row r="98" spans="1:37" x14ac:dyDescent="0.25">
      <c r="A98" t="s">
        <v>1</v>
      </c>
      <c r="B98" t="e">
        <f>TTEST(B79:B86,H79:H86,2,3)</f>
        <v>#DIV/0!</v>
      </c>
      <c r="S98" s="4"/>
      <c r="U98" t="s">
        <v>1</v>
      </c>
      <c r="V98" t="e">
        <f>TTEST(V79:V86,AB79:AB86,2,3)</f>
        <v>#DIV/0!</v>
      </c>
    </row>
    <row r="99" spans="1:37" x14ac:dyDescent="0.25">
      <c r="A99" t="s">
        <v>2</v>
      </c>
      <c r="B99" t="e">
        <f>TTEST(C79:C86,I79:I86,2,3)</f>
        <v>#DIV/0!</v>
      </c>
      <c r="S99" s="4"/>
      <c r="U99" t="s">
        <v>2</v>
      </c>
      <c r="V99" t="e">
        <f>TTEST(W79:W86,AC79:AC86,2,3)</f>
        <v>#DIV/0!</v>
      </c>
    </row>
    <row r="100" spans="1:37" x14ac:dyDescent="0.25">
      <c r="A100" t="s">
        <v>3</v>
      </c>
      <c r="B100" t="e">
        <f>TTEST(D79:D86,J79:J86,2,3)</f>
        <v>#DIV/0!</v>
      </c>
      <c r="S100" s="4"/>
      <c r="U100" t="s">
        <v>3</v>
      </c>
      <c r="V100" t="e">
        <f>TTEST(X79:X86,AD79:AD86,2,3)</f>
        <v>#DIV/0!</v>
      </c>
    </row>
    <row r="101" spans="1:37" x14ac:dyDescent="0.25">
      <c r="A101" t="s">
        <v>4</v>
      </c>
      <c r="B101" t="e">
        <f>TTEST(E79:E86,K79:K86,2,3)</f>
        <v>#DIV/0!</v>
      </c>
      <c r="S101" s="4"/>
      <c r="U101" t="s">
        <v>4</v>
      </c>
      <c r="V101" t="e">
        <f>TTEST(Y79:Y86,AE79:AE86,2,3)</f>
        <v>#DIV/0!</v>
      </c>
    </row>
    <row r="102" spans="1:37" x14ac:dyDescent="0.25">
      <c r="S102" s="4"/>
    </row>
    <row r="103" spans="1:37" x14ac:dyDescent="0.25">
      <c r="A103" t="s">
        <v>27</v>
      </c>
      <c r="S103" s="4"/>
      <c r="U103" t="s">
        <v>27</v>
      </c>
    </row>
    <row r="104" spans="1:37" x14ac:dyDescent="0.25">
      <c r="A104" s="1" t="s">
        <v>29</v>
      </c>
      <c r="B104" s="1" t="s">
        <v>1</v>
      </c>
      <c r="C104" s="1" t="s">
        <v>2</v>
      </c>
      <c r="D104" s="1" t="s">
        <v>3</v>
      </c>
      <c r="E104" s="1" t="s">
        <v>4</v>
      </c>
      <c r="G104" s="1" t="s">
        <v>30</v>
      </c>
      <c r="H104" s="1" t="s">
        <v>1</v>
      </c>
      <c r="I104" s="1" t="s">
        <v>2</v>
      </c>
      <c r="J104" s="1" t="s">
        <v>3</v>
      </c>
      <c r="K104" s="1" t="s">
        <v>4</v>
      </c>
      <c r="M104" s="1" t="s">
        <v>31</v>
      </c>
      <c r="N104" s="1" t="s">
        <v>1</v>
      </c>
      <c r="O104" s="1" t="s">
        <v>2</v>
      </c>
      <c r="P104" s="1" t="s">
        <v>3</v>
      </c>
      <c r="Q104" s="1" t="s">
        <v>4</v>
      </c>
      <c r="R104" s="1"/>
      <c r="S104" s="4"/>
      <c r="U104" s="1" t="s">
        <v>29</v>
      </c>
      <c r="V104" s="1" t="s">
        <v>1</v>
      </c>
      <c r="W104" s="1" t="s">
        <v>2</v>
      </c>
      <c r="X104" s="1" t="s">
        <v>3</v>
      </c>
      <c r="Y104" s="1" t="s">
        <v>4</v>
      </c>
      <c r="AA104" s="1" t="s">
        <v>30</v>
      </c>
      <c r="AB104" s="1" t="s">
        <v>1</v>
      </c>
      <c r="AC104" s="1" t="s">
        <v>2</v>
      </c>
      <c r="AD104" s="1" t="s">
        <v>3</v>
      </c>
      <c r="AE104" s="1" t="s">
        <v>4</v>
      </c>
      <c r="AG104" s="1" t="s">
        <v>31</v>
      </c>
      <c r="AH104" s="1" t="s">
        <v>1</v>
      </c>
      <c r="AI104" s="1" t="s">
        <v>2</v>
      </c>
      <c r="AJ104" s="1" t="s">
        <v>3</v>
      </c>
      <c r="AK104" s="1" t="s">
        <v>4</v>
      </c>
    </row>
    <row r="105" spans="1:37" x14ac:dyDescent="0.25">
      <c r="A105" t="s">
        <v>5</v>
      </c>
      <c r="B105" s="3"/>
      <c r="C105" s="3">
        <f>(B$23-C3)/7</f>
        <v>351.86290740966848</v>
      </c>
      <c r="D105" s="3">
        <f t="shared" ref="D105:E112" si="186">(C$23-D3)/7</f>
        <v>216.90028054373565</v>
      </c>
      <c r="E105" s="3">
        <f t="shared" si="186"/>
        <v>26.668821062360102</v>
      </c>
      <c r="G105" t="s">
        <v>5</v>
      </c>
      <c r="H105" s="3"/>
      <c r="I105" s="3">
        <f>(H$29-I3)/7</f>
        <v>-537.89172853742218</v>
      </c>
      <c r="J105" s="3">
        <f t="shared" ref="J105:K112" si="187">(I$29-J3)/7</f>
        <v>-541.61616734095696</v>
      </c>
      <c r="K105" s="3">
        <f t="shared" si="187"/>
        <v>332.77170998709363</v>
      </c>
      <c r="M105" t="s">
        <v>5</v>
      </c>
      <c r="N105" s="3"/>
      <c r="O105" s="3">
        <f>(N$29-O3)/7</f>
        <v>-816.23145512171845</v>
      </c>
      <c r="P105" s="3">
        <f t="shared" ref="P105:Q112" si="188">(O$29-P3)/7</f>
        <v>-190.3326170785032</v>
      </c>
      <c r="Q105" s="3">
        <f t="shared" si="188"/>
        <v>1267.3575537545328</v>
      </c>
      <c r="R105" s="3"/>
      <c r="S105" s="4"/>
      <c r="U105" t="s">
        <v>5</v>
      </c>
      <c r="V105" s="3"/>
      <c r="W105" s="3">
        <f>(V$23-W3)/7</f>
        <v>351.86290740966848</v>
      </c>
      <c r="X105" s="3">
        <f t="shared" ref="X105:X108" si="189">(W$23-X3)/7</f>
        <v>216.90028054373565</v>
      </c>
      <c r="Y105" s="3">
        <f t="shared" ref="Y105" si="190">(X$23-Y3)/7</f>
        <v>26.668821062360102</v>
      </c>
      <c r="AA105" t="s">
        <v>5</v>
      </c>
      <c r="AB105" s="3"/>
      <c r="AC105" s="3">
        <f>(AB$29-AC3)/7</f>
        <v>-817.97346776845393</v>
      </c>
      <c r="AD105" s="3">
        <f t="shared" ref="AD105:AD112" si="191">(AC$29-AD3)/7</f>
        <v>-541.61616734095696</v>
      </c>
      <c r="AE105" s="3">
        <f t="shared" ref="AE105:AE112" si="192">(AD$29-AE3)/7</f>
        <v>332.77170998709363</v>
      </c>
      <c r="AG105" t="s">
        <v>5</v>
      </c>
      <c r="AH105" s="3"/>
      <c r="AI105" s="3">
        <f>(AH$29-AI3)/7</f>
        <v>-816.23145512171845</v>
      </c>
      <c r="AJ105" s="3">
        <f t="shared" ref="AJ105:AJ112" si="193">(AI$29-AJ3)/7</f>
        <v>-190.3326170785032</v>
      </c>
      <c r="AK105" s="3">
        <f t="shared" ref="AK105:AK112" si="194">(AJ$29-AK3)/7</f>
        <v>954.74904897261513</v>
      </c>
    </row>
    <row r="106" spans="1:37" x14ac:dyDescent="0.25">
      <c r="A106" t="s">
        <v>7</v>
      </c>
      <c r="B106" s="3"/>
      <c r="C106" s="3">
        <f t="shared" ref="C106:C112" si="195">(B$23-C4)/7</f>
        <v>127.18268803187844</v>
      </c>
      <c r="D106" s="3">
        <f t="shared" si="186"/>
        <v>96.393993922641386</v>
      </c>
      <c r="E106" s="3"/>
      <c r="G106" t="s">
        <v>7</v>
      </c>
      <c r="H106" s="3"/>
      <c r="I106" s="3">
        <f t="shared" ref="I106:I112" si="196">(H$29-I4)/7</f>
        <v>220.23848124912911</v>
      </c>
      <c r="J106" s="3">
        <f t="shared" si="187"/>
        <v>-151.846749441957</v>
      </c>
      <c r="K106" s="3">
        <f t="shared" si="187"/>
        <v>-565.72846003941072</v>
      </c>
      <c r="M106" t="s">
        <v>7</v>
      </c>
      <c r="N106" s="3"/>
      <c r="O106" s="3">
        <f t="shared" ref="O106:O112" si="197">(N$29-O4)/7</f>
        <v>508.89628274099567</v>
      </c>
      <c r="P106" s="3">
        <f t="shared" si="188"/>
        <v>-1970.5591882978176</v>
      </c>
      <c r="Q106" s="3">
        <f t="shared" si="188"/>
        <v>-430.98654065814014</v>
      </c>
      <c r="R106" s="3"/>
      <c r="S106" s="4"/>
      <c r="U106" t="s">
        <v>7</v>
      </c>
      <c r="V106" s="3"/>
      <c r="W106" s="3">
        <f t="shared" ref="W106:W112" si="198">(V$23-W4)/7</f>
        <v>127.18268803187844</v>
      </c>
      <c r="X106" s="3">
        <f t="shared" si="189"/>
        <v>96.393993922641386</v>
      </c>
      <c r="Y106" s="3"/>
      <c r="AA106" t="s">
        <v>7</v>
      </c>
      <c r="AB106" s="3"/>
      <c r="AC106" s="3">
        <f t="shared" ref="AC106:AC112" si="199">(AB$29-AC4)/7</f>
        <v>-59.843257981902624</v>
      </c>
      <c r="AD106" s="3">
        <f t="shared" si="191"/>
        <v>-151.846749441957</v>
      </c>
      <c r="AE106" s="3"/>
      <c r="AG106" t="s">
        <v>7</v>
      </c>
      <c r="AH106" s="3"/>
      <c r="AI106" s="3">
        <f t="shared" ref="AI106:AI112" si="200">(AH$29-AI4)/7</f>
        <v>508.89628274099567</v>
      </c>
      <c r="AJ106" s="3"/>
      <c r="AK106" s="3">
        <f t="shared" si="194"/>
        <v>-743.59504544005779</v>
      </c>
    </row>
    <row r="107" spans="1:37" x14ac:dyDescent="0.25">
      <c r="A107" t="s">
        <v>8</v>
      </c>
      <c r="B107" s="3"/>
      <c r="C107" s="3">
        <f t="shared" si="195"/>
        <v>-525.00792912074451</v>
      </c>
      <c r="D107" s="3">
        <f t="shared" si="186"/>
        <v>-23.008755275181493</v>
      </c>
      <c r="E107" s="3">
        <f t="shared" si="186"/>
        <v>100.82653590611153</v>
      </c>
      <c r="G107" t="s">
        <v>8</v>
      </c>
      <c r="H107" s="3"/>
      <c r="I107" s="3">
        <f t="shared" si="196"/>
        <v>12.111323220392089</v>
      </c>
      <c r="J107" s="3">
        <f t="shared" si="187"/>
        <v>275.22223336356012</v>
      </c>
      <c r="K107" s="3">
        <f t="shared" si="187"/>
        <v>383.7551389421721</v>
      </c>
      <c r="M107" t="s">
        <v>8</v>
      </c>
      <c r="N107" s="3"/>
      <c r="O107" s="3">
        <f t="shared" si="197"/>
        <v>-129.38976287841848</v>
      </c>
      <c r="P107" s="3">
        <f t="shared" si="188"/>
        <v>1011.4196368626182</v>
      </c>
      <c r="Q107" s="3">
        <f t="shared" si="188"/>
        <v>119.6786335536456</v>
      </c>
      <c r="R107" s="3"/>
      <c r="S107" s="4"/>
      <c r="U107" t="s">
        <v>8</v>
      </c>
      <c r="V107" s="3"/>
      <c r="W107" s="3">
        <f t="shared" si="198"/>
        <v>-525.00792912074451</v>
      </c>
      <c r="X107" s="3">
        <f t="shared" si="189"/>
        <v>-23.008755275181493</v>
      </c>
      <c r="Y107" s="3">
        <f t="shared" ref="Y107:Y108" si="201">(X$23-Y5)/7</f>
        <v>100.82653590611153</v>
      </c>
      <c r="AA107" t="s">
        <v>8</v>
      </c>
      <c r="AB107" s="3"/>
      <c r="AC107" s="3">
        <f t="shared" si="199"/>
        <v>-267.97041601063967</v>
      </c>
      <c r="AD107" s="3">
        <f t="shared" si="191"/>
        <v>275.22223336356012</v>
      </c>
      <c r="AE107" s="3">
        <f t="shared" si="192"/>
        <v>383.7551389421721</v>
      </c>
      <c r="AG107" t="s">
        <v>8</v>
      </c>
      <c r="AH107" s="3"/>
      <c r="AI107" s="3">
        <f t="shared" si="200"/>
        <v>-129.38976287841848</v>
      </c>
      <c r="AJ107" s="3">
        <f t="shared" si="193"/>
        <v>1011.4196368626182</v>
      </c>
      <c r="AK107" s="3">
        <f t="shared" si="194"/>
        <v>-192.92987122827202</v>
      </c>
    </row>
    <row r="108" spans="1:37" x14ac:dyDescent="0.25">
      <c r="A108" t="s">
        <v>9</v>
      </c>
      <c r="B108" s="3"/>
      <c r="C108" s="3">
        <f t="shared" si="195"/>
        <v>-541.11957550048862</v>
      </c>
      <c r="D108" s="3">
        <f t="shared" si="186"/>
        <v>-403.28775133405441</v>
      </c>
      <c r="E108" s="3">
        <f t="shared" si="186"/>
        <v>514.21165466308582</v>
      </c>
      <c r="G108" t="s">
        <v>9</v>
      </c>
      <c r="H108" s="3"/>
      <c r="I108" s="3">
        <f t="shared" si="196"/>
        <v>-401.71521050589371</v>
      </c>
      <c r="J108" s="3">
        <f t="shared" si="187"/>
        <v>-644.46585518972847</v>
      </c>
      <c r="K108" s="3">
        <f t="shared" si="187"/>
        <v>52.4732044764908</v>
      </c>
      <c r="M108" t="s">
        <v>9</v>
      </c>
      <c r="N108" s="3"/>
      <c r="O108" s="3">
        <f t="shared" si="197"/>
        <v>129.72082410539588</v>
      </c>
      <c r="P108" s="3">
        <f t="shared" si="188"/>
        <v>992.21808569771952</v>
      </c>
      <c r="Q108" s="3">
        <f t="shared" si="188"/>
        <v>-21.132741655625846</v>
      </c>
      <c r="R108" s="3"/>
      <c r="S108" s="4"/>
      <c r="U108" t="s">
        <v>9</v>
      </c>
      <c r="V108" s="3"/>
      <c r="W108" s="3">
        <f t="shared" si="198"/>
        <v>-541.11957550048862</v>
      </c>
      <c r="X108" s="3">
        <f t="shared" si="189"/>
        <v>-403.28775133405441</v>
      </c>
      <c r="Y108" s="3">
        <f t="shared" si="201"/>
        <v>514.21165466308582</v>
      </c>
      <c r="AA108" t="s">
        <v>9</v>
      </c>
      <c r="AB108" s="3"/>
      <c r="AC108" s="3">
        <f t="shared" si="199"/>
        <v>-681.79694973692551</v>
      </c>
      <c r="AD108" s="3">
        <f t="shared" si="191"/>
        <v>-644.46585518972847</v>
      </c>
      <c r="AE108" s="3">
        <f t="shared" si="192"/>
        <v>52.4732044764908</v>
      </c>
      <c r="AG108" t="s">
        <v>9</v>
      </c>
      <c r="AH108" s="3"/>
      <c r="AI108" s="3">
        <f t="shared" si="200"/>
        <v>129.72082410539588</v>
      </c>
      <c r="AJ108" s="3">
        <f t="shared" si="193"/>
        <v>992.21808569771952</v>
      </c>
      <c r="AK108" s="3">
        <f t="shared" si="194"/>
        <v>-333.74124643754345</v>
      </c>
    </row>
    <row r="109" spans="1:37" x14ac:dyDescent="0.25">
      <c r="A109" t="s">
        <v>10</v>
      </c>
      <c r="B109" s="3"/>
      <c r="C109" s="3">
        <f t="shared" si="195"/>
        <v>-148.48096030099012</v>
      </c>
      <c r="D109" s="3"/>
      <c r="E109" s="3"/>
      <c r="G109" t="s">
        <v>10</v>
      </c>
      <c r="H109" s="3"/>
      <c r="I109" s="3">
        <f t="shared" si="196"/>
        <v>703.14645767212062</v>
      </c>
      <c r="J109" s="3">
        <f t="shared" si="187"/>
        <v>521.09037126813587</v>
      </c>
      <c r="K109" s="3">
        <f t="shared" si="187"/>
        <v>807.29280199323227</v>
      </c>
      <c r="M109" t="s">
        <v>10</v>
      </c>
      <c r="N109" s="3"/>
      <c r="O109" s="3">
        <f t="shared" si="197"/>
        <v>590.33734457833873</v>
      </c>
      <c r="P109" s="3">
        <f t="shared" si="188"/>
        <v>1266.7781966073167</v>
      </c>
      <c r="Q109" s="3">
        <f t="shared" si="188"/>
        <v>676.96503230503561</v>
      </c>
      <c r="R109" s="3"/>
      <c r="S109" s="4"/>
      <c r="U109" t="s">
        <v>10</v>
      </c>
      <c r="V109" s="3"/>
      <c r="W109" s="3">
        <f t="shared" si="198"/>
        <v>-148.48096030099012</v>
      </c>
      <c r="X109" s="3"/>
      <c r="Y109" s="3"/>
      <c r="AA109" t="s">
        <v>10</v>
      </c>
      <c r="AB109" s="3"/>
      <c r="AC109" s="3">
        <f t="shared" si="199"/>
        <v>423.06471844108881</v>
      </c>
      <c r="AD109" s="3">
        <f t="shared" si="191"/>
        <v>521.09037126813587</v>
      </c>
      <c r="AE109" s="3">
        <f t="shared" si="192"/>
        <v>807.29280199323227</v>
      </c>
      <c r="AG109" t="s">
        <v>10</v>
      </c>
      <c r="AH109" s="3"/>
      <c r="AI109" s="3">
        <f t="shared" si="200"/>
        <v>590.33734457833873</v>
      </c>
      <c r="AJ109" s="3">
        <f t="shared" si="193"/>
        <v>1266.7781966073167</v>
      </c>
      <c r="AK109" s="3">
        <f t="shared" si="194"/>
        <v>364.35652752311802</v>
      </c>
    </row>
    <row r="110" spans="1:37" x14ac:dyDescent="0.25">
      <c r="A110" t="s">
        <v>11</v>
      </c>
      <c r="B110" s="3"/>
      <c r="C110" s="3">
        <f t="shared" si="195"/>
        <v>262.25566864013706</v>
      </c>
      <c r="D110" s="3">
        <f t="shared" si="186"/>
        <v>-753.99194444928867</v>
      </c>
      <c r="E110" s="3"/>
      <c r="G110" t="s">
        <v>11</v>
      </c>
      <c r="H110" s="3"/>
      <c r="I110" s="3">
        <f t="shared" si="196"/>
        <v>1180.5367469787604</v>
      </c>
      <c r="J110" s="3">
        <f t="shared" si="187"/>
        <v>579.7985621861045</v>
      </c>
      <c r="K110" s="3">
        <f t="shared" si="187"/>
        <v>698.04259708949371</v>
      </c>
      <c r="M110" t="s">
        <v>11</v>
      </c>
      <c r="N110" s="3"/>
      <c r="O110" s="3">
        <f t="shared" si="197"/>
        <v>669.79203905378017</v>
      </c>
      <c r="P110" s="3">
        <f t="shared" si="188"/>
        <v>-176.64875302996032</v>
      </c>
      <c r="Q110" s="3">
        <f t="shared" si="188"/>
        <v>1055.2576610020212</v>
      </c>
      <c r="R110" s="3"/>
      <c r="S110" s="4"/>
      <c r="U110" t="s">
        <v>11</v>
      </c>
      <c r="V110" s="3"/>
      <c r="W110" s="3">
        <f t="shared" si="198"/>
        <v>262.25566864013706</v>
      </c>
      <c r="X110" s="3">
        <f t="shared" ref="X110" si="202">(W$23-X8)/7</f>
        <v>-753.99194444928867</v>
      </c>
      <c r="Y110" s="3"/>
      <c r="AA110" t="s">
        <v>11</v>
      </c>
      <c r="AB110" s="3"/>
      <c r="AC110" s="3">
        <f t="shared" si="199"/>
        <v>900.45500774772881</v>
      </c>
      <c r="AD110" s="3">
        <f t="shared" si="191"/>
        <v>579.7985621861045</v>
      </c>
      <c r="AE110" s="3">
        <f t="shared" si="192"/>
        <v>698.04259708949371</v>
      </c>
      <c r="AG110" t="s">
        <v>11</v>
      </c>
      <c r="AH110" s="3"/>
      <c r="AI110" s="3">
        <f t="shared" si="200"/>
        <v>669.79203905378017</v>
      </c>
      <c r="AJ110" s="3">
        <f t="shared" si="193"/>
        <v>-176.64875302996032</v>
      </c>
      <c r="AK110" s="3">
        <f t="shared" si="194"/>
        <v>742.64915622010369</v>
      </c>
    </row>
    <row r="111" spans="1:37" x14ac:dyDescent="0.25">
      <c r="A111" t="s">
        <v>12</v>
      </c>
      <c r="B111" s="3"/>
      <c r="C111" s="3">
        <f t="shared" si="195"/>
        <v>320.96385955810558</v>
      </c>
      <c r="D111" s="3"/>
      <c r="E111" s="3">
        <f t="shared" si="186"/>
        <v>571.15418570382269</v>
      </c>
      <c r="G111" t="s">
        <v>12</v>
      </c>
      <c r="H111" s="3"/>
      <c r="I111" s="3">
        <f t="shared" si="196"/>
        <v>159.98533793858198</v>
      </c>
      <c r="J111" s="3">
        <f t="shared" si="187"/>
        <v>541.61616734096026</v>
      </c>
      <c r="K111" s="3">
        <f t="shared" si="187"/>
        <v>721.65829794747356</v>
      </c>
      <c r="M111" t="s">
        <v>12</v>
      </c>
      <c r="N111" s="3"/>
      <c r="O111" s="3">
        <f t="shared" si="197"/>
        <v>956.27035413469571</v>
      </c>
      <c r="P111" s="3">
        <f t="shared" si="188"/>
        <v>-84.393024444574621</v>
      </c>
      <c r="Q111" s="3">
        <f t="shared" si="188"/>
        <v>540.56780678885286</v>
      </c>
      <c r="R111" s="3"/>
      <c r="S111" s="4"/>
      <c r="U111" t="s">
        <v>12</v>
      </c>
      <c r="V111" s="3"/>
      <c r="W111" s="3">
        <f t="shared" si="198"/>
        <v>320.96385955810558</v>
      </c>
      <c r="X111" s="3"/>
      <c r="Y111" s="3">
        <f t="shared" ref="Y111:Y112" si="203">(X$23-Y9)/7</f>
        <v>571.15418570382269</v>
      </c>
      <c r="AA111" t="s">
        <v>12</v>
      </c>
      <c r="AB111" s="3"/>
      <c r="AC111" s="3">
        <f t="shared" si="199"/>
        <v>-120.09640129244976</v>
      </c>
      <c r="AD111" s="3">
        <f t="shared" si="191"/>
        <v>541.61616734096026</v>
      </c>
      <c r="AE111" s="3">
        <f t="shared" si="192"/>
        <v>721.65829794747356</v>
      </c>
      <c r="AG111" t="s">
        <v>12</v>
      </c>
      <c r="AH111" s="3"/>
      <c r="AI111" s="3">
        <f t="shared" si="200"/>
        <v>956.27035413469571</v>
      </c>
      <c r="AJ111" s="3">
        <f t="shared" si="193"/>
        <v>-84.393024444574621</v>
      </c>
      <c r="AK111" s="3">
        <f t="shared" si="194"/>
        <v>227.95930200693525</v>
      </c>
    </row>
    <row r="112" spans="1:37" x14ac:dyDescent="0.25">
      <c r="A112" t="s">
        <v>13</v>
      </c>
      <c r="B112" s="3"/>
      <c r="C112" s="3">
        <f t="shared" si="195"/>
        <v>276.82236262730129</v>
      </c>
      <c r="D112" s="3">
        <f t="shared" si="186"/>
        <v>395.45263562883565</v>
      </c>
      <c r="E112" s="3">
        <f t="shared" si="186"/>
        <v>565.63649858747226</v>
      </c>
      <c r="G112" t="s">
        <v>13</v>
      </c>
      <c r="H112" s="3"/>
      <c r="I112" s="3">
        <f t="shared" si="196"/>
        <v>446.6843605041521</v>
      </c>
      <c r="J112" s="3">
        <f t="shared" si="187"/>
        <v>420.00634329659584</v>
      </c>
      <c r="K112" s="3">
        <f t="shared" si="187"/>
        <v>266.11804962158072</v>
      </c>
      <c r="M112" t="s">
        <v>13</v>
      </c>
      <c r="N112" s="3"/>
      <c r="O112" s="3">
        <f t="shared" si="197"/>
        <v>195.4916545322958</v>
      </c>
      <c r="P112" s="3">
        <f t="shared" si="188"/>
        <v>893.1204250880653</v>
      </c>
      <c r="Q112" s="3">
        <f t="shared" si="188"/>
        <v>113.27811649867415</v>
      </c>
      <c r="R112" s="3"/>
      <c r="S112" s="4"/>
      <c r="U112" t="s">
        <v>13</v>
      </c>
      <c r="V112" s="3"/>
      <c r="W112" s="3">
        <f t="shared" si="198"/>
        <v>276.82236262730129</v>
      </c>
      <c r="X112" s="3">
        <f t="shared" ref="X112" si="204">(W$23-X10)/7</f>
        <v>395.45263562883565</v>
      </c>
      <c r="Y112" s="3">
        <f t="shared" si="203"/>
        <v>565.63649858747226</v>
      </c>
      <c r="AA112" t="s">
        <v>13</v>
      </c>
      <c r="AB112" s="3"/>
      <c r="AC112" s="3">
        <f t="shared" si="199"/>
        <v>166.60262127312035</v>
      </c>
      <c r="AD112" s="3">
        <f t="shared" si="191"/>
        <v>420.00634329659584</v>
      </c>
      <c r="AE112" s="3">
        <f t="shared" si="192"/>
        <v>266.11804962158072</v>
      </c>
      <c r="AG112" t="s">
        <v>13</v>
      </c>
      <c r="AH112" s="3"/>
      <c r="AI112" s="3">
        <f t="shared" si="200"/>
        <v>195.4916545322958</v>
      </c>
      <c r="AJ112" s="3">
        <f t="shared" si="193"/>
        <v>893.1204250880653</v>
      </c>
      <c r="AK112" s="3">
        <f t="shared" si="194"/>
        <v>-199.33038828324348</v>
      </c>
    </row>
    <row r="113" spans="1:37" x14ac:dyDescent="0.25">
      <c r="A113" t="s">
        <v>5</v>
      </c>
      <c r="C113" s="3"/>
      <c r="D113" s="3"/>
      <c r="E113" s="3"/>
      <c r="G113" t="s">
        <v>5</v>
      </c>
      <c r="I113" s="3"/>
      <c r="J113" s="3"/>
      <c r="K113" s="3"/>
      <c r="M113" t="s">
        <v>5</v>
      </c>
      <c r="O113" s="3"/>
      <c r="P113" s="3"/>
      <c r="Q113" s="3"/>
      <c r="R113" s="3"/>
      <c r="S113" s="4"/>
      <c r="U113" t="s">
        <v>5</v>
      </c>
      <c r="W113" s="3"/>
      <c r="X113" s="3"/>
      <c r="Y113" s="3"/>
      <c r="AA113" t="s">
        <v>5</v>
      </c>
      <c r="AC113" s="3"/>
      <c r="AD113" s="3"/>
      <c r="AE113" s="3"/>
      <c r="AG113" t="s">
        <v>5</v>
      </c>
      <c r="AI113" s="3"/>
      <c r="AJ113" s="3"/>
      <c r="AK113" s="3"/>
    </row>
    <row r="114" spans="1:37" x14ac:dyDescent="0.25">
      <c r="A114" t="s">
        <v>7</v>
      </c>
      <c r="C114" s="3"/>
      <c r="D114" s="3"/>
      <c r="E114" s="3"/>
      <c r="G114" t="s">
        <v>7</v>
      </c>
      <c r="I114" s="3"/>
      <c r="J114" s="3"/>
      <c r="K114" s="3"/>
      <c r="M114" t="s">
        <v>7</v>
      </c>
      <c r="O114" s="3"/>
      <c r="P114" s="3"/>
      <c r="Q114" s="3"/>
      <c r="R114" s="3"/>
      <c r="S114" s="4"/>
      <c r="U114" t="s">
        <v>7</v>
      </c>
      <c r="W114" s="3"/>
      <c r="X114" s="3"/>
      <c r="Y114" s="3"/>
      <c r="AA114" t="s">
        <v>7</v>
      </c>
      <c r="AC114" s="3"/>
      <c r="AD114" s="3"/>
      <c r="AE114" s="3"/>
      <c r="AG114" t="s">
        <v>7</v>
      </c>
      <c r="AI114" s="3"/>
      <c r="AJ114" s="3"/>
      <c r="AK114" s="3"/>
    </row>
    <row r="115" spans="1:37" x14ac:dyDescent="0.25">
      <c r="A115" t="s">
        <v>8</v>
      </c>
      <c r="C115" s="3"/>
      <c r="D115" s="3"/>
      <c r="E115" s="3"/>
      <c r="G115" t="s">
        <v>8</v>
      </c>
      <c r="I115" s="3"/>
      <c r="J115" s="3"/>
      <c r="K115" s="3"/>
      <c r="M115" t="s">
        <v>8</v>
      </c>
      <c r="O115" s="3"/>
      <c r="P115" s="3"/>
      <c r="Q115" s="3"/>
      <c r="R115" s="3"/>
      <c r="S115" s="4"/>
      <c r="U115" t="s">
        <v>8</v>
      </c>
      <c r="W115" s="3"/>
      <c r="X115" s="3"/>
      <c r="Y115" s="3"/>
      <c r="AA115" t="s">
        <v>8</v>
      </c>
      <c r="AC115" s="3"/>
      <c r="AD115" s="3"/>
      <c r="AE115" s="3"/>
      <c r="AG115" t="s">
        <v>8</v>
      </c>
      <c r="AI115" s="3"/>
      <c r="AJ115" s="3"/>
      <c r="AK115" s="3"/>
    </row>
    <row r="116" spans="1:37" x14ac:dyDescent="0.25">
      <c r="A116" t="s">
        <v>9</v>
      </c>
      <c r="C116" s="3"/>
      <c r="D116" s="3"/>
      <c r="E116" s="3"/>
      <c r="G116" t="s">
        <v>9</v>
      </c>
      <c r="I116" s="3"/>
      <c r="J116" s="3"/>
      <c r="K116" s="3"/>
      <c r="M116" t="s">
        <v>9</v>
      </c>
      <c r="O116" s="3"/>
      <c r="P116" s="3"/>
      <c r="Q116" s="3"/>
      <c r="R116" s="3"/>
      <c r="S116" s="4"/>
      <c r="U116" t="s">
        <v>9</v>
      </c>
      <c r="W116" s="3"/>
      <c r="X116" s="3"/>
      <c r="Y116" s="3"/>
      <c r="AA116" t="s">
        <v>9</v>
      </c>
      <c r="AC116" s="3"/>
      <c r="AD116" s="3"/>
      <c r="AE116" s="3"/>
      <c r="AG116" t="s">
        <v>9</v>
      </c>
      <c r="AI116" s="3"/>
      <c r="AJ116" s="3"/>
      <c r="AK116" s="3"/>
    </row>
    <row r="117" spans="1:37" x14ac:dyDescent="0.25">
      <c r="A117" t="s">
        <v>10</v>
      </c>
      <c r="C117" s="3"/>
      <c r="D117" s="3"/>
      <c r="E117" s="3"/>
      <c r="G117" t="s">
        <v>10</v>
      </c>
      <c r="I117" s="3"/>
      <c r="J117" s="3"/>
      <c r="K117" s="3"/>
      <c r="M117" t="s">
        <v>10</v>
      </c>
      <c r="O117" s="3"/>
      <c r="P117" s="3"/>
      <c r="Q117" s="3"/>
      <c r="R117" s="3"/>
      <c r="S117" s="4"/>
      <c r="U117" t="s">
        <v>10</v>
      </c>
      <c r="W117" s="3"/>
      <c r="X117" s="3"/>
      <c r="Y117" s="3"/>
      <c r="AA117" t="s">
        <v>10</v>
      </c>
      <c r="AC117" s="3"/>
      <c r="AD117" s="3"/>
      <c r="AE117" s="3"/>
      <c r="AG117" t="s">
        <v>10</v>
      </c>
      <c r="AI117" s="3"/>
      <c r="AJ117" s="3"/>
      <c r="AK117" s="3"/>
    </row>
    <row r="118" spans="1:37" x14ac:dyDescent="0.25">
      <c r="A118" t="s">
        <v>11</v>
      </c>
      <c r="C118" s="3"/>
      <c r="D118" s="3"/>
      <c r="E118" s="3"/>
      <c r="G118" t="s">
        <v>11</v>
      </c>
      <c r="I118" s="3"/>
      <c r="J118" s="3"/>
      <c r="K118" s="3"/>
      <c r="M118" t="s">
        <v>11</v>
      </c>
      <c r="O118" s="3"/>
      <c r="P118" s="3"/>
      <c r="Q118" s="3"/>
      <c r="R118" s="3"/>
      <c r="S118" s="4"/>
      <c r="U118" t="s">
        <v>11</v>
      </c>
      <c r="W118" s="3"/>
      <c r="X118" s="3"/>
      <c r="Y118" s="3"/>
      <c r="AA118" t="s">
        <v>11</v>
      </c>
      <c r="AC118" s="3"/>
      <c r="AD118" s="3"/>
      <c r="AE118" s="3"/>
      <c r="AG118" t="s">
        <v>11</v>
      </c>
      <c r="AI118" s="3"/>
      <c r="AJ118" s="3"/>
      <c r="AK118" s="3"/>
    </row>
    <row r="119" spans="1:37" x14ac:dyDescent="0.25">
      <c r="A119" t="s">
        <v>12</v>
      </c>
      <c r="C119" s="3"/>
      <c r="D119" s="3"/>
      <c r="E119" s="3"/>
      <c r="G119" t="s">
        <v>12</v>
      </c>
      <c r="I119" s="3"/>
      <c r="J119" s="3"/>
      <c r="K119" s="3"/>
      <c r="M119" t="s">
        <v>12</v>
      </c>
      <c r="O119" s="3"/>
      <c r="P119" s="3"/>
      <c r="Q119" s="3"/>
      <c r="R119" s="3"/>
      <c r="S119" s="4"/>
      <c r="U119" t="s">
        <v>12</v>
      </c>
      <c r="W119" s="3"/>
      <c r="X119" s="3"/>
      <c r="Y119" s="3"/>
      <c r="AA119" t="s">
        <v>12</v>
      </c>
      <c r="AC119" s="3"/>
      <c r="AD119" s="3"/>
      <c r="AE119" s="3"/>
      <c r="AG119" t="s">
        <v>12</v>
      </c>
      <c r="AI119" s="3"/>
      <c r="AJ119" s="3"/>
      <c r="AK119" s="3"/>
    </row>
    <row r="120" spans="1:37" x14ac:dyDescent="0.25">
      <c r="A120" t="s">
        <v>13</v>
      </c>
      <c r="C120" s="3"/>
      <c r="D120" s="3"/>
      <c r="E120" s="3"/>
      <c r="G120" t="s">
        <v>13</v>
      </c>
      <c r="I120" s="3"/>
      <c r="J120" s="3"/>
      <c r="K120" s="3"/>
      <c r="M120" t="s">
        <v>13</v>
      </c>
      <c r="O120" s="3"/>
      <c r="P120" s="3"/>
      <c r="Q120" s="3"/>
      <c r="R120" s="3"/>
      <c r="S120" s="4"/>
      <c r="U120" t="s">
        <v>13</v>
      </c>
      <c r="W120" s="3"/>
      <c r="X120" s="3"/>
      <c r="Y120" s="3"/>
      <c r="AA120" t="s">
        <v>13</v>
      </c>
      <c r="AC120" s="3"/>
      <c r="AD120" s="3"/>
      <c r="AE120" s="3"/>
      <c r="AG120" t="s">
        <v>13</v>
      </c>
      <c r="AI120" s="3"/>
      <c r="AJ120" s="3"/>
      <c r="AK120" s="3"/>
    </row>
    <row r="121" spans="1:37" x14ac:dyDescent="0.25">
      <c r="A121" s="2"/>
      <c r="B121" s="2"/>
      <c r="C121" s="2"/>
      <c r="D121" s="2"/>
      <c r="E121" s="2"/>
      <c r="G121" s="2"/>
      <c r="H121" s="2"/>
      <c r="I121" s="2"/>
      <c r="J121" s="2"/>
      <c r="K121" s="2"/>
      <c r="M121" s="2"/>
      <c r="N121" s="2"/>
      <c r="O121" s="2"/>
      <c r="P121" s="2"/>
      <c r="Q121" s="2"/>
      <c r="R121" s="3"/>
      <c r="S121" s="4"/>
      <c r="U121" s="2"/>
      <c r="V121" s="2"/>
      <c r="W121" s="2"/>
      <c r="X121" s="2"/>
      <c r="Y121" s="2"/>
      <c r="AA121" s="2"/>
      <c r="AB121" s="2"/>
      <c r="AC121" s="2"/>
      <c r="AD121" s="2"/>
      <c r="AE121" s="2"/>
      <c r="AG121" s="2"/>
      <c r="AH121" s="2"/>
      <c r="AI121" s="2"/>
      <c r="AJ121" s="2"/>
      <c r="AK121" s="2"/>
    </row>
    <row r="122" spans="1:37" x14ac:dyDescent="0.25">
      <c r="A122" t="s">
        <v>14</v>
      </c>
      <c r="B122">
        <f>COUNT(B105:B120)</f>
        <v>0</v>
      </c>
      <c r="C122">
        <f t="shared" ref="C122:E122" si="205">COUNT(C105:C120)</f>
        <v>8</v>
      </c>
      <c r="D122">
        <f t="shared" si="205"/>
        <v>6</v>
      </c>
      <c r="E122">
        <f t="shared" si="205"/>
        <v>5</v>
      </c>
      <c r="G122" t="s">
        <v>14</v>
      </c>
      <c r="H122">
        <f>COUNT(H105:H120)</f>
        <v>0</v>
      </c>
      <c r="I122">
        <f t="shared" ref="I122:K122" si="206">COUNT(I105:I120)</f>
        <v>8</v>
      </c>
      <c r="J122">
        <f t="shared" si="206"/>
        <v>8</v>
      </c>
      <c r="K122">
        <f t="shared" si="206"/>
        <v>8</v>
      </c>
      <c r="M122" t="s">
        <v>14</v>
      </c>
      <c r="N122">
        <f>COUNT(N105:N120)</f>
        <v>0</v>
      </c>
      <c r="O122">
        <f t="shared" ref="O122:Q122" si="207">COUNT(O105:O120)</f>
        <v>8</v>
      </c>
      <c r="P122">
        <f t="shared" si="207"/>
        <v>8</v>
      </c>
      <c r="Q122">
        <f t="shared" si="207"/>
        <v>8</v>
      </c>
      <c r="R122" s="3"/>
      <c r="S122" s="4"/>
      <c r="U122" t="s">
        <v>14</v>
      </c>
      <c r="V122">
        <f>COUNT(V105:V120)</f>
        <v>0</v>
      </c>
      <c r="W122">
        <f t="shared" ref="W122:Y122" si="208">COUNT(W105:W120)</f>
        <v>8</v>
      </c>
      <c r="X122">
        <f t="shared" si="208"/>
        <v>6</v>
      </c>
      <c r="Y122">
        <f t="shared" si="208"/>
        <v>5</v>
      </c>
      <c r="AA122" t="s">
        <v>14</v>
      </c>
      <c r="AB122">
        <f>COUNT(AB105:AB120)</f>
        <v>0</v>
      </c>
      <c r="AC122">
        <f t="shared" ref="AC122:AE122" si="209">COUNT(AC105:AC120)</f>
        <v>8</v>
      </c>
      <c r="AD122">
        <f t="shared" si="209"/>
        <v>8</v>
      </c>
      <c r="AE122">
        <f t="shared" si="209"/>
        <v>7</v>
      </c>
      <c r="AG122" t="s">
        <v>14</v>
      </c>
      <c r="AH122">
        <f>COUNT(AH105:AH120)</f>
        <v>0</v>
      </c>
      <c r="AI122">
        <f t="shared" ref="AI122:AK122" si="210">COUNT(AI105:AI120)</f>
        <v>8</v>
      </c>
      <c r="AJ122">
        <f t="shared" si="210"/>
        <v>7</v>
      </c>
      <c r="AK122">
        <f t="shared" si="210"/>
        <v>8</v>
      </c>
    </row>
    <row r="123" spans="1:37" x14ac:dyDescent="0.25">
      <c r="A123" t="s">
        <v>15</v>
      </c>
      <c r="B123">
        <f>MAX(B105:B120)</f>
        <v>0</v>
      </c>
      <c r="C123">
        <f t="shared" ref="C123:E123" si="211">MAX(C105:C120)</f>
        <v>351.86290740966848</v>
      </c>
      <c r="D123">
        <f t="shared" si="211"/>
        <v>395.45263562883565</v>
      </c>
      <c r="E123">
        <f t="shared" si="211"/>
        <v>571.15418570382269</v>
      </c>
      <c r="G123" t="s">
        <v>15</v>
      </c>
      <c r="H123">
        <f>MAX(H105:H120)</f>
        <v>0</v>
      </c>
      <c r="I123">
        <f t="shared" ref="I123:K123" si="212">MAX(I105:I120)</f>
        <v>1180.5367469787604</v>
      </c>
      <c r="J123">
        <f t="shared" si="212"/>
        <v>579.7985621861045</v>
      </c>
      <c r="K123">
        <f t="shared" si="212"/>
        <v>807.29280199323227</v>
      </c>
      <c r="M123" t="s">
        <v>15</v>
      </c>
      <c r="N123">
        <f>MAX(N105:N120)</f>
        <v>0</v>
      </c>
      <c r="O123">
        <f t="shared" ref="O123:Q123" si="213">MAX(O105:O120)</f>
        <v>956.27035413469571</v>
      </c>
      <c r="P123">
        <f t="shared" si="213"/>
        <v>1266.7781966073167</v>
      </c>
      <c r="Q123">
        <f t="shared" si="213"/>
        <v>1267.3575537545328</v>
      </c>
      <c r="R123" s="3"/>
      <c r="S123" s="4"/>
      <c r="U123" t="s">
        <v>15</v>
      </c>
      <c r="V123">
        <f>MAX(V105:V120)</f>
        <v>0</v>
      </c>
      <c r="W123">
        <f t="shared" ref="W123:Y123" si="214">MAX(W105:W120)</f>
        <v>351.86290740966848</v>
      </c>
      <c r="X123">
        <f t="shared" si="214"/>
        <v>395.45263562883565</v>
      </c>
      <c r="Y123">
        <f t="shared" si="214"/>
        <v>571.15418570382269</v>
      </c>
      <c r="AA123" t="s">
        <v>15</v>
      </c>
      <c r="AB123">
        <f>MAX(AB105:AB120)</f>
        <v>0</v>
      </c>
      <c r="AC123">
        <f t="shared" ref="AC123:AE123" si="215">MAX(AC105:AC120)</f>
        <v>900.45500774772881</v>
      </c>
      <c r="AD123">
        <f t="shared" si="215"/>
        <v>579.7985621861045</v>
      </c>
      <c r="AE123">
        <f t="shared" si="215"/>
        <v>807.29280199323227</v>
      </c>
      <c r="AG123" t="s">
        <v>15</v>
      </c>
      <c r="AH123">
        <f>MAX(AH105:AH120)</f>
        <v>0</v>
      </c>
      <c r="AI123">
        <f t="shared" ref="AI123:AK123" si="216">MAX(AI105:AI120)</f>
        <v>956.27035413469571</v>
      </c>
      <c r="AJ123">
        <f t="shared" si="216"/>
        <v>1266.7781966073167</v>
      </c>
      <c r="AK123">
        <f t="shared" si="216"/>
        <v>954.74904897261513</v>
      </c>
    </row>
    <row r="124" spans="1:37" x14ac:dyDescent="0.25">
      <c r="A124" t="s">
        <v>16</v>
      </c>
      <c r="B124">
        <f>MIN(B105:B120)</f>
        <v>0</v>
      </c>
      <c r="C124">
        <f t="shared" ref="C124:E124" si="217">MIN(C105:C120)</f>
        <v>-541.11957550048862</v>
      </c>
      <c r="D124">
        <f t="shared" si="217"/>
        <v>-753.99194444928867</v>
      </c>
      <c r="E124">
        <f t="shared" si="217"/>
        <v>26.668821062360102</v>
      </c>
      <c r="G124" t="s">
        <v>16</v>
      </c>
      <c r="H124">
        <f>MIN(H105:H120)</f>
        <v>0</v>
      </c>
      <c r="I124">
        <f t="shared" ref="I124:K124" si="218">MIN(I105:I120)</f>
        <v>-537.89172853742218</v>
      </c>
      <c r="J124">
        <f t="shared" si="218"/>
        <v>-644.46585518972847</v>
      </c>
      <c r="K124">
        <f t="shared" si="218"/>
        <v>-565.72846003941072</v>
      </c>
      <c r="M124" t="s">
        <v>16</v>
      </c>
      <c r="N124">
        <f>MIN(N105:N120)</f>
        <v>0</v>
      </c>
      <c r="O124">
        <f t="shared" ref="O124:Q124" si="219">MIN(O105:O120)</f>
        <v>-816.23145512171845</v>
      </c>
      <c r="P124">
        <f t="shared" si="219"/>
        <v>-1970.5591882978176</v>
      </c>
      <c r="Q124">
        <f t="shared" si="219"/>
        <v>-430.98654065814014</v>
      </c>
      <c r="S124" s="4"/>
      <c r="U124" t="s">
        <v>16</v>
      </c>
      <c r="V124">
        <f>MIN(V105:V120)</f>
        <v>0</v>
      </c>
      <c r="W124">
        <f t="shared" ref="W124:Y124" si="220">MIN(W105:W120)</f>
        <v>-541.11957550048862</v>
      </c>
      <c r="X124">
        <f t="shared" si="220"/>
        <v>-753.99194444928867</v>
      </c>
      <c r="Y124">
        <f t="shared" si="220"/>
        <v>26.668821062360102</v>
      </c>
      <c r="AA124" t="s">
        <v>16</v>
      </c>
      <c r="AB124">
        <f>MIN(AB105:AB120)</f>
        <v>0</v>
      </c>
      <c r="AC124">
        <f t="shared" ref="AC124:AE124" si="221">MIN(AC105:AC120)</f>
        <v>-817.97346776845393</v>
      </c>
      <c r="AD124">
        <f t="shared" si="221"/>
        <v>-644.46585518972847</v>
      </c>
      <c r="AE124">
        <f t="shared" si="221"/>
        <v>52.4732044764908</v>
      </c>
      <c r="AG124" t="s">
        <v>16</v>
      </c>
      <c r="AH124">
        <f>MIN(AH105:AH120)</f>
        <v>0</v>
      </c>
      <c r="AI124">
        <f t="shared" ref="AI124:AK124" si="222">MIN(AI105:AI120)</f>
        <v>-816.23145512171845</v>
      </c>
      <c r="AJ124">
        <f t="shared" si="222"/>
        <v>-190.3326170785032</v>
      </c>
      <c r="AK124">
        <f t="shared" si="222"/>
        <v>-743.59504544005779</v>
      </c>
    </row>
    <row r="125" spans="1:37" x14ac:dyDescent="0.25">
      <c r="A125" t="s">
        <v>17</v>
      </c>
      <c r="B125" t="e">
        <f>AVERAGE(B105:B120)</f>
        <v>#DIV/0!</v>
      </c>
      <c r="C125">
        <f t="shared" ref="C125:E125" si="223">AVERAGE(C105:C120)</f>
        <v>15.559877668108463</v>
      </c>
      <c r="D125">
        <f t="shared" si="223"/>
        <v>-78.590256827218653</v>
      </c>
      <c r="E125">
        <f t="shared" si="223"/>
        <v>355.69953918457043</v>
      </c>
      <c r="G125" t="s">
        <v>17</v>
      </c>
      <c r="H125" t="e">
        <f>AVERAGE(H105:H120)</f>
        <v>#DIV/0!</v>
      </c>
      <c r="I125">
        <f t="shared" ref="I125:K125" si="224">AVERAGE(I105:I120)</f>
        <v>222.88697106497756</v>
      </c>
      <c r="J125">
        <f t="shared" si="224"/>
        <v>124.97561318533928</v>
      </c>
      <c r="K125">
        <f t="shared" si="224"/>
        <v>337.04791750226576</v>
      </c>
      <c r="M125" t="s">
        <v>17</v>
      </c>
      <c r="N125" t="e">
        <f>AVERAGE(N105:N120)</f>
        <v>#DIV/0!</v>
      </c>
      <c r="O125">
        <f t="shared" ref="O125:Q125" si="225">AVERAGE(O105:O120)</f>
        <v>263.1109101431706</v>
      </c>
      <c r="P125">
        <f t="shared" si="225"/>
        <v>217.70034517560796</v>
      </c>
      <c r="Q125">
        <f t="shared" si="225"/>
        <v>415.12319019862451</v>
      </c>
      <c r="S125" s="4"/>
      <c r="U125" t="s">
        <v>17</v>
      </c>
      <c r="V125" t="e">
        <f>AVERAGE(V105:V120)</f>
        <v>#DIV/0!</v>
      </c>
      <c r="W125">
        <f t="shared" ref="W125:Y125" si="226">AVERAGE(W105:W120)</f>
        <v>15.559877668108463</v>
      </c>
      <c r="X125">
        <f t="shared" si="226"/>
        <v>-78.590256827218653</v>
      </c>
      <c r="Y125">
        <f t="shared" si="226"/>
        <v>355.69953918457043</v>
      </c>
      <c r="AA125" t="s">
        <v>17</v>
      </c>
      <c r="AB125" t="e">
        <f>AVERAGE(AB105:AB120)</f>
        <v>#DIV/0!</v>
      </c>
      <c r="AC125">
        <f t="shared" ref="AC125:AE125" si="227">AVERAGE(AC105:AC120)</f>
        <v>-57.194768166054175</v>
      </c>
      <c r="AD125">
        <f t="shared" si="227"/>
        <v>124.97561318533928</v>
      </c>
      <c r="AE125">
        <f t="shared" si="227"/>
        <v>466.01597143679095</v>
      </c>
      <c r="AG125" t="s">
        <v>17</v>
      </c>
      <c r="AH125" t="e">
        <f>AVERAGE(AH105:AH120)</f>
        <v>#DIV/0!</v>
      </c>
      <c r="AI125">
        <f t="shared" ref="AI125:AK125" si="228">AVERAGE(AI105:AI120)</f>
        <v>263.1109101431706</v>
      </c>
      <c r="AJ125">
        <f t="shared" si="228"/>
        <v>530.30884995752592</v>
      </c>
      <c r="AK125">
        <f t="shared" si="228"/>
        <v>102.51468541670693</v>
      </c>
    </row>
    <row r="126" spans="1:37" x14ac:dyDescent="0.25">
      <c r="A126" t="s">
        <v>18</v>
      </c>
      <c r="B126" t="e">
        <f>STDEV(B105:B120)</f>
        <v>#DIV/0!</v>
      </c>
      <c r="C126">
        <f t="shared" ref="C126:E126" si="229">STDEV(C105:C120)</f>
        <v>373.58549125423843</v>
      </c>
      <c r="D126">
        <f t="shared" si="229"/>
        <v>425.98967486804264</v>
      </c>
      <c r="E126">
        <f t="shared" si="229"/>
        <v>268.72001397911572</v>
      </c>
      <c r="G126" t="s">
        <v>18</v>
      </c>
      <c r="H126" t="e">
        <f>STDEV(H105:H120)</f>
        <v>#DIV/0!</v>
      </c>
      <c r="I126">
        <f t="shared" ref="I126:K126" si="230">STDEV(I105:I120)</f>
        <v>562.5363046021439</v>
      </c>
      <c r="J126">
        <f t="shared" si="230"/>
        <v>501.42550251853606</v>
      </c>
      <c r="K126">
        <f t="shared" si="230"/>
        <v>447.62730138400855</v>
      </c>
      <c r="M126" t="s">
        <v>18</v>
      </c>
      <c r="N126" t="e">
        <f>STDEV(N105:N120)</f>
        <v>#DIV/0!</v>
      </c>
      <c r="O126">
        <f t="shared" ref="O126:Q126" si="231">STDEV(O105:O120)</f>
        <v>554.81646163952178</v>
      </c>
      <c r="P126">
        <f t="shared" si="231"/>
        <v>1068.2674201341392</v>
      </c>
      <c r="Q126">
        <f t="shared" si="231"/>
        <v>573.83321401432124</v>
      </c>
      <c r="S126" s="4"/>
      <c r="U126" t="s">
        <v>18</v>
      </c>
      <c r="V126" t="e">
        <f>STDEV(V105:V120)</f>
        <v>#DIV/0!</v>
      </c>
      <c r="W126">
        <f t="shared" ref="W126:Y126" si="232">STDEV(W105:W120)</f>
        <v>373.58549125423843</v>
      </c>
      <c r="X126">
        <f t="shared" si="232"/>
        <v>425.98967486804264</v>
      </c>
      <c r="Y126">
        <f t="shared" si="232"/>
        <v>268.72001397911572</v>
      </c>
      <c r="AA126" t="s">
        <v>18</v>
      </c>
      <c r="AB126" t="e">
        <f>STDEV(AB105:AB120)</f>
        <v>#DIV/0!</v>
      </c>
      <c r="AC126">
        <f t="shared" ref="AC126:AE126" si="233">STDEV(AC105:AC120)</f>
        <v>562.5363046021439</v>
      </c>
      <c r="AD126">
        <f t="shared" si="233"/>
        <v>501.42550251853606</v>
      </c>
      <c r="AE126">
        <f t="shared" si="233"/>
        <v>280.22517916056609</v>
      </c>
      <c r="AG126" t="s">
        <v>18</v>
      </c>
      <c r="AH126" t="e">
        <f>STDEV(AH105:AH120)</f>
        <v>#DIV/0!</v>
      </c>
      <c r="AI126">
        <f t="shared" ref="AI126:AK126" si="234">STDEV(AI105:AI120)</f>
        <v>554.81646163952178</v>
      </c>
      <c r="AJ126">
        <f t="shared" si="234"/>
        <v>647.53618171356618</v>
      </c>
      <c r="AK126">
        <f t="shared" si="234"/>
        <v>573.83321401432124</v>
      </c>
    </row>
    <row r="127" spans="1:37" x14ac:dyDescent="0.25">
      <c r="A127" t="s">
        <v>19</v>
      </c>
      <c r="B127" t="e">
        <f>B125+2*B126</f>
        <v>#DIV/0!</v>
      </c>
      <c r="C127">
        <f t="shared" ref="C127:E127" si="235">C125+2*C126</f>
        <v>762.73086017658534</v>
      </c>
      <c r="D127">
        <f t="shared" si="235"/>
        <v>773.38909290886659</v>
      </c>
      <c r="E127">
        <f t="shared" si="235"/>
        <v>893.13956714280187</v>
      </c>
      <c r="G127" t="s">
        <v>19</v>
      </c>
      <c r="H127" t="e">
        <f>H125+2*H126</f>
        <v>#DIV/0!</v>
      </c>
      <c r="I127">
        <f t="shared" ref="I127:K127" si="236">I125+2*I126</f>
        <v>1347.9595802692654</v>
      </c>
      <c r="J127">
        <f t="shared" si="236"/>
        <v>1127.8266182224115</v>
      </c>
      <c r="K127">
        <f t="shared" si="236"/>
        <v>1232.3025202702829</v>
      </c>
      <c r="M127" t="s">
        <v>19</v>
      </c>
      <c r="N127" t="e">
        <f>N125+2*N126</f>
        <v>#DIV/0!</v>
      </c>
      <c r="O127">
        <f t="shared" ref="O127:Q127" si="237">O125+2*O126</f>
        <v>1372.7438334222143</v>
      </c>
      <c r="P127">
        <f t="shared" si="237"/>
        <v>2354.2351854438866</v>
      </c>
      <c r="Q127">
        <f t="shared" si="237"/>
        <v>1562.7896182272671</v>
      </c>
      <c r="S127" s="4"/>
      <c r="U127" t="s">
        <v>19</v>
      </c>
      <c r="V127" t="e">
        <f>V125+2*V126</f>
        <v>#DIV/0!</v>
      </c>
      <c r="W127">
        <f t="shared" ref="W127:Y127" si="238">W125+2*W126</f>
        <v>762.73086017658534</v>
      </c>
      <c r="X127">
        <f t="shared" si="238"/>
        <v>773.38909290886659</v>
      </c>
      <c r="Y127">
        <f t="shared" si="238"/>
        <v>893.13956714280187</v>
      </c>
      <c r="AA127" t="s">
        <v>19</v>
      </c>
      <c r="AB127" t="e">
        <f>AB125+2*AB126</f>
        <v>#DIV/0!</v>
      </c>
      <c r="AC127">
        <f t="shared" ref="AC127:AE127" si="239">AC125+2*AC126</f>
        <v>1067.8778410382336</v>
      </c>
      <c r="AD127">
        <f t="shared" si="239"/>
        <v>1127.8266182224115</v>
      </c>
      <c r="AE127">
        <f t="shared" si="239"/>
        <v>1026.4663297579232</v>
      </c>
      <c r="AG127" t="s">
        <v>19</v>
      </c>
      <c r="AH127" t="e">
        <f>AH125+2*AH126</f>
        <v>#DIV/0!</v>
      </c>
      <c r="AI127">
        <f t="shared" ref="AI127:AK127" si="240">AI125+2*AI126</f>
        <v>1372.7438334222143</v>
      </c>
      <c r="AJ127">
        <f t="shared" si="240"/>
        <v>1825.3812133846582</v>
      </c>
      <c r="AK127">
        <f t="shared" si="240"/>
        <v>1250.1811134453494</v>
      </c>
    </row>
    <row r="128" spans="1:37" x14ac:dyDescent="0.25">
      <c r="A128" t="s">
        <v>20</v>
      </c>
      <c r="B128" t="e">
        <f>B125-2*B126</f>
        <v>#DIV/0!</v>
      </c>
      <c r="C128">
        <f t="shared" ref="C128:E128" si="241">C125-2*C126</f>
        <v>-731.6111048403684</v>
      </c>
      <c r="D128">
        <f t="shared" si="241"/>
        <v>-930.56960656330398</v>
      </c>
      <c r="E128">
        <f t="shared" si="241"/>
        <v>-181.74048877366101</v>
      </c>
      <c r="G128" t="s">
        <v>20</v>
      </c>
      <c r="H128" t="e">
        <f>H125-2*H126</f>
        <v>#DIV/0!</v>
      </c>
      <c r="I128">
        <f t="shared" ref="I128:K128" si="242">I125-2*I126</f>
        <v>-902.18563813931019</v>
      </c>
      <c r="J128">
        <f t="shared" si="242"/>
        <v>-877.87539185173284</v>
      </c>
      <c r="K128">
        <f t="shared" si="242"/>
        <v>-558.20668526575128</v>
      </c>
      <c r="M128" t="s">
        <v>20</v>
      </c>
      <c r="N128" t="e">
        <f>N125-2*N126</f>
        <v>#DIV/0!</v>
      </c>
      <c r="O128">
        <f t="shared" ref="O128:Q128" si="243">O125-2*O126</f>
        <v>-846.52201313587295</v>
      </c>
      <c r="P128">
        <f t="shared" si="243"/>
        <v>-1918.8344950926705</v>
      </c>
      <c r="Q128">
        <f t="shared" si="243"/>
        <v>-732.54323783001792</v>
      </c>
      <c r="S128" s="4"/>
      <c r="U128" t="s">
        <v>20</v>
      </c>
      <c r="V128" t="e">
        <f>V125-2*V126</f>
        <v>#DIV/0!</v>
      </c>
      <c r="W128">
        <f t="shared" ref="W128:Y128" si="244">W125-2*W126</f>
        <v>-731.6111048403684</v>
      </c>
      <c r="X128">
        <f t="shared" si="244"/>
        <v>-930.56960656330398</v>
      </c>
      <c r="Y128">
        <f t="shared" si="244"/>
        <v>-181.74048877366101</v>
      </c>
      <c r="AA128" t="s">
        <v>20</v>
      </c>
      <c r="AB128" t="e">
        <f>AB125-2*AB126</f>
        <v>#DIV/0!</v>
      </c>
      <c r="AC128">
        <f t="shared" ref="AC128:AE128" si="245">AC125-2*AC126</f>
        <v>-1182.267377370342</v>
      </c>
      <c r="AD128">
        <f t="shared" si="245"/>
        <v>-877.87539185173284</v>
      </c>
      <c r="AE128">
        <f t="shared" si="245"/>
        <v>-94.434386884341222</v>
      </c>
      <c r="AG128" t="s">
        <v>20</v>
      </c>
      <c r="AH128" t="e">
        <f>AH125-2*AH126</f>
        <v>#DIV/0!</v>
      </c>
      <c r="AI128">
        <f t="shared" ref="AI128:AK128" si="246">AI125-2*AI126</f>
        <v>-846.52201313587295</v>
      </c>
      <c r="AJ128">
        <f t="shared" si="246"/>
        <v>-764.76351346960644</v>
      </c>
      <c r="AK128">
        <f t="shared" si="246"/>
        <v>-1045.1517426119356</v>
      </c>
    </row>
    <row r="129" spans="1:37" x14ac:dyDescent="0.25">
      <c r="A129" t="s">
        <v>21</v>
      </c>
      <c r="B129" t="e">
        <f>VAR(B105:B120)</f>
        <v>#DIV/0!</v>
      </c>
      <c r="C129">
        <f t="shared" ref="C129:E129" si="247">VAR(C105:C120)</f>
        <v>139566.11927567064</v>
      </c>
      <c r="D129">
        <f t="shared" si="247"/>
        <v>181467.2030941807</v>
      </c>
      <c r="E129">
        <f t="shared" si="247"/>
        <v>72210.445912936149</v>
      </c>
      <c r="G129" t="s">
        <v>21</v>
      </c>
      <c r="H129" t="e">
        <f>VAR(H105:H120)</f>
        <v>#DIV/0!</v>
      </c>
      <c r="I129">
        <f t="shared" ref="I129:K129" si="248">VAR(I105:I120)</f>
        <v>316447.09399543598</v>
      </c>
      <c r="J129">
        <f t="shared" si="248"/>
        <v>251427.53457596639</v>
      </c>
      <c r="K129">
        <f t="shared" si="248"/>
        <v>200370.20094433002</v>
      </c>
      <c r="M129" t="s">
        <v>21</v>
      </c>
      <c r="N129" t="e">
        <f>VAR(N105:N120)</f>
        <v>#DIV/0!</v>
      </c>
      <c r="O129">
        <f t="shared" ref="O129:Q129" si="249">VAR(O105:O120)</f>
        <v>307821.30610619893</v>
      </c>
      <c r="P129">
        <f t="shared" si="249"/>
        <v>1141195.2809200494</v>
      </c>
      <c r="Q129">
        <f t="shared" si="249"/>
        <v>329284.5575060058</v>
      </c>
      <c r="S129" s="4"/>
      <c r="U129" t="s">
        <v>21</v>
      </c>
      <c r="V129" t="e">
        <f>VAR(V105:V120)</f>
        <v>#DIV/0!</v>
      </c>
      <c r="W129">
        <f t="shared" ref="W129:Y129" si="250">VAR(W105:W120)</f>
        <v>139566.11927567064</v>
      </c>
      <c r="X129">
        <f t="shared" si="250"/>
        <v>181467.2030941807</v>
      </c>
      <c r="Y129">
        <f t="shared" si="250"/>
        <v>72210.445912936149</v>
      </c>
      <c r="AA129" t="s">
        <v>21</v>
      </c>
      <c r="AB129" t="e">
        <f>VAR(AB105:AB120)</f>
        <v>#DIV/0!</v>
      </c>
      <c r="AC129">
        <f t="shared" ref="AC129:AE129" si="251">VAR(AC105:AC120)</f>
        <v>316447.09399543604</v>
      </c>
      <c r="AD129">
        <f t="shared" si="251"/>
        <v>251427.53457596639</v>
      </c>
      <c r="AE129">
        <f t="shared" si="251"/>
        <v>78526.151035571354</v>
      </c>
      <c r="AG129" t="s">
        <v>21</v>
      </c>
      <c r="AH129" t="e">
        <f>VAR(AH105:AH120)</f>
        <v>#DIV/0!</v>
      </c>
      <c r="AI129">
        <f t="shared" ref="AI129:AK129" si="252">VAR(AI105:AI120)</f>
        <v>307821.30610619893</v>
      </c>
      <c r="AJ129">
        <f t="shared" si="252"/>
        <v>419303.10662818467</v>
      </c>
      <c r="AK129">
        <f t="shared" si="252"/>
        <v>329284.55750600586</v>
      </c>
    </row>
    <row r="130" spans="1:37" x14ac:dyDescent="0.25">
      <c r="S130" s="4"/>
    </row>
    <row r="131" spans="1:37" x14ac:dyDescent="0.25">
      <c r="A131" t="s">
        <v>22</v>
      </c>
      <c r="S131" s="4"/>
      <c r="U131" t="s">
        <v>22</v>
      </c>
    </row>
    <row r="132" spans="1:37" x14ac:dyDescent="0.25">
      <c r="A132" t="s">
        <v>1</v>
      </c>
      <c r="B132" t="e">
        <f>TTEST(B113:B120,H113:H120,2,3)</f>
        <v>#DIV/0!</v>
      </c>
      <c r="S132" s="4"/>
      <c r="U132" t="s">
        <v>1</v>
      </c>
      <c r="V132" t="e">
        <f>TTEST(V113:V120,AB113:AB120,2,3)</f>
        <v>#DIV/0!</v>
      </c>
    </row>
    <row r="133" spans="1:37" x14ac:dyDescent="0.25">
      <c r="A133" t="s">
        <v>2</v>
      </c>
      <c r="B133" t="e">
        <f>TTEST(C113:C120,I113:I120,2,3)</f>
        <v>#DIV/0!</v>
      </c>
      <c r="S133" s="4"/>
      <c r="U133" t="s">
        <v>2</v>
      </c>
      <c r="V133" t="e">
        <f>TTEST(W113:W120,AC113:AC120,2,3)</f>
        <v>#DIV/0!</v>
      </c>
    </row>
    <row r="134" spans="1:37" x14ac:dyDescent="0.25">
      <c r="A134" t="s">
        <v>3</v>
      </c>
      <c r="B134" t="e">
        <f>TTEST(D113:D120,J113:J120,2,3)</f>
        <v>#DIV/0!</v>
      </c>
      <c r="S134" s="4"/>
      <c r="U134" t="s">
        <v>3</v>
      </c>
      <c r="V134" t="e">
        <f>TTEST(X113:X120,AD113:AD120,2,3)</f>
        <v>#DIV/0!</v>
      </c>
    </row>
    <row r="135" spans="1:37" x14ac:dyDescent="0.25">
      <c r="A135" t="s">
        <v>4</v>
      </c>
      <c r="B135" t="e">
        <f>TTEST(E113:E120,K113:K120,2,3)</f>
        <v>#DIV/0!</v>
      </c>
      <c r="S135" s="4"/>
      <c r="U135" t="s">
        <v>4</v>
      </c>
      <c r="V135" t="e">
        <f>TTEST(Y113:Y120,AE113:AE120,2,3)</f>
        <v>#DIV/0!</v>
      </c>
    </row>
  </sheetData>
  <conditionalFormatting sqref="B30:B33">
    <cfRule type="cellIs" dxfId="388" priority="83" operator="lessThan">
      <formula>0.05</formula>
    </cfRule>
  </conditionalFormatting>
  <conditionalFormatting sqref="B64:B67">
    <cfRule type="cellIs" dxfId="387" priority="53" operator="lessThan">
      <formula>0.05</formula>
    </cfRule>
  </conditionalFormatting>
  <conditionalFormatting sqref="B98:B101">
    <cfRule type="cellIs" dxfId="386" priority="52" operator="lessThan">
      <formula>0.05</formula>
    </cfRule>
  </conditionalFormatting>
  <conditionalFormatting sqref="B105:B120">
    <cfRule type="cellIs" dxfId="385" priority="46" operator="greaterThan">
      <formula>B$93</formula>
    </cfRule>
    <cfRule type="cellIs" dxfId="384" priority="45" operator="lessThan">
      <formula>B$94</formula>
    </cfRule>
  </conditionalFormatting>
  <conditionalFormatting sqref="B132:B135">
    <cfRule type="cellIs" dxfId="383" priority="47" operator="lessThan">
      <formula>0.05</formula>
    </cfRule>
  </conditionalFormatting>
  <conditionalFormatting sqref="B3:E18">
    <cfRule type="cellIs" dxfId="382" priority="81" operator="lessThan">
      <formula>B$26</formula>
    </cfRule>
    <cfRule type="cellIs" dxfId="381" priority="82" operator="greaterThan">
      <formula>B$25</formula>
    </cfRule>
  </conditionalFormatting>
  <conditionalFormatting sqref="B37:E52">
    <cfRule type="cellIs" dxfId="380" priority="7" operator="lessThan">
      <formula>B$60</formula>
    </cfRule>
  </conditionalFormatting>
  <conditionalFormatting sqref="B45:E52">
    <cfRule type="cellIs" dxfId="379" priority="51" operator="greaterThan">
      <formula>B$59</formula>
    </cfRule>
  </conditionalFormatting>
  <conditionalFormatting sqref="B71:E86">
    <cfRule type="cellIs" dxfId="378" priority="49" operator="greaterThan">
      <formula>B$93</formula>
    </cfRule>
    <cfRule type="cellIs" dxfId="377" priority="48" operator="lessThan">
      <formula>B$94</formula>
    </cfRule>
  </conditionalFormatting>
  <conditionalFormatting sqref="C105:E120">
    <cfRule type="cellIs" dxfId="376" priority="44" operator="greaterThan">
      <formula>C$127</formula>
    </cfRule>
    <cfRule type="cellIs" dxfId="375" priority="43" operator="lessThan">
      <formula>C$128</formula>
    </cfRule>
  </conditionalFormatting>
  <conditionalFormatting sqref="H3:K18">
    <cfRule type="cellIs" dxfId="374" priority="79" operator="lessThan">
      <formula>H$26</formula>
    </cfRule>
    <cfRule type="cellIs" dxfId="373" priority="80" operator="greaterThan">
      <formula>H$25</formula>
    </cfRule>
  </conditionalFormatting>
  <conditionalFormatting sqref="H37:K52">
    <cfRule type="cellIs" dxfId="372" priority="8" operator="greaterThan">
      <formula>H$59</formula>
    </cfRule>
  </conditionalFormatting>
  <conditionalFormatting sqref="H45:K52">
    <cfRule type="cellIs" dxfId="371" priority="73" operator="lessThan">
      <formula>H$60</formula>
    </cfRule>
  </conditionalFormatting>
  <conditionalFormatting sqref="I71:K86">
    <cfRule type="cellIs" dxfId="370" priority="57" operator="greaterThan">
      <formula>I$93</formula>
    </cfRule>
    <cfRule type="cellIs" dxfId="369" priority="56" operator="lessThan">
      <formula>I$94</formula>
    </cfRule>
  </conditionalFormatting>
  <conditionalFormatting sqref="I105:K120">
    <cfRule type="cellIs" dxfId="368" priority="66" operator="lessThan">
      <formula>I$128</formula>
    </cfRule>
    <cfRule type="cellIs" dxfId="367" priority="67" operator="greaterThan">
      <formula>I$127</formula>
    </cfRule>
  </conditionalFormatting>
  <conditionalFormatting sqref="N3:R18 R19">
    <cfRule type="cellIs" dxfId="366" priority="63" operator="greaterThan">
      <formula>N$25</formula>
    </cfRule>
    <cfRule type="cellIs" dxfId="365" priority="62" operator="lessThan">
      <formula>N$26</formula>
    </cfRule>
  </conditionalFormatting>
  <conditionalFormatting sqref="N37:R52">
    <cfRule type="cellIs" dxfId="364" priority="5" operator="lessThan">
      <formula>N$60</formula>
    </cfRule>
    <cfRule type="cellIs" dxfId="363" priority="6" operator="greaterThan">
      <formula>N$59</formula>
    </cfRule>
  </conditionalFormatting>
  <conditionalFormatting sqref="O71:Q86">
    <cfRule type="cellIs" dxfId="362" priority="55" operator="greaterThan">
      <formula>O$93</formula>
    </cfRule>
    <cfRule type="cellIs" dxfId="361" priority="54" operator="lessThan">
      <formula>O$94</formula>
    </cfRule>
  </conditionalFormatting>
  <conditionalFormatting sqref="O105:R120 R121:R123">
    <cfRule type="cellIs" dxfId="360" priority="59" operator="greaterThan">
      <formula>O$127</formula>
    </cfRule>
    <cfRule type="cellIs" dxfId="359" priority="58" operator="lessThan">
      <formula>O$128</formula>
    </cfRule>
  </conditionalFormatting>
  <conditionalFormatting sqref="R53">
    <cfRule type="cellIs" dxfId="358" priority="61" operator="greaterThan">
      <formula>R$59</formula>
    </cfRule>
    <cfRule type="cellIs" dxfId="357" priority="60" operator="lessThan">
      <formula>R$60</formula>
    </cfRule>
  </conditionalFormatting>
  <conditionalFormatting sqref="R71:R88">
    <cfRule type="cellIs" dxfId="356" priority="64" operator="lessThan">
      <formula>R$94</formula>
    </cfRule>
    <cfRule type="cellIs" dxfId="355" priority="65" operator="greaterThan">
      <formula>R$93</formula>
    </cfRule>
  </conditionalFormatting>
  <conditionalFormatting sqref="V30:V33">
    <cfRule type="cellIs" dxfId="354" priority="42" operator="lessThan">
      <formula>0.05</formula>
    </cfRule>
  </conditionalFormatting>
  <conditionalFormatting sqref="V64:V67">
    <cfRule type="cellIs" dxfId="353" priority="23" operator="lessThan">
      <formula>0.05</formula>
    </cfRule>
  </conditionalFormatting>
  <conditionalFormatting sqref="V98:V101">
    <cfRule type="cellIs" dxfId="352" priority="22" operator="lessThan">
      <formula>0.05</formula>
    </cfRule>
  </conditionalFormatting>
  <conditionalFormatting sqref="V105:V120">
    <cfRule type="cellIs" dxfId="351" priority="16" operator="greaterThan">
      <formula>V$93</formula>
    </cfRule>
    <cfRule type="cellIs" dxfId="350" priority="15" operator="lessThan">
      <formula>V$94</formula>
    </cfRule>
  </conditionalFormatting>
  <conditionalFormatting sqref="V132:V135">
    <cfRule type="cellIs" dxfId="349" priority="17" operator="lessThan">
      <formula>0.05</formula>
    </cfRule>
  </conditionalFormatting>
  <conditionalFormatting sqref="V3:Y18">
    <cfRule type="cellIs" dxfId="348" priority="41" operator="greaterThan">
      <formula>V$25</formula>
    </cfRule>
    <cfRule type="cellIs" dxfId="347" priority="40" operator="lessThan">
      <formula>V$26</formula>
    </cfRule>
  </conditionalFormatting>
  <conditionalFormatting sqref="V37:Y52">
    <cfRule type="cellIs" dxfId="346" priority="3" operator="lessThan">
      <formula>V$60</formula>
    </cfRule>
  </conditionalFormatting>
  <conditionalFormatting sqref="V45:Y52">
    <cfRule type="cellIs" dxfId="345" priority="21" operator="greaterThan">
      <formula>V$59</formula>
    </cfRule>
  </conditionalFormatting>
  <conditionalFormatting sqref="V71:Y86">
    <cfRule type="cellIs" dxfId="344" priority="19" operator="greaterThan">
      <formula>V$93</formula>
    </cfRule>
    <cfRule type="cellIs" dxfId="343" priority="18" operator="lessThan">
      <formula>V$94</formula>
    </cfRule>
  </conditionalFormatting>
  <conditionalFormatting sqref="W105:Y120">
    <cfRule type="cellIs" dxfId="342" priority="14" operator="greaterThan">
      <formula>W$127</formula>
    </cfRule>
    <cfRule type="cellIs" dxfId="341" priority="13" operator="lessThan">
      <formula>W$128</formula>
    </cfRule>
  </conditionalFormatting>
  <conditionalFormatting sqref="AB3:AE18">
    <cfRule type="cellIs" dxfId="340" priority="39" operator="greaterThan">
      <formula>AB$25</formula>
    </cfRule>
    <cfRule type="cellIs" dxfId="339" priority="38" operator="lessThan">
      <formula>AB$26</formula>
    </cfRule>
  </conditionalFormatting>
  <conditionalFormatting sqref="AB37:AE52">
    <cfRule type="cellIs" dxfId="338" priority="4" operator="greaterThan">
      <formula>AB$59</formula>
    </cfRule>
  </conditionalFormatting>
  <conditionalFormatting sqref="AB45:AE52">
    <cfRule type="cellIs" dxfId="337" priority="36" operator="lessThan">
      <formula>AB$60</formula>
    </cfRule>
  </conditionalFormatting>
  <conditionalFormatting sqref="AC71:AE86">
    <cfRule type="cellIs" dxfId="336" priority="27" operator="greaterThan">
      <formula>AC$93</formula>
    </cfRule>
    <cfRule type="cellIs" dxfId="335" priority="26" operator="lessThan">
      <formula>AC$94</formula>
    </cfRule>
  </conditionalFormatting>
  <conditionalFormatting sqref="AC105:AE120">
    <cfRule type="cellIs" dxfId="334" priority="35" operator="greaterThan">
      <formula>AC$127</formula>
    </cfRule>
    <cfRule type="cellIs" dxfId="333" priority="34" operator="lessThan">
      <formula>AC$128</formula>
    </cfRule>
  </conditionalFormatting>
  <conditionalFormatting sqref="AH3:AK18">
    <cfRule type="cellIs" dxfId="332" priority="33" operator="greaterThan">
      <formula>AH$25</formula>
    </cfRule>
    <cfRule type="cellIs" dxfId="331" priority="32" operator="lessThan">
      <formula>AH$26</formula>
    </cfRule>
  </conditionalFormatting>
  <conditionalFormatting sqref="AH37:AK52">
    <cfRule type="cellIs" dxfId="330" priority="1" operator="lessThan">
      <formula>AH$60</formula>
    </cfRule>
    <cfRule type="cellIs" dxfId="329" priority="2" operator="greaterThan">
      <formula>AH$59</formula>
    </cfRule>
  </conditionalFormatting>
  <conditionalFormatting sqref="AI71:AK86">
    <cfRule type="cellIs" dxfId="328" priority="25" operator="greaterThan">
      <formula>AI$93</formula>
    </cfRule>
    <cfRule type="cellIs" dxfId="327" priority="24" operator="lessThan">
      <formula>AI$94</formula>
    </cfRule>
  </conditionalFormatting>
  <conditionalFormatting sqref="AI105:AK120">
    <cfRule type="cellIs" dxfId="326" priority="29" operator="greaterThan">
      <formula>AI$127</formula>
    </cfRule>
    <cfRule type="cellIs" dxfId="325" priority="28" operator="lessThan">
      <formula>AI$128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E6EC-02B5-47C4-A3B7-3E5898FBE339}">
  <sheetPr codeName="Sheet5"/>
  <dimension ref="A1:AK135"/>
  <sheetViews>
    <sheetView topLeftCell="A25" workbookViewId="0">
      <selection activeCell="A35" sqref="A35:Q44"/>
    </sheetView>
  </sheetViews>
  <sheetFormatPr defaultRowHeight="15" x14ac:dyDescent="0.25"/>
  <sheetData>
    <row r="1" spans="1:37" x14ac:dyDescent="0.25">
      <c r="A1" t="s">
        <v>0</v>
      </c>
      <c r="S1" s="4"/>
      <c r="U1" t="s">
        <v>0</v>
      </c>
    </row>
    <row r="2" spans="1:3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  <c r="R2" s="1"/>
      <c r="S2" s="4"/>
      <c r="U2" s="1" t="s">
        <v>29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30</v>
      </c>
      <c r="AB2" s="1" t="s">
        <v>1</v>
      </c>
      <c r="AC2" s="1" t="s">
        <v>2</v>
      </c>
      <c r="AD2" s="1" t="s">
        <v>3</v>
      </c>
      <c r="AE2" s="1" t="s">
        <v>4</v>
      </c>
      <c r="AG2" s="1" t="s">
        <v>31</v>
      </c>
      <c r="AH2" s="1" t="s">
        <v>1</v>
      </c>
      <c r="AI2" s="1" t="s">
        <v>2</v>
      </c>
      <c r="AJ2" s="1" t="s">
        <v>3</v>
      </c>
      <c r="AK2" s="1" t="s">
        <v>4</v>
      </c>
    </row>
    <row r="3" spans="1:37" x14ac:dyDescent="0.25">
      <c r="A3" t="s">
        <v>5</v>
      </c>
      <c r="B3">
        <v>96133.766555786104</v>
      </c>
      <c r="C3">
        <v>19722.244262695302</v>
      </c>
      <c r="D3">
        <v>28572.905731201201</v>
      </c>
      <c r="E3">
        <v>57492.776870727503</v>
      </c>
      <c r="G3" t="s">
        <v>5</v>
      </c>
      <c r="H3">
        <v>166671.22535705601</v>
      </c>
      <c r="I3">
        <v>235455.595779419</v>
      </c>
      <c r="J3">
        <v>147344.64340209999</v>
      </c>
      <c r="K3">
        <v>75072.357559204102</v>
      </c>
      <c r="M3" t="s">
        <v>5</v>
      </c>
      <c r="N3">
        <v>281096.76475524902</v>
      </c>
      <c r="O3">
        <v>330213.67492675799</v>
      </c>
      <c r="P3">
        <v>202609.53712463399</v>
      </c>
      <c r="Q3">
        <v>18967.4423217773</v>
      </c>
      <c r="S3" s="4"/>
      <c r="U3" t="s">
        <v>5</v>
      </c>
      <c r="V3">
        <v>96133.766555786104</v>
      </c>
      <c r="W3">
        <v>19722.244262695302</v>
      </c>
      <c r="X3">
        <v>28572.905731201201</v>
      </c>
      <c r="Y3">
        <v>57492.776870727503</v>
      </c>
      <c r="AA3" t="s">
        <v>5</v>
      </c>
      <c r="AB3">
        <v>166671.22535705601</v>
      </c>
      <c r="AC3">
        <v>235455.595779419</v>
      </c>
      <c r="AD3">
        <v>147344.64340209999</v>
      </c>
      <c r="AE3">
        <v>75072.357559204102</v>
      </c>
      <c r="AG3" t="s">
        <v>5</v>
      </c>
      <c r="AH3">
        <v>281096.76475524902</v>
      </c>
      <c r="AI3">
        <v>330213.67492675799</v>
      </c>
      <c r="AJ3">
        <v>202609.53712463399</v>
      </c>
      <c r="AK3">
        <v>18967.4423217773</v>
      </c>
    </row>
    <row r="4" spans="1:37" x14ac:dyDescent="0.25">
      <c r="A4" t="s">
        <v>7</v>
      </c>
      <c r="B4">
        <v>82930.819702148394</v>
      </c>
      <c r="C4">
        <v>45671.604537963904</v>
      </c>
      <c r="D4">
        <v>34416.533660888701</v>
      </c>
      <c r="G4" t="s">
        <v>7</v>
      </c>
      <c r="H4">
        <v>266049.422836304</v>
      </c>
      <c r="I4">
        <v>121626.593399048</v>
      </c>
      <c r="J4">
        <v>144301.08718872099</v>
      </c>
      <c r="K4">
        <v>132072.078323364</v>
      </c>
      <c r="M4" t="s">
        <v>7</v>
      </c>
      <c r="N4">
        <v>278412.348175049</v>
      </c>
      <c r="O4">
        <v>195761.53564453099</v>
      </c>
      <c r="P4">
        <v>342247.89619445801</v>
      </c>
      <c r="Q4">
        <v>159896.26922607399</v>
      </c>
      <c r="S4" s="4"/>
      <c r="U4" t="s">
        <v>7</v>
      </c>
      <c r="V4">
        <v>82930.819702148394</v>
      </c>
      <c r="W4">
        <v>45671.604537963904</v>
      </c>
      <c r="X4">
        <v>34416.533660888701</v>
      </c>
      <c r="AA4" t="s">
        <v>7</v>
      </c>
      <c r="AB4">
        <v>266049.422836304</v>
      </c>
      <c r="AC4">
        <v>121626.593399048</v>
      </c>
      <c r="AD4">
        <v>144301.08718872099</v>
      </c>
      <c r="AE4">
        <v>132072.078323364</v>
      </c>
      <c r="AG4" t="s">
        <v>7</v>
      </c>
      <c r="AH4">
        <v>278412.348175049</v>
      </c>
      <c r="AI4">
        <v>195761.53564453099</v>
      </c>
      <c r="AJ4">
        <v>342247.89619445801</v>
      </c>
      <c r="AK4">
        <v>159896.26922607399</v>
      </c>
    </row>
    <row r="5" spans="1:37" x14ac:dyDescent="0.25">
      <c r="A5" t="s">
        <v>8</v>
      </c>
      <c r="B5">
        <v>69740.0470733642</v>
      </c>
      <c r="C5">
        <v>120123.07662963901</v>
      </c>
      <c r="D5">
        <v>56695.365142822302</v>
      </c>
      <c r="E5">
        <v>66233.8703155517</v>
      </c>
      <c r="G5" t="s">
        <v>8</v>
      </c>
      <c r="H5">
        <v>436744.229507446</v>
      </c>
      <c r="I5">
        <v>190983.15238952599</v>
      </c>
      <c r="J5">
        <v>122369.221115112</v>
      </c>
      <c r="K5">
        <v>55258.8066101074</v>
      </c>
      <c r="M5" t="s">
        <v>8</v>
      </c>
      <c r="N5">
        <v>353722.10311889602</v>
      </c>
      <c r="O5">
        <v>274413.115310669</v>
      </c>
      <c r="P5">
        <v>90052.741241455107</v>
      </c>
      <c r="Q5">
        <v>134786.93046569801</v>
      </c>
      <c r="S5" s="4"/>
      <c r="U5" t="s">
        <v>8</v>
      </c>
      <c r="V5">
        <v>69740.0470733642</v>
      </c>
      <c r="W5">
        <v>120123.07662963901</v>
      </c>
      <c r="X5">
        <v>56695.365142822302</v>
      </c>
      <c r="Y5">
        <v>66233.8703155517</v>
      </c>
      <c r="AA5" t="s">
        <v>8</v>
      </c>
      <c r="AB5">
        <v>436744.229507446</v>
      </c>
      <c r="AC5">
        <v>190983.15238952599</v>
      </c>
      <c r="AD5">
        <v>122369.221115112</v>
      </c>
      <c r="AE5">
        <v>55258.8066101074</v>
      </c>
      <c r="AG5" t="s">
        <v>8</v>
      </c>
      <c r="AH5">
        <v>353722.10311889602</v>
      </c>
      <c r="AI5">
        <v>274413.115310669</v>
      </c>
      <c r="AJ5">
        <v>90052.741241455107</v>
      </c>
      <c r="AK5">
        <v>134786.93046569801</v>
      </c>
    </row>
    <row r="6" spans="1:37" x14ac:dyDescent="0.25">
      <c r="A6" t="s">
        <v>9</v>
      </c>
      <c r="B6">
        <v>109184.535598755</v>
      </c>
      <c r="C6">
        <v>111911.561965942</v>
      </c>
      <c r="D6">
        <v>78201.133346557603</v>
      </c>
      <c r="E6">
        <v>9873.2963562011701</v>
      </c>
      <c r="G6" t="s">
        <v>9</v>
      </c>
      <c r="H6">
        <v>276348.81706237799</v>
      </c>
      <c r="I6">
        <v>179935.043334961</v>
      </c>
      <c r="J6">
        <v>176221.90475463899</v>
      </c>
      <c r="K6">
        <v>83673.447418212905</v>
      </c>
      <c r="M6" t="s">
        <v>9</v>
      </c>
      <c r="N6">
        <v>373146.07887268101</v>
      </c>
      <c r="O6">
        <v>258306.61582946801</v>
      </c>
      <c r="P6">
        <v>72150.543594360293</v>
      </c>
      <c r="Q6">
        <v>142907.13844299299</v>
      </c>
      <c r="S6" s="4"/>
      <c r="U6" t="s">
        <v>9</v>
      </c>
      <c r="V6">
        <v>109184.535598755</v>
      </c>
      <c r="W6">
        <v>111911.561965942</v>
      </c>
      <c r="X6">
        <v>78201.133346557603</v>
      </c>
      <c r="Y6">
        <v>9873.2963562011701</v>
      </c>
      <c r="AA6" t="s">
        <v>9</v>
      </c>
      <c r="AB6">
        <v>276348.81706237799</v>
      </c>
      <c r="AC6">
        <v>179935.043334961</v>
      </c>
      <c r="AD6">
        <v>176221.90475463899</v>
      </c>
      <c r="AE6">
        <v>83673.447418212905</v>
      </c>
      <c r="AG6" t="s">
        <v>9</v>
      </c>
      <c r="AH6">
        <v>373146.07887268101</v>
      </c>
      <c r="AI6">
        <v>258306.61582946801</v>
      </c>
      <c r="AJ6">
        <v>72150.543594360293</v>
      </c>
      <c r="AK6">
        <v>142907.13844299299</v>
      </c>
    </row>
    <row r="7" spans="1:37" x14ac:dyDescent="0.25">
      <c r="A7" t="s">
        <v>10</v>
      </c>
      <c r="B7">
        <v>42646.309661865198</v>
      </c>
      <c r="C7">
        <v>61711.145782470703</v>
      </c>
      <c r="D7" t="s">
        <v>6</v>
      </c>
      <c r="E7" t="s">
        <v>6</v>
      </c>
      <c r="G7" t="s">
        <v>10</v>
      </c>
      <c r="H7">
        <v>161491.092681885</v>
      </c>
      <c r="I7">
        <v>82358.631134033203</v>
      </c>
      <c r="J7">
        <v>106025.324249268</v>
      </c>
      <c r="K7">
        <v>23782.348251342799</v>
      </c>
      <c r="M7" t="s">
        <v>10</v>
      </c>
      <c r="N7">
        <v>74634.085464477495</v>
      </c>
      <c r="O7">
        <v>144465.43922424299</v>
      </c>
      <c r="P7">
        <v>41672.371673583999</v>
      </c>
      <c r="Q7">
        <v>74147.1164703369</v>
      </c>
      <c r="S7" s="4"/>
      <c r="U7" t="s">
        <v>10</v>
      </c>
      <c r="V7">
        <v>42646.309661865198</v>
      </c>
      <c r="W7">
        <v>61711.145782470703</v>
      </c>
      <c r="X7" t="s">
        <v>6</v>
      </c>
      <c r="Y7" t="s">
        <v>6</v>
      </c>
      <c r="AA7" t="s">
        <v>10</v>
      </c>
      <c r="AB7">
        <v>161491.092681885</v>
      </c>
      <c r="AC7">
        <v>82358.631134033203</v>
      </c>
      <c r="AD7">
        <v>106025.324249268</v>
      </c>
      <c r="AE7">
        <v>23782.348251342799</v>
      </c>
      <c r="AG7" t="s">
        <v>10</v>
      </c>
      <c r="AH7">
        <v>74634.085464477495</v>
      </c>
      <c r="AI7">
        <v>144465.43922424299</v>
      </c>
      <c r="AJ7">
        <v>41672.371673583999</v>
      </c>
      <c r="AK7">
        <v>74147.1164703369</v>
      </c>
    </row>
    <row r="8" spans="1:37" x14ac:dyDescent="0.25">
      <c r="A8" t="s">
        <v>11</v>
      </c>
      <c r="B8">
        <v>22631.8840026855</v>
      </c>
      <c r="C8">
        <v>35347.861862182603</v>
      </c>
      <c r="D8">
        <v>105154.86717224101</v>
      </c>
      <c r="E8" t="s">
        <v>6</v>
      </c>
      <c r="G8" t="s">
        <v>11</v>
      </c>
      <c r="H8">
        <v>93589.353561401396</v>
      </c>
      <c r="I8">
        <v>28025.065612793001</v>
      </c>
      <c r="J8">
        <v>58460.627746582002</v>
      </c>
      <c r="K8">
        <v>47637.741851806597</v>
      </c>
      <c r="M8" t="s">
        <v>11</v>
      </c>
      <c r="N8">
        <v>176928.00979614299</v>
      </c>
      <c r="O8">
        <v>160724.11651611299</v>
      </c>
      <c r="P8">
        <v>151155.17578125</v>
      </c>
      <c r="Q8">
        <v>60773.73046875</v>
      </c>
      <c r="S8" s="4"/>
      <c r="U8" t="s">
        <v>11</v>
      </c>
      <c r="V8">
        <v>22631.8840026855</v>
      </c>
      <c r="W8">
        <v>35347.861862182603</v>
      </c>
      <c r="X8">
        <v>105154.86717224101</v>
      </c>
      <c r="Y8" t="s">
        <v>6</v>
      </c>
      <c r="AA8" t="s">
        <v>11</v>
      </c>
      <c r="AB8">
        <v>93589.353561401396</v>
      </c>
      <c r="AC8">
        <v>28025.065612793001</v>
      </c>
      <c r="AD8">
        <v>58460.627746582002</v>
      </c>
      <c r="AE8">
        <v>47637.741851806597</v>
      </c>
      <c r="AG8" t="s">
        <v>11</v>
      </c>
      <c r="AH8">
        <v>176928.00979614299</v>
      </c>
      <c r="AI8">
        <v>160724.11651611299</v>
      </c>
      <c r="AJ8">
        <v>151155.17578125</v>
      </c>
      <c r="AK8">
        <v>60773.73046875</v>
      </c>
    </row>
    <row r="9" spans="1:37" x14ac:dyDescent="0.25">
      <c r="A9" t="s">
        <v>12</v>
      </c>
      <c r="B9">
        <v>34282.6171875</v>
      </c>
      <c r="C9">
        <v>27367.6574707031</v>
      </c>
      <c r="D9" t="s">
        <v>6</v>
      </c>
      <c r="E9">
        <v>4875.7770538330096</v>
      </c>
      <c r="G9" t="s">
        <v>12</v>
      </c>
      <c r="H9">
        <v>76703.703689575195</v>
      </c>
      <c r="I9">
        <v>139711.40441894499</v>
      </c>
      <c r="J9">
        <v>66653.881072998003</v>
      </c>
      <c r="K9">
        <v>26929.385375976599</v>
      </c>
      <c r="M9" t="s">
        <v>12</v>
      </c>
      <c r="N9">
        <v>121711.812973022</v>
      </c>
      <c r="O9">
        <v>101569.557952881</v>
      </c>
      <c r="P9">
        <v>198786.83052063</v>
      </c>
      <c r="Q9">
        <v>82535.157394409194</v>
      </c>
      <c r="S9" s="4"/>
      <c r="U9" t="s">
        <v>12</v>
      </c>
      <c r="V9">
        <v>34282.6171875</v>
      </c>
      <c r="W9">
        <v>27367.6574707031</v>
      </c>
      <c r="X9" t="s">
        <v>6</v>
      </c>
      <c r="Y9">
        <v>4875.7770538330096</v>
      </c>
      <c r="AA9" t="s">
        <v>12</v>
      </c>
      <c r="AB9">
        <v>76703.703689575195</v>
      </c>
      <c r="AC9">
        <v>139711.40441894499</v>
      </c>
      <c r="AD9">
        <v>66653.881072998003</v>
      </c>
      <c r="AE9">
        <v>26929.385375976599</v>
      </c>
      <c r="AG9" t="s">
        <v>12</v>
      </c>
      <c r="AH9">
        <v>121711.812973022</v>
      </c>
      <c r="AI9">
        <v>101569.557952881</v>
      </c>
      <c r="AJ9">
        <v>198786.83052063</v>
      </c>
      <c r="AK9">
        <v>82535.157394409194</v>
      </c>
    </row>
    <row r="10" spans="1:37" x14ac:dyDescent="0.25">
      <c r="A10" t="s">
        <v>13</v>
      </c>
      <c r="B10">
        <v>9173.2784271240198</v>
      </c>
      <c r="C10">
        <v>26271.977233886701</v>
      </c>
      <c r="D10">
        <v>16909.998321533199</v>
      </c>
      <c r="E10">
        <v>5898.4119415283203</v>
      </c>
      <c r="G10" t="s">
        <v>13</v>
      </c>
      <c r="H10">
        <v>76728.052139282197</v>
      </c>
      <c r="I10">
        <v>90576.232910156206</v>
      </c>
      <c r="J10">
        <v>78803.757476806597</v>
      </c>
      <c r="K10">
        <v>78968.109512329102</v>
      </c>
      <c r="M10" t="s">
        <v>13</v>
      </c>
      <c r="N10">
        <v>214966.375350952</v>
      </c>
      <c r="O10">
        <v>181566.389465332</v>
      </c>
      <c r="P10">
        <v>103827.87666320799</v>
      </c>
      <c r="Q10">
        <v>136320.88279724101</v>
      </c>
      <c r="S10" s="4"/>
      <c r="U10" t="s">
        <v>13</v>
      </c>
      <c r="V10">
        <v>9173.2784271240198</v>
      </c>
      <c r="W10">
        <v>26271.977233886701</v>
      </c>
      <c r="X10">
        <v>16909.998321533199</v>
      </c>
      <c r="Y10">
        <v>5898.4119415283203</v>
      </c>
      <c r="AA10" t="s">
        <v>13</v>
      </c>
      <c r="AB10">
        <v>76728.052139282197</v>
      </c>
      <c r="AC10">
        <v>90576.232910156206</v>
      </c>
      <c r="AD10">
        <v>78803.757476806597</v>
      </c>
      <c r="AE10">
        <v>78968.109512329102</v>
      </c>
      <c r="AG10" t="s">
        <v>13</v>
      </c>
      <c r="AH10">
        <v>214966.375350952</v>
      </c>
      <c r="AI10">
        <v>181566.389465332</v>
      </c>
      <c r="AJ10">
        <v>103827.87666320799</v>
      </c>
      <c r="AK10">
        <v>136320.88279724101</v>
      </c>
    </row>
    <row r="11" spans="1:37" x14ac:dyDescent="0.25">
      <c r="A11" t="s">
        <v>5</v>
      </c>
      <c r="G11" t="s">
        <v>5</v>
      </c>
      <c r="M11" t="s">
        <v>5</v>
      </c>
      <c r="S11" s="4"/>
      <c r="U11" t="s">
        <v>5</v>
      </c>
      <c r="AA11" t="s">
        <v>5</v>
      </c>
      <c r="AG11" t="s">
        <v>5</v>
      </c>
    </row>
    <row r="12" spans="1:37" x14ac:dyDescent="0.25">
      <c r="A12" t="s">
        <v>7</v>
      </c>
      <c r="G12" t="s">
        <v>7</v>
      </c>
      <c r="M12" t="s">
        <v>7</v>
      </c>
      <c r="S12" s="4"/>
      <c r="U12" t="s">
        <v>7</v>
      </c>
      <c r="AA12" t="s">
        <v>7</v>
      </c>
      <c r="AG12" t="s">
        <v>7</v>
      </c>
    </row>
    <row r="13" spans="1:37" x14ac:dyDescent="0.25">
      <c r="A13" t="s">
        <v>8</v>
      </c>
      <c r="G13" t="s">
        <v>8</v>
      </c>
      <c r="M13" t="s">
        <v>8</v>
      </c>
      <c r="S13" s="4"/>
      <c r="U13" t="s">
        <v>8</v>
      </c>
      <c r="AA13" t="s">
        <v>8</v>
      </c>
      <c r="AG13" t="s">
        <v>8</v>
      </c>
    </row>
    <row r="14" spans="1:37" x14ac:dyDescent="0.25">
      <c r="A14" t="s">
        <v>9</v>
      </c>
      <c r="G14" t="s">
        <v>9</v>
      </c>
      <c r="M14" t="s">
        <v>9</v>
      </c>
      <c r="S14" s="4"/>
      <c r="U14" t="s">
        <v>9</v>
      </c>
      <c r="AA14" t="s">
        <v>9</v>
      </c>
      <c r="AG14" t="s">
        <v>9</v>
      </c>
    </row>
    <row r="15" spans="1:37" x14ac:dyDescent="0.25">
      <c r="A15" t="s">
        <v>10</v>
      </c>
      <c r="G15" t="s">
        <v>10</v>
      </c>
      <c r="M15" t="s">
        <v>10</v>
      </c>
      <c r="S15" s="4"/>
      <c r="U15" t="s">
        <v>10</v>
      </c>
      <c r="AA15" t="s">
        <v>10</v>
      </c>
      <c r="AG15" t="s">
        <v>10</v>
      </c>
    </row>
    <row r="16" spans="1:37" x14ac:dyDescent="0.25">
      <c r="A16" t="s">
        <v>11</v>
      </c>
      <c r="G16" t="s">
        <v>11</v>
      </c>
      <c r="M16" t="s">
        <v>11</v>
      </c>
      <c r="S16" s="4"/>
      <c r="U16" t="s">
        <v>11</v>
      </c>
      <c r="AA16" t="s">
        <v>11</v>
      </c>
      <c r="AG16" t="s">
        <v>11</v>
      </c>
    </row>
    <row r="17" spans="1:37" x14ac:dyDescent="0.25">
      <c r="A17" t="s">
        <v>12</v>
      </c>
      <c r="G17" t="s">
        <v>12</v>
      </c>
      <c r="M17" t="s">
        <v>12</v>
      </c>
      <c r="S17" s="4"/>
      <c r="U17" t="s">
        <v>12</v>
      </c>
      <c r="AA17" t="s">
        <v>12</v>
      </c>
      <c r="AG17" t="s">
        <v>12</v>
      </c>
    </row>
    <row r="18" spans="1:37" x14ac:dyDescent="0.25">
      <c r="A18" t="s">
        <v>13</v>
      </c>
      <c r="G18" t="s">
        <v>13</v>
      </c>
      <c r="M18" t="s">
        <v>13</v>
      </c>
      <c r="S18" s="4"/>
      <c r="U18" t="s">
        <v>13</v>
      </c>
      <c r="AA18" t="s">
        <v>13</v>
      </c>
      <c r="AG18" t="s">
        <v>13</v>
      </c>
    </row>
    <row r="19" spans="1:3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  <c r="S19" s="4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</row>
    <row r="20" spans="1:37" x14ac:dyDescent="0.25">
      <c r="A20" t="s">
        <v>14</v>
      </c>
      <c r="B20">
        <f>COUNT(B3:B18)</f>
        <v>8</v>
      </c>
      <c r="C20">
        <f t="shared" ref="C20:E20" si="0">COUNT(C3:C18)</f>
        <v>8</v>
      </c>
      <c r="D20">
        <f t="shared" si="0"/>
        <v>6</v>
      </c>
      <c r="E20">
        <f t="shared" si="0"/>
        <v>5</v>
      </c>
      <c r="G20" t="s">
        <v>14</v>
      </c>
      <c r="H20">
        <f>COUNT(H3:H18)</f>
        <v>8</v>
      </c>
      <c r="I20">
        <f t="shared" ref="I20:K20" si="1">COUNT(I3:I18)</f>
        <v>8</v>
      </c>
      <c r="J20">
        <f t="shared" si="1"/>
        <v>8</v>
      </c>
      <c r="K20">
        <f t="shared" si="1"/>
        <v>8</v>
      </c>
      <c r="M20" t="s">
        <v>14</v>
      </c>
      <c r="N20">
        <f>COUNT(N3:N18)</f>
        <v>8</v>
      </c>
      <c r="O20">
        <f t="shared" ref="O20:Q20" si="2">COUNT(O3:O18)</f>
        <v>8</v>
      </c>
      <c r="P20">
        <f t="shared" si="2"/>
        <v>8</v>
      </c>
      <c r="Q20">
        <f t="shared" si="2"/>
        <v>8</v>
      </c>
      <c r="S20" s="4"/>
      <c r="U20" t="s">
        <v>14</v>
      </c>
      <c r="V20">
        <f>COUNT(V3:V18)</f>
        <v>8</v>
      </c>
      <c r="W20">
        <f t="shared" ref="W20:Y20" si="3">COUNT(W3:W18)</f>
        <v>8</v>
      </c>
      <c r="X20">
        <f t="shared" si="3"/>
        <v>6</v>
      </c>
      <c r="Y20">
        <f t="shared" si="3"/>
        <v>5</v>
      </c>
      <c r="AA20" t="s">
        <v>14</v>
      </c>
      <c r="AB20">
        <f>COUNT(AB3:AB18)</f>
        <v>8</v>
      </c>
      <c r="AC20">
        <f t="shared" ref="AC20:AE20" si="4">COUNT(AC3:AC18)</f>
        <v>8</v>
      </c>
      <c r="AD20">
        <f t="shared" si="4"/>
        <v>8</v>
      </c>
      <c r="AE20">
        <f t="shared" si="4"/>
        <v>8</v>
      </c>
      <c r="AG20" t="s">
        <v>14</v>
      </c>
      <c r="AH20">
        <f>COUNT(AH3:AH18)</f>
        <v>8</v>
      </c>
      <c r="AI20">
        <f t="shared" ref="AI20:AK20" si="5">COUNT(AI3:AI18)</f>
        <v>8</v>
      </c>
      <c r="AJ20">
        <f t="shared" si="5"/>
        <v>8</v>
      </c>
      <c r="AK20">
        <f t="shared" si="5"/>
        <v>8</v>
      </c>
    </row>
    <row r="21" spans="1:37" x14ac:dyDescent="0.25">
      <c r="A21" t="s">
        <v>15</v>
      </c>
      <c r="B21">
        <f>MAX(B3:B18)</f>
        <v>109184.535598755</v>
      </c>
      <c r="C21">
        <f t="shared" ref="C21:E21" si="6">MAX(C3:C18)</f>
        <v>120123.07662963901</v>
      </c>
      <c r="D21">
        <f t="shared" si="6"/>
        <v>105154.86717224101</v>
      </c>
      <c r="E21">
        <f t="shared" si="6"/>
        <v>66233.8703155517</v>
      </c>
      <c r="G21" t="s">
        <v>15</v>
      </c>
      <c r="H21">
        <f>MAX(H3:H18)</f>
        <v>436744.229507446</v>
      </c>
      <c r="I21">
        <f t="shared" ref="I21:K21" si="7">MAX(I3:I18)</f>
        <v>235455.595779419</v>
      </c>
      <c r="J21">
        <f t="shared" si="7"/>
        <v>176221.90475463899</v>
      </c>
      <c r="K21">
        <f t="shared" si="7"/>
        <v>132072.078323364</v>
      </c>
      <c r="M21" t="s">
        <v>15</v>
      </c>
      <c r="N21">
        <f>MAX(N3:N18)</f>
        <v>373146.07887268101</v>
      </c>
      <c r="O21">
        <f t="shared" ref="O21:Q21" si="8">MAX(O3:O18)</f>
        <v>330213.67492675799</v>
      </c>
      <c r="P21">
        <f t="shared" si="8"/>
        <v>342247.89619445801</v>
      </c>
      <c r="Q21">
        <f t="shared" si="8"/>
        <v>159896.26922607399</v>
      </c>
      <c r="S21" s="4"/>
      <c r="U21" t="s">
        <v>15</v>
      </c>
      <c r="V21">
        <f>MAX(V3:V18)</f>
        <v>109184.535598755</v>
      </c>
      <c r="W21">
        <f t="shared" ref="W21:Y21" si="9">MAX(W3:W18)</f>
        <v>120123.07662963901</v>
      </c>
      <c r="X21">
        <f t="shared" si="9"/>
        <v>105154.86717224101</v>
      </c>
      <c r="Y21">
        <f t="shared" si="9"/>
        <v>66233.8703155517</v>
      </c>
      <c r="AA21" t="s">
        <v>15</v>
      </c>
      <c r="AB21">
        <f>MAX(AB3:AB18)</f>
        <v>436744.229507446</v>
      </c>
      <c r="AC21">
        <f t="shared" ref="AC21:AE21" si="10">MAX(AC3:AC18)</f>
        <v>235455.595779419</v>
      </c>
      <c r="AD21">
        <f t="shared" si="10"/>
        <v>176221.90475463899</v>
      </c>
      <c r="AE21">
        <f t="shared" si="10"/>
        <v>132072.078323364</v>
      </c>
      <c r="AG21" t="s">
        <v>15</v>
      </c>
      <c r="AH21">
        <f>MAX(AH3:AH18)</f>
        <v>373146.07887268101</v>
      </c>
      <c r="AI21">
        <f t="shared" ref="AI21:AK21" si="11">MAX(AI3:AI18)</f>
        <v>330213.67492675799</v>
      </c>
      <c r="AJ21">
        <f t="shared" si="11"/>
        <v>342247.89619445801</v>
      </c>
      <c r="AK21">
        <f t="shared" si="11"/>
        <v>159896.26922607399</v>
      </c>
    </row>
    <row r="22" spans="1:37" x14ac:dyDescent="0.25">
      <c r="A22" t="s">
        <v>16</v>
      </c>
      <c r="B22">
        <f>MIN(B3:B18)</f>
        <v>9173.2784271240198</v>
      </c>
      <c r="C22">
        <f t="shared" ref="C22:E22" si="12">MIN(C3:C18)</f>
        <v>19722.244262695302</v>
      </c>
      <c r="D22">
        <f t="shared" si="12"/>
        <v>16909.998321533199</v>
      </c>
      <c r="E22">
        <f t="shared" si="12"/>
        <v>4875.7770538330096</v>
      </c>
      <c r="G22" t="s">
        <v>16</v>
      </c>
      <c r="H22">
        <f>MIN(H3:H18)</f>
        <v>76703.703689575195</v>
      </c>
      <c r="I22">
        <f t="shared" ref="I22:K22" si="13">MIN(I3:I18)</f>
        <v>28025.065612793001</v>
      </c>
      <c r="J22">
        <f t="shared" si="13"/>
        <v>58460.627746582002</v>
      </c>
      <c r="K22">
        <f t="shared" si="13"/>
        <v>23782.348251342799</v>
      </c>
      <c r="M22" t="s">
        <v>16</v>
      </c>
      <c r="N22">
        <f>MIN(N3:N18)</f>
        <v>74634.085464477495</v>
      </c>
      <c r="O22">
        <f t="shared" ref="O22:Q22" si="14">MIN(O3:O18)</f>
        <v>101569.557952881</v>
      </c>
      <c r="P22">
        <f t="shared" si="14"/>
        <v>41672.371673583999</v>
      </c>
      <c r="Q22">
        <f t="shared" si="14"/>
        <v>18967.4423217773</v>
      </c>
      <c r="S22" s="4"/>
      <c r="U22" t="s">
        <v>16</v>
      </c>
      <c r="V22">
        <f>MIN(V3:V18)</f>
        <v>9173.2784271240198</v>
      </c>
      <c r="W22">
        <f t="shared" ref="W22:Y22" si="15">MIN(W3:W18)</f>
        <v>19722.244262695302</v>
      </c>
      <c r="X22">
        <f t="shared" si="15"/>
        <v>16909.998321533199</v>
      </c>
      <c r="Y22">
        <f t="shared" si="15"/>
        <v>4875.7770538330096</v>
      </c>
      <c r="AA22" t="s">
        <v>16</v>
      </c>
      <c r="AB22">
        <f>MIN(AB3:AB18)</f>
        <v>76703.703689575195</v>
      </c>
      <c r="AC22">
        <f t="shared" ref="AC22:AE22" si="16">MIN(AC3:AC18)</f>
        <v>28025.065612793001</v>
      </c>
      <c r="AD22">
        <f t="shared" si="16"/>
        <v>58460.627746582002</v>
      </c>
      <c r="AE22">
        <f t="shared" si="16"/>
        <v>23782.348251342799</v>
      </c>
      <c r="AG22" t="s">
        <v>16</v>
      </c>
      <c r="AH22">
        <f>MIN(AH3:AH18)</f>
        <v>74634.085464477495</v>
      </c>
      <c r="AI22">
        <f t="shared" ref="AI22:AK22" si="17">MIN(AI3:AI18)</f>
        <v>101569.557952881</v>
      </c>
      <c r="AJ22">
        <f t="shared" si="17"/>
        <v>41672.371673583999</v>
      </c>
      <c r="AK22">
        <f t="shared" si="17"/>
        <v>18967.4423217773</v>
      </c>
    </row>
    <row r="23" spans="1:37" x14ac:dyDescent="0.25">
      <c r="A23" t="s">
        <v>17</v>
      </c>
      <c r="B23">
        <f>AVERAGE(B3:B18)</f>
        <v>58340.40727615355</v>
      </c>
      <c r="C23">
        <f t="shared" ref="C23:E23" si="18">AVERAGE(C3:C18)</f>
        <v>56015.891218185425</v>
      </c>
      <c r="D23">
        <f t="shared" si="18"/>
        <v>53325.133895874002</v>
      </c>
      <c r="E23">
        <f t="shared" si="18"/>
        <v>28874.826507568341</v>
      </c>
      <c r="G23" t="s">
        <v>17</v>
      </c>
      <c r="H23">
        <f>AVERAGE(H3:H18)</f>
        <v>194290.73710441598</v>
      </c>
      <c r="I23">
        <f t="shared" ref="I23:K23" si="19">AVERAGE(I3:I18)</f>
        <v>133583.96487236017</v>
      </c>
      <c r="J23">
        <f t="shared" si="19"/>
        <v>112522.55587577834</v>
      </c>
      <c r="K23">
        <f t="shared" si="19"/>
        <v>65424.284362792932</v>
      </c>
      <c r="M23" t="s">
        <v>17</v>
      </c>
      <c r="N23">
        <f>AVERAGE(N3:N18)</f>
        <v>234327.19731330869</v>
      </c>
      <c r="O23">
        <f t="shared" ref="O23:Q23" si="20">AVERAGE(O3:O18)</f>
        <v>205877.55560874939</v>
      </c>
      <c r="P23">
        <f t="shared" si="20"/>
        <v>150312.87159919745</v>
      </c>
      <c r="Q23">
        <f t="shared" si="20"/>
        <v>101291.83344840992</v>
      </c>
      <c r="S23" s="4"/>
      <c r="U23" t="s">
        <v>17</v>
      </c>
      <c r="V23">
        <f>AVERAGE(V3:V18)</f>
        <v>58340.40727615355</v>
      </c>
      <c r="W23">
        <f t="shared" ref="W23:Y23" si="21">AVERAGE(W3:W18)</f>
        <v>56015.891218185425</v>
      </c>
      <c r="X23">
        <f t="shared" si="21"/>
        <v>53325.133895874002</v>
      </c>
      <c r="Y23">
        <f t="shared" si="21"/>
        <v>28874.826507568341</v>
      </c>
      <c r="AA23" t="s">
        <v>17</v>
      </c>
      <c r="AB23">
        <f>AVERAGE(AB3:AB18)</f>
        <v>194290.73710441598</v>
      </c>
      <c r="AC23">
        <f t="shared" ref="AC23:AE23" si="22">AVERAGE(AC3:AC18)</f>
        <v>133583.96487236017</v>
      </c>
      <c r="AD23">
        <f t="shared" si="22"/>
        <v>112522.55587577834</v>
      </c>
      <c r="AE23">
        <f t="shared" si="22"/>
        <v>65424.284362792932</v>
      </c>
      <c r="AG23" t="s">
        <v>17</v>
      </c>
      <c r="AH23">
        <f>AVERAGE(AH3:AH18)</f>
        <v>234327.19731330869</v>
      </c>
      <c r="AI23">
        <f t="shared" ref="AI23:AK23" si="23">AVERAGE(AI3:AI18)</f>
        <v>205877.55560874939</v>
      </c>
      <c r="AJ23">
        <f t="shared" si="23"/>
        <v>150312.87159919745</v>
      </c>
      <c r="AK23">
        <f t="shared" si="23"/>
        <v>101291.83344840992</v>
      </c>
    </row>
    <row r="24" spans="1:37" x14ac:dyDescent="0.25">
      <c r="A24" t="s">
        <v>18</v>
      </c>
      <c r="B24">
        <f>STDEV(B3:B18)</f>
        <v>36382.277315859297</v>
      </c>
      <c r="C24">
        <f t="shared" ref="C24:E24" si="24">STDEV(C3:C18)</f>
        <v>39321.596000055033</v>
      </c>
      <c r="D24">
        <f t="shared" si="24"/>
        <v>33504.522440076034</v>
      </c>
      <c r="E24">
        <f t="shared" si="24"/>
        <v>30329.908449918486</v>
      </c>
      <c r="G24" t="s">
        <v>18</v>
      </c>
      <c r="H24">
        <f>STDEV(H3:H18)</f>
        <v>125523.84606530222</v>
      </c>
      <c r="I24">
        <f t="shared" ref="I24:K24" si="25">STDEV(I3:I18)</f>
        <v>67207.380198389335</v>
      </c>
      <c r="J24">
        <f t="shared" si="25"/>
        <v>42397.465358056797</v>
      </c>
      <c r="K24">
        <f t="shared" si="25"/>
        <v>35228.006374128199</v>
      </c>
      <c r="M24" t="s">
        <v>18</v>
      </c>
      <c r="N24">
        <f>STDEV(N3:N18)</f>
        <v>106576.82761523414</v>
      </c>
      <c r="O24">
        <f t="shared" ref="O24:Q24" si="26">STDEV(O3:O18)</f>
        <v>75865.67641111082</v>
      </c>
      <c r="P24">
        <f t="shared" si="26"/>
        <v>96827.294609281744</v>
      </c>
      <c r="Q24">
        <f t="shared" si="26"/>
        <v>49313.776581262129</v>
      </c>
      <c r="S24" s="4"/>
      <c r="U24" t="s">
        <v>18</v>
      </c>
      <c r="V24">
        <f>STDEV(V3:V18)</f>
        <v>36382.277315859297</v>
      </c>
      <c r="W24">
        <f t="shared" ref="W24:Y24" si="27">STDEV(W3:W18)</f>
        <v>39321.596000055033</v>
      </c>
      <c r="X24">
        <f t="shared" si="27"/>
        <v>33504.522440076034</v>
      </c>
      <c r="Y24">
        <f t="shared" si="27"/>
        <v>30329.908449918486</v>
      </c>
      <c r="AA24" t="s">
        <v>18</v>
      </c>
      <c r="AB24">
        <f>STDEV(AB3:AB18)</f>
        <v>125523.84606530222</v>
      </c>
      <c r="AC24">
        <f t="shared" ref="AC24:AE24" si="28">STDEV(AC3:AC18)</f>
        <v>67207.380198389335</v>
      </c>
      <c r="AD24">
        <f t="shared" si="28"/>
        <v>42397.465358056797</v>
      </c>
      <c r="AE24">
        <f t="shared" si="28"/>
        <v>35228.006374128199</v>
      </c>
      <c r="AG24" t="s">
        <v>18</v>
      </c>
      <c r="AH24">
        <f>STDEV(AH3:AH18)</f>
        <v>106576.82761523414</v>
      </c>
      <c r="AI24">
        <f t="shared" ref="AI24:AK24" si="29">STDEV(AI3:AI18)</f>
        <v>75865.67641111082</v>
      </c>
      <c r="AJ24">
        <f t="shared" si="29"/>
        <v>96827.294609281744</v>
      </c>
      <c r="AK24">
        <f t="shared" si="29"/>
        <v>49313.776581262129</v>
      </c>
    </row>
    <row r="25" spans="1:37" x14ac:dyDescent="0.25">
      <c r="A25" t="s">
        <v>19</v>
      </c>
      <c r="B25">
        <f>B23+2*B24</f>
        <v>131104.96190787214</v>
      </c>
      <c r="C25">
        <f t="shared" ref="C25:E25" si="30">C23+2*C24</f>
        <v>134659.08321829548</v>
      </c>
      <c r="D25">
        <f t="shared" si="30"/>
        <v>120334.17877602606</v>
      </c>
      <c r="E25">
        <f t="shared" si="30"/>
        <v>89534.64340740531</v>
      </c>
      <c r="G25" t="s">
        <v>19</v>
      </c>
      <c r="H25">
        <f>H23+2*H24</f>
        <v>445338.42923502042</v>
      </c>
      <c r="I25">
        <f t="shared" ref="I25:K25" si="31">I23+2*I24</f>
        <v>267998.72526913881</v>
      </c>
      <c r="J25">
        <f t="shared" si="31"/>
        <v>197317.48659189194</v>
      </c>
      <c r="K25">
        <f t="shared" si="31"/>
        <v>135880.29711104932</v>
      </c>
      <c r="M25" t="s">
        <v>19</v>
      </c>
      <c r="N25">
        <f>N23+2*N24</f>
        <v>447480.85254377697</v>
      </c>
      <c r="O25">
        <f t="shared" ref="O25:Q25" si="32">O23+2*O24</f>
        <v>357608.90843097103</v>
      </c>
      <c r="P25">
        <f t="shared" si="32"/>
        <v>343967.4608177609</v>
      </c>
      <c r="Q25">
        <f t="shared" si="32"/>
        <v>199919.38661093416</v>
      </c>
      <c r="S25" s="4"/>
      <c r="U25" t="s">
        <v>19</v>
      </c>
      <c r="V25">
        <f>V23+2*V24</f>
        <v>131104.96190787214</v>
      </c>
      <c r="W25">
        <f t="shared" ref="W25:Y25" si="33">W23+2*W24</f>
        <v>134659.08321829548</v>
      </c>
      <c r="X25">
        <f t="shared" si="33"/>
        <v>120334.17877602606</v>
      </c>
      <c r="Y25">
        <f t="shared" si="33"/>
        <v>89534.64340740531</v>
      </c>
      <c r="AA25" t="s">
        <v>19</v>
      </c>
      <c r="AB25">
        <f>AB23+2*AB24</f>
        <v>445338.42923502042</v>
      </c>
      <c r="AC25">
        <f t="shared" ref="AC25:AE25" si="34">AC23+2*AC24</f>
        <v>267998.72526913881</v>
      </c>
      <c r="AD25">
        <f t="shared" si="34"/>
        <v>197317.48659189194</v>
      </c>
      <c r="AE25">
        <f t="shared" si="34"/>
        <v>135880.29711104932</v>
      </c>
      <c r="AG25" t="s">
        <v>19</v>
      </c>
      <c r="AH25">
        <f>AH23+2*AH24</f>
        <v>447480.85254377697</v>
      </c>
      <c r="AI25">
        <f t="shared" ref="AI25:AK25" si="35">AI23+2*AI24</f>
        <v>357608.90843097103</v>
      </c>
      <c r="AJ25">
        <f t="shared" si="35"/>
        <v>343967.4608177609</v>
      </c>
      <c r="AK25">
        <f t="shared" si="35"/>
        <v>199919.38661093416</v>
      </c>
    </row>
    <row r="26" spans="1:37" x14ac:dyDescent="0.25">
      <c r="A26" t="s">
        <v>20</v>
      </c>
      <c r="B26">
        <f>B23-2*B24</f>
        <v>-14424.147355565045</v>
      </c>
      <c r="C26">
        <f t="shared" ref="C26:E26" si="36">C23-2*C24</f>
        <v>-22627.300781924641</v>
      </c>
      <c r="D26">
        <f t="shared" si="36"/>
        <v>-13683.910984278067</v>
      </c>
      <c r="E26">
        <f t="shared" si="36"/>
        <v>-31784.990392268632</v>
      </c>
      <c r="G26" t="s">
        <v>20</v>
      </c>
      <c r="H26">
        <f>H23-2*H24</f>
        <v>-56756.955026188458</v>
      </c>
      <c r="I26">
        <f t="shared" ref="I26:K26" si="37">I23-2*I24</f>
        <v>-830.79552441849955</v>
      </c>
      <c r="J26">
        <f t="shared" si="37"/>
        <v>27727.625159664749</v>
      </c>
      <c r="K26">
        <f t="shared" si="37"/>
        <v>-5031.7283854634661</v>
      </c>
      <c r="M26" t="s">
        <v>20</v>
      </c>
      <c r="N26">
        <f>N23-2*N24</f>
        <v>21173.542082840402</v>
      </c>
      <c r="O26">
        <f t="shared" ref="O26:Q26" si="38">O23-2*O24</f>
        <v>54146.202786527749</v>
      </c>
      <c r="P26">
        <f t="shared" si="38"/>
        <v>-43341.717619366042</v>
      </c>
      <c r="Q26">
        <f t="shared" si="38"/>
        <v>2664.2802858856594</v>
      </c>
      <c r="S26" s="4"/>
      <c r="U26" t="s">
        <v>20</v>
      </c>
      <c r="V26">
        <f>V23-2*V24</f>
        <v>-14424.147355565045</v>
      </c>
      <c r="W26">
        <f t="shared" ref="W26:Y26" si="39">W23-2*W24</f>
        <v>-22627.300781924641</v>
      </c>
      <c r="X26">
        <f t="shared" si="39"/>
        <v>-13683.910984278067</v>
      </c>
      <c r="Y26">
        <f t="shared" si="39"/>
        <v>-31784.990392268632</v>
      </c>
      <c r="AA26" t="s">
        <v>20</v>
      </c>
      <c r="AB26">
        <f>AB23-2*AB24</f>
        <v>-56756.955026188458</v>
      </c>
      <c r="AC26">
        <f t="shared" ref="AC26:AE26" si="40">AC23-2*AC24</f>
        <v>-830.79552441849955</v>
      </c>
      <c r="AD26">
        <f t="shared" si="40"/>
        <v>27727.625159664749</v>
      </c>
      <c r="AE26">
        <f t="shared" si="40"/>
        <v>-5031.7283854634661</v>
      </c>
      <c r="AG26" t="s">
        <v>20</v>
      </c>
      <c r="AH26">
        <f>AH23-2*AH24</f>
        <v>21173.542082840402</v>
      </c>
      <c r="AI26">
        <f t="shared" ref="AI26:AK26" si="41">AI23-2*AI24</f>
        <v>54146.202786527749</v>
      </c>
      <c r="AJ26">
        <f t="shared" si="41"/>
        <v>-43341.717619366042</v>
      </c>
      <c r="AK26">
        <f t="shared" si="41"/>
        <v>2664.2802858856594</v>
      </c>
    </row>
    <row r="27" spans="1:37" x14ac:dyDescent="0.25">
      <c r="A27" t="s">
        <v>21</v>
      </c>
      <c r="B27">
        <f>VAR(B3:B18)</f>
        <v>1323670102.6880901</v>
      </c>
      <c r="C27">
        <f t="shared" ref="C27:E27" si="42">VAR(C3:C18)</f>
        <v>1546187911.991544</v>
      </c>
      <c r="D27">
        <f t="shared" si="42"/>
        <v>1122553023.9375584</v>
      </c>
      <c r="E27">
        <f t="shared" si="42"/>
        <v>919903346.58043671</v>
      </c>
      <c r="G27" t="s">
        <v>21</v>
      </c>
      <c r="H27">
        <f>VAR(H3:H18)</f>
        <v>15756235931.025686</v>
      </c>
      <c r="I27">
        <f t="shared" ref="I27:K27" si="43">VAR(I3:I18)</f>
        <v>4516831953.1308546</v>
      </c>
      <c r="J27">
        <f t="shared" si="43"/>
        <v>1797545068.787626</v>
      </c>
      <c r="K27">
        <f t="shared" si="43"/>
        <v>1241012433.0956171</v>
      </c>
      <c r="M27" t="s">
        <v>21</v>
      </c>
      <c r="N27">
        <f>VAR(N3:N18)</f>
        <v>11358620184.527334</v>
      </c>
      <c r="O27">
        <f t="shared" ref="O27:Q27" si="44">VAR(O3:O18)</f>
        <v>5755600857.3153772</v>
      </c>
      <c r="P27">
        <f t="shared" si="44"/>
        <v>9375524981.3526402</v>
      </c>
      <c r="Q27">
        <f t="shared" si="44"/>
        <v>2431848560.7066369</v>
      </c>
      <c r="S27" s="4"/>
      <c r="U27" t="s">
        <v>21</v>
      </c>
      <c r="V27">
        <f>VAR(V3:V18)</f>
        <v>1323670102.6880901</v>
      </c>
      <c r="W27">
        <f t="shared" ref="W27:Y27" si="45">VAR(W3:W18)</f>
        <v>1546187911.991544</v>
      </c>
      <c r="X27">
        <f t="shared" si="45"/>
        <v>1122553023.9375584</v>
      </c>
      <c r="Y27">
        <f t="shared" si="45"/>
        <v>919903346.58043671</v>
      </c>
      <c r="AA27" t="s">
        <v>21</v>
      </c>
      <c r="AB27">
        <f>VAR(AB3:AB18)</f>
        <v>15756235931.025686</v>
      </c>
      <c r="AC27">
        <f t="shared" ref="AC27:AE27" si="46">VAR(AC3:AC18)</f>
        <v>4516831953.1308546</v>
      </c>
      <c r="AD27">
        <f t="shared" si="46"/>
        <v>1797545068.787626</v>
      </c>
      <c r="AE27">
        <f t="shared" si="46"/>
        <v>1241012433.0956171</v>
      </c>
      <c r="AG27" t="s">
        <v>21</v>
      </c>
      <c r="AH27">
        <f>VAR(AH3:AH18)</f>
        <v>11358620184.527334</v>
      </c>
      <c r="AI27">
        <f t="shared" ref="AI27:AK27" si="47">VAR(AI3:AI18)</f>
        <v>5755600857.3153772</v>
      </c>
      <c r="AJ27">
        <f t="shared" si="47"/>
        <v>9375524981.3526402</v>
      </c>
      <c r="AK27">
        <f t="shared" si="47"/>
        <v>2431848560.7066369</v>
      </c>
    </row>
    <row r="28" spans="1:37" x14ac:dyDescent="0.25">
      <c r="S28" s="4"/>
    </row>
    <row r="29" spans="1:37" x14ac:dyDescent="0.25">
      <c r="A29" t="s">
        <v>22</v>
      </c>
      <c r="G29" t="s">
        <v>23</v>
      </c>
      <c r="H29">
        <f>AVERAGE(H3:H10)</f>
        <v>194290.73710441598</v>
      </c>
      <c r="I29">
        <f t="shared" ref="I29:K29" si="48">AVERAGE(I3:I10)</f>
        <v>133583.96487236017</v>
      </c>
      <c r="J29">
        <f t="shared" si="48"/>
        <v>112522.55587577834</v>
      </c>
      <c r="K29">
        <f t="shared" si="48"/>
        <v>65424.284362792932</v>
      </c>
      <c r="M29" t="s">
        <v>23</v>
      </c>
      <c r="N29">
        <f>AVERAGE(N3:N10)</f>
        <v>234327.19731330869</v>
      </c>
      <c r="O29">
        <f t="shared" ref="O29:Q29" si="49">AVERAGE(O3:O10)</f>
        <v>205877.55560874939</v>
      </c>
      <c r="P29">
        <f t="shared" si="49"/>
        <v>150312.87159919745</v>
      </c>
      <c r="Q29">
        <f t="shared" si="49"/>
        <v>101291.83344840992</v>
      </c>
      <c r="S29" s="4"/>
      <c r="U29" t="s">
        <v>22</v>
      </c>
      <c r="AA29" t="s">
        <v>23</v>
      </c>
      <c r="AB29">
        <f>AVERAGE(AB3:AB10)</f>
        <v>194290.73710441598</v>
      </c>
      <c r="AC29">
        <f t="shared" ref="AC29:AE29" si="50">AVERAGE(AC3:AC10)</f>
        <v>133583.96487236017</v>
      </c>
      <c r="AD29">
        <f t="shared" si="50"/>
        <v>112522.55587577834</v>
      </c>
      <c r="AE29">
        <f t="shared" si="50"/>
        <v>65424.284362792932</v>
      </c>
      <c r="AG29" t="s">
        <v>23</v>
      </c>
      <c r="AH29">
        <f>AVERAGE(AH3:AH10)</f>
        <v>234327.19731330869</v>
      </c>
      <c r="AI29">
        <f t="shared" ref="AI29:AK29" si="51">AVERAGE(AI3:AI10)</f>
        <v>205877.55560874939</v>
      </c>
      <c r="AJ29">
        <f t="shared" si="51"/>
        <v>150312.87159919745</v>
      </c>
      <c r="AK29">
        <f t="shared" si="51"/>
        <v>101291.83344840992</v>
      </c>
    </row>
    <row r="30" spans="1:37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52">AVERAGE(I11:I18)</f>
        <v>#DIV/0!</v>
      </c>
      <c r="J30" t="e">
        <f t="shared" si="52"/>
        <v>#DIV/0!</v>
      </c>
      <c r="K30" t="e">
        <f t="shared" si="52"/>
        <v>#DIV/0!</v>
      </c>
      <c r="M30" t="s">
        <v>24</v>
      </c>
      <c r="N30" t="e">
        <f>AVERAGE(N11:N18)</f>
        <v>#DIV/0!</v>
      </c>
      <c r="O30" t="e">
        <f t="shared" ref="O30:Q30" si="53">AVERAGE(O11:O18)</f>
        <v>#DIV/0!</v>
      </c>
      <c r="P30" t="e">
        <f t="shared" si="53"/>
        <v>#DIV/0!</v>
      </c>
      <c r="Q30" t="e">
        <f t="shared" si="53"/>
        <v>#DIV/0!</v>
      </c>
      <c r="S30" s="4"/>
      <c r="U30" t="s">
        <v>1</v>
      </c>
      <c r="V30" t="e">
        <f>TTEST(V11:V18,AB11:AB18,2,3)</f>
        <v>#DIV/0!</v>
      </c>
      <c r="AA30" t="s">
        <v>24</v>
      </c>
      <c r="AB30" t="e">
        <f>AVERAGE(AB11:AB18)</f>
        <v>#DIV/0!</v>
      </c>
      <c r="AC30" t="e">
        <f t="shared" ref="AC30:AE30" si="54">AVERAGE(AC11:AC18)</f>
        <v>#DIV/0!</v>
      </c>
      <c r="AD30" t="e">
        <f t="shared" si="54"/>
        <v>#DIV/0!</v>
      </c>
      <c r="AE30" t="e">
        <f t="shared" si="54"/>
        <v>#DIV/0!</v>
      </c>
      <c r="AG30" t="s">
        <v>24</v>
      </c>
      <c r="AH30" t="e">
        <f>AVERAGE(AH11:AH18)</f>
        <v>#DIV/0!</v>
      </c>
      <c r="AI30" t="e">
        <f t="shared" ref="AI30:AK30" si="55">AVERAGE(AI11:AI18)</f>
        <v>#DIV/0!</v>
      </c>
      <c r="AJ30" t="e">
        <f t="shared" si="55"/>
        <v>#DIV/0!</v>
      </c>
      <c r="AK30" t="e">
        <f t="shared" si="55"/>
        <v>#DIV/0!</v>
      </c>
    </row>
    <row r="31" spans="1:37" x14ac:dyDescent="0.25">
      <c r="A31" t="s">
        <v>2</v>
      </c>
      <c r="B31" t="e">
        <f>TTEST(C11:C18,I11:I18,2,3)</f>
        <v>#DIV/0!</v>
      </c>
      <c r="S31" s="4"/>
      <c r="U31" t="s">
        <v>2</v>
      </c>
      <c r="V31" t="e">
        <f>TTEST(W11:W18,AC11:AC18,2,3)</f>
        <v>#DIV/0!</v>
      </c>
    </row>
    <row r="32" spans="1:37" x14ac:dyDescent="0.25">
      <c r="A32" t="s">
        <v>3</v>
      </c>
      <c r="B32" t="e">
        <f>TTEST(D11:D18,J11:J18,2,3)</f>
        <v>#DIV/0!</v>
      </c>
      <c r="S32" s="4"/>
      <c r="U32" t="s">
        <v>3</v>
      </c>
      <c r="V32" t="e">
        <f>TTEST(X11:X18,AD11:AD18,2,3)</f>
        <v>#DIV/0!</v>
      </c>
    </row>
    <row r="33" spans="1:37" x14ac:dyDescent="0.25">
      <c r="A33" t="s">
        <v>4</v>
      </c>
      <c r="B33" t="e">
        <f>TTEST(E11:E18,K11:K18,2,3)</f>
        <v>#DIV/0!</v>
      </c>
      <c r="S33" s="4"/>
      <c r="U33" t="s">
        <v>4</v>
      </c>
      <c r="V33" t="e">
        <f>TTEST(Y11:Y18,AE11:AE18,2,3)</f>
        <v>#DIV/0!</v>
      </c>
    </row>
    <row r="34" spans="1:37" x14ac:dyDescent="0.25">
      <c r="S34" s="4"/>
    </row>
    <row r="35" spans="1:37" x14ac:dyDescent="0.25">
      <c r="A35" t="s">
        <v>25</v>
      </c>
      <c r="S35" s="5" t="s">
        <v>28</v>
      </c>
      <c r="U35" t="s">
        <v>25</v>
      </c>
    </row>
    <row r="36" spans="1:37" x14ac:dyDescent="0.25">
      <c r="A36" s="1" t="s">
        <v>29</v>
      </c>
      <c r="B36" s="1" t="s">
        <v>1</v>
      </c>
      <c r="C36" s="1" t="s">
        <v>2</v>
      </c>
      <c r="D36" s="1" t="s">
        <v>3</v>
      </c>
      <c r="E36" s="1" t="s">
        <v>4</v>
      </c>
      <c r="G36" s="1" t="s">
        <v>30</v>
      </c>
      <c r="H36" s="1" t="s">
        <v>1</v>
      </c>
      <c r="I36" s="1" t="s">
        <v>2</v>
      </c>
      <c r="J36" s="1" t="s">
        <v>3</v>
      </c>
      <c r="K36" s="1" t="s">
        <v>4</v>
      </c>
      <c r="M36" s="1" t="s">
        <v>31</v>
      </c>
      <c r="N36" s="1" t="s">
        <v>1</v>
      </c>
      <c r="O36" s="1" t="s">
        <v>2</v>
      </c>
      <c r="P36" s="1" t="s">
        <v>3</v>
      </c>
      <c r="Q36" s="1" t="s">
        <v>4</v>
      </c>
      <c r="R36" s="1"/>
      <c r="S36" s="4"/>
      <c r="U36" s="1" t="s">
        <v>29</v>
      </c>
      <c r="V36" s="1" t="s">
        <v>1</v>
      </c>
      <c r="W36" s="1" t="s">
        <v>2</v>
      </c>
      <c r="X36" s="1" t="s">
        <v>3</v>
      </c>
      <c r="Y36" s="1" t="s">
        <v>4</v>
      </c>
      <c r="AA36" s="1" t="s">
        <v>30</v>
      </c>
      <c r="AB36" s="1" t="s">
        <v>1</v>
      </c>
      <c r="AC36" s="1" t="s">
        <v>2</v>
      </c>
      <c r="AD36" s="1" t="s">
        <v>3</v>
      </c>
      <c r="AE36" s="1" t="s">
        <v>4</v>
      </c>
      <c r="AG36" s="1" t="s">
        <v>31</v>
      </c>
      <c r="AH36" s="1" t="s">
        <v>1</v>
      </c>
      <c r="AI36" s="1" t="s">
        <v>2</v>
      </c>
      <c r="AJ36" s="1" t="s">
        <v>3</v>
      </c>
      <c r="AK36" s="1" t="s">
        <v>4</v>
      </c>
    </row>
    <row r="37" spans="1:37" x14ac:dyDescent="0.25">
      <c r="A37" t="s">
        <v>5</v>
      </c>
      <c r="B37" s="3">
        <f>-((B3-$B$23)/$B$23)*100</f>
        <v>-64.780760101207704</v>
      </c>
      <c r="C37" s="3">
        <f t="shared" ref="C37:E44" si="56">-((C3-$B$23)/$B$23)*100</f>
        <v>66.19453791376479</v>
      </c>
      <c r="D37" s="3">
        <f t="shared" si="56"/>
        <v>51.023815113336923</v>
      </c>
      <c r="E37" s="3">
        <f t="shared" si="56"/>
        <v>1.4529045047865365</v>
      </c>
      <c r="G37" t="s">
        <v>5</v>
      </c>
      <c r="H37" s="3">
        <f>-((H3-$H$29)/$H$29)*100</f>
        <v>14.21555765291922</v>
      </c>
      <c r="I37" s="3">
        <f t="shared" ref="I37:K37" si="57">-((I3-$H$29)/$H$29)*100</f>
        <v>-21.18724715778918</v>
      </c>
      <c r="J37" s="3">
        <f t="shared" si="57"/>
        <v>24.162805907255454</v>
      </c>
      <c r="K37" s="3">
        <f t="shared" si="57"/>
        <v>61.360814891108987</v>
      </c>
      <c r="M37" t="s">
        <v>5</v>
      </c>
      <c r="N37" s="3">
        <f>-((N3-$N$29)/$N$29)*100</f>
        <v>-19.959086259802262</v>
      </c>
      <c r="O37" s="3">
        <f>-((O3-$N$29)/$N$29)*100</f>
        <v>-40.919909730001876</v>
      </c>
      <c r="P37" s="3">
        <f>-((P3-$N$29)/$N$29)*100</f>
        <v>13.535629048755442</v>
      </c>
      <c r="Q37" s="3">
        <f>-((Q3-$N$29)/$N$29)*100</f>
        <v>91.9055736853214</v>
      </c>
      <c r="R37" s="3"/>
      <c r="S37" s="4"/>
      <c r="U37" t="s">
        <v>5</v>
      </c>
      <c r="V37" s="3">
        <f>-((V3-$V$23)/$V$23)*100</f>
        <v>-64.780760101207704</v>
      </c>
      <c r="W37" s="3">
        <f t="shared" ref="W37:Y37" si="58">-((W3-$V$23)/$V$23)*100</f>
        <v>66.19453791376479</v>
      </c>
      <c r="X37" s="3">
        <f t="shared" si="58"/>
        <v>51.023815113336923</v>
      </c>
      <c r="Y37" s="3">
        <f t="shared" si="58"/>
        <v>1.4529045047865365</v>
      </c>
      <c r="AA37" t="s">
        <v>5</v>
      </c>
      <c r="AB37" s="3">
        <f>-((AB3-$AB$29)/$AB$29)*100</f>
        <v>14.21555765291922</v>
      </c>
      <c r="AC37" s="3">
        <f t="shared" ref="AC37:AE37" si="59">-((AC3-$AB$29)/$AB$29)*100</f>
        <v>-21.18724715778918</v>
      </c>
      <c r="AD37" s="3">
        <f t="shared" si="59"/>
        <v>24.162805907255454</v>
      </c>
      <c r="AE37" s="3">
        <f t="shared" si="59"/>
        <v>61.360814891108987</v>
      </c>
      <c r="AG37" t="s">
        <v>5</v>
      </c>
      <c r="AH37" s="3">
        <f>-((AH3-$AH$29)/$AH$29)*100</f>
        <v>-19.959086259802262</v>
      </c>
      <c r="AI37" s="3">
        <f t="shared" ref="AI37:AK37" si="60">-((AI3-$AH$29)/$AH$29)*100</f>
        <v>-40.919909730001876</v>
      </c>
      <c r="AJ37" s="3">
        <f t="shared" si="60"/>
        <v>13.535629048755442</v>
      </c>
      <c r="AK37" s="3">
        <f t="shared" si="60"/>
        <v>91.9055736853214</v>
      </c>
    </row>
    <row r="38" spans="1:37" x14ac:dyDescent="0.25">
      <c r="A38" t="s">
        <v>7</v>
      </c>
      <c r="B38" s="3">
        <f t="shared" ref="B38:B44" si="61">-((B4-$B$23)/$B$23)*100</f>
        <v>-42.149881315700199</v>
      </c>
      <c r="C38" s="3">
        <f t="shared" si="56"/>
        <v>21.715314187338521</v>
      </c>
      <c r="D38" s="3">
        <f t="shared" si="56"/>
        <v>41.007381902600557</v>
      </c>
      <c r="E38" s="3"/>
      <c r="G38" t="s">
        <v>7</v>
      </c>
      <c r="H38" s="3">
        <f t="shared" ref="H38:K44" si="62">-((H4-$H$29)/$H$29)*100</f>
        <v>-36.933662819614185</v>
      </c>
      <c r="I38" s="3">
        <f t="shared" si="62"/>
        <v>37.399695316569172</v>
      </c>
      <c r="J38" s="3">
        <f t="shared" si="62"/>
        <v>25.729301695339952</v>
      </c>
      <c r="K38" s="3">
        <f t="shared" si="62"/>
        <v>32.023481771863551</v>
      </c>
      <c r="M38" t="s">
        <v>7</v>
      </c>
      <c r="N38" s="3">
        <f t="shared" ref="N38:Q44" si="63">-((N4-$N$29)/$N$29)*100</f>
        <v>-18.813501534265349</v>
      </c>
      <c r="O38" s="3">
        <f t="shared" si="63"/>
        <v>16.458039062880623</v>
      </c>
      <c r="P38" s="3">
        <f t="shared" si="63"/>
        <v>-46.055558261490773</v>
      </c>
      <c r="Q38" s="3">
        <f t="shared" si="63"/>
        <v>31.763674443524518</v>
      </c>
      <c r="R38" s="3"/>
      <c r="S38" s="4"/>
      <c r="U38" t="s">
        <v>7</v>
      </c>
      <c r="V38" s="3">
        <f t="shared" ref="V38:Y44" si="64">-((V4-$V$23)/$V$23)*100</f>
        <v>-42.149881315700199</v>
      </c>
      <c r="W38" s="3">
        <f t="shared" si="64"/>
        <v>21.715314187338521</v>
      </c>
      <c r="X38" s="3">
        <f t="shared" si="64"/>
        <v>41.007381902600557</v>
      </c>
      <c r="Y38" s="3"/>
      <c r="AA38" t="s">
        <v>7</v>
      </c>
      <c r="AB38" s="3">
        <f t="shared" ref="AB38:AE39" si="65">-((AB4-$AB$29)/$AB$29)*100</f>
        <v>-36.933662819614185</v>
      </c>
      <c r="AC38" s="3">
        <f t="shared" si="65"/>
        <v>37.399695316569172</v>
      </c>
      <c r="AD38" s="3">
        <f t="shared" si="65"/>
        <v>25.729301695339952</v>
      </c>
      <c r="AE38" s="3">
        <f t="shared" si="65"/>
        <v>32.023481771863551</v>
      </c>
      <c r="AG38" t="s">
        <v>7</v>
      </c>
      <c r="AH38" s="3">
        <f t="shared" ref="AH38:AK44" si="66">-((AH4-$AH$29)/$AH$29)*100</f>
        <v>-18.813501534265349</v>
      </c>
      <c r="AI38" s="3">
        <f t="shared" si="66"/>
        <v>16.458039062880623</v>
      </c>
      <c r="AJ38" s="3">
        <f t="shared" si="66"/>
        <v>-46.055558261490773</v>
      </c>
      <c r="AK38" s="3">
        <f t="shared" si="66"/>
        <v>31.763674443524518</v>
      </c>
    </row>
    <row r="39" spans="1:37" x14ac:dyDescent="0.25">
      <c r="A39" t="s">
        <v>8</v>
      </c>
      <c r="B39" s="3">
        <f t="shared" si="61"/>
        <v>-19.53987009938173</v>
      </c>
      <c r="C39" s="3">
        <f t="shared" si="56"/>
        <v>-105.90030518820002</v>
      </c>
      <c r="D39" s="3">
        <f t="shared" si="56"/>
        <v>2.8197302866681451</v>
      </c>
      <c r="E39" s="3">
        <f t="shared" si="56"/>
        <v>-13.530010172939907</v>
      </c>
      <c r="G39" t="s">
        <v>8</v>
      </c>
      <c r="H39" s="3">
        <f t="shared" si="62"/>
        <v>-124.78901259854212</v>
      </c>
      <c r="I39" s="3">
        <f t="shared" si="62"/>
        <v>1.7023892977010149</v>
      </c>
      <c r="J39" s="3">
        <f t="shared" si="62"/>
        <v>37.017470344276795</v>
      </c>
      <c r="K39" s="3">
        <f t="shared" si="62"/>
        <v>71.558702471538766</v>
      </c>
      <c r="M39" t="s">
        <v>8</v>
      </c>
      <c r="N39" s="3">
        <f t="shared" si="63"/>
        <v>-50.952218596268871</v>
      </c>
      <c r="O39" s="3">
        <f t="shared" si="63"/>
        <v>-17.106814086016307</v>
      </c>
      <c r="P39" s="3">
        <f t="shared" si="63"/>
        <v>61.569658889808885</v>
      </c>
      <c r="Q39" s="3">
        <f t="shared" si="63"/>
        <v>42.479177828649448</v>
      </c>
      <c r="R39" s="3"/>
      <c r="S39" s="4"/>
      <c r="U39" t="s">
        <v>8</v>
      </c>
      <c r="V39" s="3">
        <f t="shared" si="64"/>
        <v>-19.53987009938173</v>
      </c>
      <c r="W39" s="3">
        <f>-((W5-$V$23)/$V$23)*100</f>
        <v>-105.90030518820002</v>
      </c>
      <c r="X39" s="3">
        <f t="shared" si="64"/>
        <v>2.8197302866681451</v>
      </c>
      <c r="Y39" s="3">
        <f t="shared" si="64"/>
        <v>-13.530010172939907</v>
      </c>
      <c r="AA39" t="s">
        <v>8</v>
      </c>
      <c r="AB39" s="3">
        <f>-((AB5-$AB$29)/$AB$29)*100</f>
        <v>-124.78901259854212</v>
      </c>
      <c r="AC39" s="3">
        <f t="shared" si="65"/>
        <v>1.7023892977010149</v>
      </c>
      <c r="AD39" s="3">
        <f t="shared" si="65"/>
        <v>37.017470344276795</v>
      </c>
      <c r="AE39" s="3">
        <f t="shared" si="65"/>
        <v>71.558702471538766</v>
      </c>
      <c r="AG39" t="s">
        <v>8</v>
      </c>
      <c r="AH39" s="3">
        <f t="shared" si="66"/>
        <v>-50.952218596268871</v>
      </c>
      <c r="AI39" s="3">
        <f t="shared" si="66"/>
        <v>-17.106814086016307</v>
      </c>
      <c r="AJ39" s="3">
        <f t="shared" si="66"/>
        <v>61.569658889808885</v>
      </c>
      <c r="AK39" s="3">
        <f t="shared" si="66"/>
        <v>42.479177828649448</v>
      </c>
    </row>
    <row r="40" spans="1:37" x14ac:dyDescent="0.25">
      <c r="A40" t="s">
        <v>9</v>
      </c>
      <c r="B40" s="3">
        <f t="shared" si="61"/>
        <v>-87.150794271852504</v>
      </c>
      <c r="C40" s="3">
        <f t="shared" si="56"/>
        <v>-91.825129770195289</v>
      </c>
      <c r="D40" s="3">
        <f t="shared" si="56"/>
        <v>-34.042830685760499</v>
      </c>
      <c r="E40" s="3">
        <f t="shared" si="56"/>
        <v>83.076401387693338</v>
      </c>
      <c r="G40" t="s">
        <v>9</v>
      </c>
      <c r="H40" s="3">
        <f t="shared" si="62"/>
        <v>-42.234684566491836</v>
      </c>
      <c r="I40" s="3">
        <f t="shared" si="62"/>
        <v>7.3887690084473405</v>
      </c>
      <c r="J40" s="3">
        <f t="shared" si="62"/>
        <v>9.2998938699102336</v>
      </c>
      <c r="K40" s="3">
        <f t="shared" si="62"/>
        <v>56.933897793982311</v>
      </c>
      <c r="M40" t="s">
        <v>9</v>
      </c>
      <c r="N40" s="3">
        <f t="shared" si="63"/>
        <v>-59.241472245222838</v>
      </c>
      <c r="O40" s="3">
        <f t="shared" si="63"/>
        <v>-10.233305732794424</v>
      </c>
      <c r="P40" s="3">
        <f t="shared" si="63"/>
        <v>69.20948809117921</v>
      </c>
      <c r="Q40" s="3">
        <f t="shared" si="63"/>
        <v>39.013848976344782</v>
      </c>
      <c r="R40" s="3"/>
      <c r="S40" s="4"/>
      <c r="U40" t="s">
        <v>9</v>
      </c>
      <c r="V40" s="3">
        <f t="shared" si="64"/>
        <v>-87.150794271852504</v>
      </c>
      <c r="W40" s="3">
        <f t="shared" si="64"/>
        <v>-91.825129770195289</v>
      </c>
      <c r="X40" s="3">
        <f t="shared" si="64"/>
        <v>-34.042830685760499</v>
      </c>
      <c r="Y40" s="3">
        <f t="shared" si="64"/>
        <v>83.076401387693338</v>
      </c>
      <c r="AA40" t="s">
        <v>9</v>
      </c>
      <c r="AB40" s="3">
        <f t="shared" ref="AB40:AE44" si="67">-((AB6-$AB$29)/$AB$29)*100</f>
        <v>-42.234684566491836</v>
      </c>
      <c r="AC40" s="3">
        <f t="shared" si="67"/>
        <v>7.3887690084473405</v>
      </c>
      <c r="AD40" s="3">
        <f t="shared" si="67"/>
        <v>9.2998938699102336</v>
      </c>
      <c r="AE40" s="3">
        <f t="shared" si="67"/>
        <v>56.933897793982311</v>
      </c>
      <c r="AG40" t="s">
        <v>9</v>
      </c>
      <c r="AH40" s="3">
        <f t="shared" si="66"/>
        <v>-59.241472245222838</v>
      </c>
      <c r="AI40" s="3">
        <f t="shared" si="66"/>
        <v>-10.233305732794424</v>
      </c>
      <c r="AJ40" s="3">
        <f t="shared" si="66"/>
        <v>69.20948809117921</v>
      </c>
      <c r="AK40" s="3">
        <f t="shared" si="66"/>
        <v>39.013848976344782</v>
      </c>
    </row>
    <row r="41" spans="1:37" x14ac:dyDescent="0.25">
      <c r="A41" t="s">
        <v>10</v>
      </c>
      <c r="B41" s="3">
        <f t="shared" si="61"/>
        <v>26.900905130813619</v>
      </c>
      <c r="C41" s="3">
        <f t="shared" si="56"/>
        <v>-5.7777082192138414</v>
      </c>
      <c r="D41" s="3"/>
      <c r="E41" s="3"/>
      <c r="G41" t="s">
        <v>10</v>
      </c>
      <c r="H41" s="3">
        <f t="shared" si="62"/>
        <v>16.88173348423901</v>
      </c>
      <c r="I41" s="3">
        <f t="shared" si="62"/>
        <v>57.610623974434802</v>
      </c>
      <c r="J41" s="3">
        <f t="shared" si="62"/>
        <v>45.429552726289913</v>
      </c>
      <c r="K41" s="3">
        <f t="shared" si="62"/>
        <v>87.7594019119081</v>
      </c>
      <c r="M41" t="s">
        <v>10</v>
      </c>
      <c r="N41" s="3">
        <f t="shared" si="63"/>
        <v>68.149627392723204</v>
      </c>
      <c r="O41" s="3">
        <f t="shared" si="63"/>
        <v>38.348838342019455</v>
      </c>
      <c r="P41" s="3">
        <f t="shared" si="63"/>
        <v>82.216160927378098</v>
      </c>
      <c r="Q41" s="3">
        <f t="shared" si="63"/>
        <v>68.357443215949871</v>
      </c>
      <c r="R41" s="3"/>
      <c r="S41" s="4"/>
      <c r="U41" t="s">
        <v>10</v>
      </c>
      <c r="V41" s="3">
        <f t="shared" si="64"/>
        <v>26.900905130813619</v>
      </c>
      <c r="W41" s="3">
        <f t="shared" si="64"/>
        <v>-5.7777082192138414</v>
      </c>
      <c r="X41" s="3"/>
      <c r="Y41" s="3"/>
      <c r="AA41" t="s">
        <v>10</v>
      </c>
      <c r="AB41" s="3">
        <f t="shared" si="67"/>
        <v>16.88173348423901</v>
      </c>
      <c r="AC41" s="3">
        <f t="shared" si="67"/>
        <v>57.610623974434802</v>
      </c>
      <c r="AD41" s="3">
        <f t="shared" si="67"/>
        <v>45.429552726289913</v>
      </c>
      <c r="AE41" s="3">
        <f t="shared" si="67"/>
        <v>87.7594019119081</v>
      </c>
      <c r="AG41" t="s">
        <v>10</v>
      </c>
      <c r="AH41" s="3">
        <f t="shared" si="66"/>
        <v>68.149627392723204</v>
      </c>
      <c r="AI41" s="3">
        <f t="shared" si="66"/>
        <v>38.348838342019455</v>
      </c>
      <c r="AJ41" s="3">
        <f t="shared" si="66"/>
        <v>82.216160927378098</v>
      </c>
      <c r="AK41" s="3">
        <f t="shared" si="66"/>
        <v>68.357443215949871</v>
      </c>
    </row>
    <row r="42" spans="1:37" x14ac:dyDescent="0.25">
      <c r="A42" t="s">
        <v>11</v>
      </c>
      <c r="B42" s="3">
        <f t="shared" si="61"/>
        <v>61.207188877585686</v>
      </c>
      <c r="C42" s="3">
        <f t="shared" si="56"/>
        <v>39.41101285963952</v>
      </c>
      <c r="D42" s="3">
        <f t="shared" si="56"/>
        <v>-80.243628870281668</v>
      </c>
      <c r="E42" s="3"/>
      <c r="G42" t="s">
        <v>11</v>
      </c>
      <c r="H42" s="3">
        <f t="shared" si="62"/>
        <v>51.830254516403173</v>
      </c>
      <c r="I42" s="3">
        <f t="shared" si="62"/>
        <v>85.575706783318367</v>
      </c>
      <c r="J42" s="3">
        <f t="shared" si="62"/>
        <v>69.910748902473912</v>
      </c>
      <c r="K42" s="3">
        <f t="shared" si="62"/>
        <v>75.481207924902222</v>
      </c>
      <c r="M42" t="s">
        <v>11</v>
      </c>
      <c r="N42" s="3">
        <f t="shared" si="63"/>
        <v>24.495316026171622</v>
      </c>
      <c r="O42" s="3">
        <f t="shared" si="63"/>
        <v>31.41038754403921</v>
      </c>
      <c r="P42" s="3">
        <f t="shared" si="63"/>
        <v>35.493968470443058</v>
      </c>
      <c r="Q42" s="3">
        <f t="shared" si="63"/>
        <v>74.06458526131216</v>
      </c>
      <c r="R42" s="3"/>
      <c r="S42" s="4"/>
      <c r="U42" t="s">
        <v>11</v>
      </c>
      <c r="V42" s="3">
        <f t="shared" si="64"/>
        <v>61.207188877585686</v>
      </c>
      <c r="W42" s="3">
        <f t="shared" si="64"/>
        <v>39.41101285963952</v>
      </c>
      <c r="X42" s="3">
        <f t="shared" si="64"/>
        <v>-80.243628870281668</v>
      </c>
      <c r="Y42" s="3"/>
      <c r="AA42" t="s">
        <v>11</v>
      </c>
      <c r="AB42" s="3">
        <f t="shared" si="67"/>
        <v>51.830254516403173</v>
      </c>
      <c r="AC42" s="3">
        <f t="shared" si="67"/>
        <v>85.575706783318367</v>
      </c>
      <c r="AD42" s="3">
        <f t="shared" si="67"/>
        <v>69.910748902473912</v>
      </c>
      <c r="AE42" s="3">
        <f t="shared" si="67"/>
        <v>75.481207924902222</v>
      </c>
      <c r="AG42" t="s">
        <v>11</v>
      </c>
      <c r="AH42" s="3">
        <f t="shared" si="66"/>
        <v>24.495316026171622</v>
      </c>
      <c r="AI42" s="3">
        <f t="shared" si="66"/>
        <v>31.41038754403921</v>
      </c>
      <c r="AJ42" s="3">
        <f t="shared" si="66"/>
        <v>35.493968470443058</v>
      </c>
      <c r="AK42" s="3">
        <f t="shared" si="66"/>
        <v>74.06458526131216</v>
      </c>
    </row>
    <row r="43" spans="1:37" x14ac:dyDescent="0.25">
      <c r="A43" t="s">
        <v>12</v>
      </c>
      <c r="B43" s="3">
        <f t="shared" si="61"/>
        <v>41.236925163679985</v>
      </c>
      <c r="C43" s="3">
        <f t="shared" si="56"/>
        <v>53.08970446305139</v>
      </c>
      <c r="D43" s="3"/>
      <c r="E43" s="3">
        <f t="shared" si="56"/>
        <v>91.642538539791843</v>
      </c>
      <c r="G43" t="s">
        <v>12</v>
      </c>
      <c r="H43" s="3">
        <f t="shared" si="62"/>
        <v>60.521173148695716</v>
      </c>
      <c r="I43" s="3">
        <f t="shared" si="62"/>
        <v>28.091577343771611</v>
      </c>
      <c r="J43" s="3">
        <f t="shared" si="62"/>
        <v>65.693742240950598</v>
      </c>
      <c r="K43" s="3">
        <f t="shared" si="62"/>
        <v>86.139645267028769</v>
      </c>
      <c r="M43" t="s">
        <v>12</v>
      </c>
      <c r="N43" s="3">
        <f t="shared" si="63"/>
        <v>48.059032682285519</v>
      </c>
      <c r="O43" s="3">
        <f t="shared" si="63"/>
        <v>56.654814670498197</v>
      </c>
      <c r="P43" s="3">
        <f t="shared" si="63"/>
        <v>15.166983261084804</v>
      </c>
      <c r="Q43" s="3">
        <f t="shared" si="63"/>
        <v>64.777815660870544</v>
      </c>
      <c r="R43" s="3"/>
      <c r="S43" s="4"/>
      <c r="U43" t="s">
        <v>12</v>
      </c>
      <c r="V43" s="3">
        <f t="shared" si="64"/>
        <v>41.236925163679985</v>
      </c>
      <c r="W43" s="3">
        <f t="shared" si="64"/>
        <v>53.08970446305139</v>
      </c>
      <c r="X43" s="3"/>
      <c r="Y43" s="3">
        <f t="shared" si="64"/>
        <v>91.642538539791843</v>
      </c>
      <c r="AA43" t="s">
        <v>12</v>
      </c>
      <c r="AB43" s="3">
        <f t="shared" si="67"/>
        <v>60.521173148695716</v>
      </c>
      <c r="AC43" s="3">
        <f t="shared" si="67"/>
        <v>28.091577343771611</v>
      </c>
      <c r="AD43" s="3">
        <f t="shared" si="67"/>
        <v>65.693742240950598</v>
      </c>
      <c r="AE43" s="3">
        <f t="shared" si="67"/>
        <v>86.139645267028769</v>
      </c>
      <c r="AG43" t="s">
        <v>12</v>
      </c>
      <c r="AH43" s="3">
        <f t="shared" si="66"/>
        <v>48.059032682285519</v>
      </c>
      <c r="AI43" s="3">
        <f t="shared" si="66"/>
        <v>56.654814670498197</v>
      </c>
      <c r="AJ43" s="3">
        <f t="shared" si="66"/>
        <v>15.166983261084804</v>
      </c>
      <c r="AK43" s="3">
        <f t="shared" si="66"/>
        <v>64.777815660870544</v>
      </c>
    </row>
    <row r="44" spans="1:37" x14ac:dyDescent="0.25">
      <c r="A44" t="s">
        <v>13</v>
      </c>
      <c r="B44" s="3">
        <f t="shared" si="61"/>
        <v>84.276286616062805</v>
      </c>
      <c r="C44" s="3">
        <f t="shared" si="56"/>
        <v>54.967785690064453</v>
      </c>
      <c r="D44" s="3">
        <f t="shared" si="56"/>
        <v>71.01494639643164</v>
      </c>
      <c r="E44" s="3">
        <f t="shared" si="56"/>
        <v>89.889662727912977</v>
      </c>
      <c r="G44" t="s">
        <v>13</v>
      </c>
      <c r="H44" s="3">
        <f t="shared" si="62"/>
        <v>60.508641182391052</v>
      </c>
      <c r="I44" s="3">
        <f t="shared" si="62"/>
        <v>53.381085346606817</v>
      </c>
      <c r="J44" s="3">
        <f t="shared" si="62"/>
        <v>59.440291054917473</v>
      </c>
      <c r="K44" s="3">
        <f t="shared" si="62"/>
        <v>59.355700282360878</v>
      </c>
      <c r="M44" t="s">
        <v>13</v>
      </c>
      <c r="N44" s="3">
        <f t="shared" si="63"/>
        <v>8.2623025343789571</v>
      </c>
      <c r="O44" s="3">
        <f t="shared" si="63"/>
        <v>22.515870309937821</v>
      </c>
      <c r="P44" s="3">
        <f t="shared" si="63"/>
        <v>55.691068790284618</v>
      </c>
      <c r="Q44" s="3">
        <f t="shared" si="63"/>
        <v>41.824557985485441</v>
      </c>
      <c r="R44" s="3"/>
      <c r="S44" s="4"/>
      <c r="U44" t="s">
        <v>13</v>
      </c>
      <c r="V44" s="3">
        <f t="shared" si="64"/>
        <v>84.276286616062805</v>
      </c>
      <c r="W44" s="3">
        <f t="shared" si="64"/>
        <v>54.967785690064453</v>
      </c>
      <c r="X44" s="3">
        <f t="shared" si="64"/>
        <v>71.01494639643164</v>
      </c>
      <c r="Y44" s="3">
        <f t="shared" si="64"/>
        <v>89.889662727912977</v>
      </c>
      <c r="AA44" t="s">
        <v>13</v>
      </c>
      <c r="AB44" s="3">
        <f t="shared" si="67"/>
        <v>60.508641182391052</v>
      </c>
      <c r="AC44" s="3">
        <f t="shared" si="67"/>
        <v>53.381085346606817</v>
      </c>
      <c r="AD44" s="3">
        <f t="shared" si="67"/>
        <v>59.440291054917473</v>
      </c>
      <c r="AE44" s="3">
        <f t="shared" si="67"/>
        <v>59.355700282360878</v>
      </c>
      <c r="AG44" t="s">
        <v>13</v>
      </c>
      <c r="AH44" s="3">
        <f t="shared" si="66"/>
        <v>8.2623025343789571</v>
      </c>
      <c r="AI44" s="3">
        <f t="shared" si="66"/>
        <v>22.515870309937821</v>
      </c>
      <c r="AJ44" s="3">
        <f t="shared" si="66"/>
        <v>55.691068790284618</v>
      </c>
      <c r="AK44" s="3">
        <f t="shared" si="66"/>
        <v>41.824557985485441</v>
      </c>
    </row>
    <row r="45" spans="1:37" x14ac:dyDescent="0.25">
      <c r="A45" t="s">
        <v>5</v>
      </c>
      <c r="B45" s="3"/>
      <c r="C45" s="3"/>
      <c r="D45" s="3"/>
      <c r="E45" s="3"/>
      <c r="G45" t="s">
        <v>5</v>
      </c>
      <c r="H45" s="3"/>
      <c r="I45" s="3"/>
      <c r="J45" s="3"/>
      <c r="K45" s="3"/>
      <c r="M45" t="s">
        <v>5</v>
      </c>
      <c r="N45" s="3"/>
      <c r="O45" s="3"/>
      <c r="P45" s="3"/>
      <c r="Q45" s="3"/>
      <c r="S45" s="4"/>
      <c r="U45" t="s">
        <v>5</v>
      </c>
      <c r="V45" s="3"/>
      <c r="W45" s="3"/>
      <c r="X45" s="3"/>
      <c r="Y45" s="3"/>
      <c r="AA45" t="s">
        <v>5</v>
      </c>
      <c r="AB45" s="3"/>
      <c r="AC45" s="3"/>
      <c r="AD45" s="3"/>
      <c r="AE45" s="3"/>
      <c r="AG45" t="s">
        <v>5</v>
      </c>
      <c r="AH45" s="3"/>
      <c r="AI45" s="3"/>
      <c r="AJ45" s="3"/>
      <c r="AK45" s="3"/>
    </row>
    <row r="46" spans="1:37" x14ac:dyDescent="0.25">
      <c r="A46" t="s">
        <v>7</v>
      </c>
      <c r="B46" s="3"/>
      <c r="C46" s="3"/>
      <c r="D46" s="3"/>
      <c r="E46" s="3"/>
      <c r="G46" t="s">
        <v>7</v>
      </c>
      <c r="H46" s="3"/>
      <c r="I46" s="3"/>
      <c r="J46" s="3"/>
      <c r="K46" s="3"/>
      <c r="M46" t="s">
        <v>7</v>
      </c>
      <c r="N46" s="3"/>
      <c r="O46" s="3"/>
      <c r="P46" s="3"/>
      <c r="Q46" s="3"/>
      <c r="S46" s="4"/>
      <c r="U46" t="s">
        <v>7</v>
      </c>
      <c r="V46" s="3"/>
      <c r="W46" s="3"/>
      <c r="X46" s="3"/>
      <c r="Y46" s="3"/>
      <c r="AA46" t="s">
        <v>7</v>
      </c>
      <c r="AB46" s="3"/>
      <c r="AC46" s="3"/>
      <c r="AD46" s="3"/>
      <c r="AE46" s="3"/>
      <c r="AG46" t="s">
        <v>7</v>
      </c>
      <c r="AH46" s="3"/>
      <c r="AI46" s="3"/>
      <c r="AJ46" s="3"/>
      <c r="AK46" s="3"/>
    </row>
    <row r="47" spans="1:37" x14ac:dyDescent="0.25">
      <c r="A47" t="s">
        <v>8</v>
      </c>
      <c r="B47" s="3"/>
      <c r="C47" s="3"/>
      <c r="D47" s="3"/>
      <c r="E47" s="3"/>
      <c r="G47" t="s">
        <v>8</v>
      </c>
      <c r="H47" s="3"/>
      <c r="I47" s="3"/>
      <c r="J47" s="3"/>
      <c r="K47" s="3"/>
      <c r="M47" t="s">
        <v>8</v>
      </c>
      <c r="N47" s="3"/>
      <c r="O47" s="3"/>
      <c r="P47" s="3"/>
      <c r="Q47" s="3"/>
      <c r="S47" s="4"/>
      <c r="U47" t="s">
        <v>8</v>
      </c>
      <c r="V47" s="3"/>
      <c r="W47" s="3"/>
      <c r="X47" s="3"/>
      <c r="Y47" s="3"/>
      <c r="AA47" t="s">
        <v>8</v>
      </c>
      <c r="AB47" s="3"/>
      <c r="AC47" s="3"/>
      <c r="AD47" s="3"/>
      <c r="AE47" s="3"/>
      <c r="AG47" t="s">
        <v>8</v>
      </c>
      <c r="AH47" s="3"/>
      <c r="AI47" s="3"/>
      <c r="AJ47" s="3"/>
      <c r="AK47" s="3"/>
    </row>
    <row r="48" spans="1:37" x14ac:dyDescent="0.25">
      <c r="A48" t="s">
        <v>9</v>
      </c>
      <c r="B48" s="3"/>
      <c r="C48" s="3"/>
      <c r="D48" s="3"/>
      <c r="E48" s="3"/>
      <c r="G48" t="s">
        <v>9</v>
      </c>
      <c r="H48" s="3"/>
      <c r="I48" s="3"/>
      <c r="J48" s="3"/>
      <c r="K48" s="3"/>
      <c r="M48" t="s">
        <v>9</v>
      </c>
      <c r="N48" s="3"/>
      <c r="O48" s="3"/>
      <c r="P48" s="3"/>
      <c r="Q48" s="3"/>
      <c r="S48" s="4"/>
      <c r="U48" t="s">
        <v>9</v>
      </c>
      <c r="V48" s="3"/>
      <c r="W48" s="3"/>
      <c r="X48" s="3"/>
      <c r="Y48" s="3"/>
      <c r="AA48" t="s">
        <v>9</v>
      </c>
      <c r="AB48" s="3"/>
      <c r="AC48" s="3"/>
      <c r="AD48" s="3"/>
      <c r="AE48" s="3"/>
      <c r="AG48" t="s">
        <v>9</v>
      </c>
      <c r="AH48" s="3"/>
      <c r="AI48" s="3"/>
      <c r="AJ48" s="3"/>
      <c r="AK48" s="3"/>
    </row>
    <row r="49" spans="1:37" x14ac:dyDescent="0.25">
      <c r="A49" t="s">
        <v>10</v>
      </c>
      <c r="B49" s="3"/>
      <c r="C49" s="3"/>
      <c r="D49" s="3"/>
      <c r="E49" s="3"/>
      <c r="G49" t="s">
        <v>10</v>
      </c>
      <c r="H49" s="3"/>
      <c r="I49" s="3"/>
      <c r="J49" s="3"/>
      <c r="K49" s="3"/>
      <c r="M49" t="s">
        <v>10</v>
      </c>
      <c r="N49" s="3"/>
      <c r="O49" s="3"/>
      <c r="P49" s="3"/>
      <c r="Q49" s="3"/>
      <c r="S49" s="4"/>
      <c r="U49" t="s">
        <v>10</v>
      </c>
      <c r="V49" s="3"/>
      <c r="W49" s="3"/>
      <c r="X49" s="3"/>
      <c r="Y49" s="3"/>
      <c r="AA49" t="s">
        <v>10</v>
      </c>
      <c r="AB49" s="3"/>
      <c r="AC49" s="3"/>
      <c r="AD49" s="3"/>
      <c r="AE49" s="3"/>
      <c r="AG49" t="s">
        <v>10</v>
      </c>
      <c r="AH49" s="3"/>
      <c r="AI49" s="3"/>
      <c r="AJ49" s="3"/>
      <c r="AK49" s="3"/>
    </row>
    <row r="50" spans="1:37" x14ac:dyDescent="0.25">
      <c r="A50" t="s">
        <v>11</v>
      </c>
      <c r="B50" s="3"/>
      <c r="C50" s="3"/>
      <c r="D50" s="3"/>
      <c r="E50" s="3"/>
      <c r="G50" t="s">
        <v>11</v>
      </c>
      <c r="H50" s="3"/>
      <c r="I50" s="3"/>
      <c r="J50" s="3"/>
      <c r="K50" s="3"/>
      <c r="M50" t="s">
        <v>11</v>
      </c>
      <c r="N50" s="3"/>
      <c r="O50" s="3"/>
      <c r="P50" s="3"/>
      <c r="Q50" s="3"/>
      <c r="S50" s="4"/>
      <c r="U50" t="s">
        <v>11</v>
      </c>
      <c r="V50" s="3"/>
      <c r="W50" s="3"/>
      <c r="X50" s="3"/>
      <c r="Y50" s="3"/>
      <c r="AA50" t="s">
        <v>11</v>
      </c>
      <c r="AB50" s="3"/>
      <c r="AC50" s="3"/>
      <c r="AD50" s="3"/>
      <c r="AE50" s="3"/>
      <c r="AG50" t="s">
        <v>11</v>
      </c>
      <c r="AH50" s="3"/>
      <c r="AI50" s="3"/>
      <c r="AJ50" s="3"/>
      <c r="AK50" s="3"/>
    </row>
    <row r="51" spans="1:37" x14ac:dyDescent="0.25">
      <c r="A51" t="s">
        <v>12</v>
      </c>
      <c r="B51" s="3"/>
      <c r="C51" s="3"/>
      <c r="D51" s="3"/>
      <c r="E51" s="3"/>
      <c r="G51" t="s">
        <v>12</v>
      </c>
      <c r="H51" s="3"/>
      <c r="I51" s="3"/>
      <c r="J51" s="3"/>
      <c r="K51" s="3"/>
      <c r="M51" t="s">
        <v>12</v>
      </c>
      <c r="N51" s="3"/>
      <c r="O51" s="3"/>
      <c r="P51" s="3"/>
      <c r="Q51" s="3"/>
      <c r="S51" s="4"/>
      <c r="U51" t="s">
        <v>12</v>
      </c>
      <c r="V51" s="3"/>
      <c r="W51" s="3"/>
      <c r="X51" s="3"/>
      <c r="Y51" s="3"/>
      <c r="AA51" t="s">
        <v>12</v>
      </c>
      <c r="AB51" s="3"/>
      <c r="AC51" s="3"/>
      <c r="AD51" s="3"/>
      <c r="AE51" s="3"/>
      <c r="AG51" t="s">
        <v>12</v>
      </c>
      <c r="AH51" s="3"/>
      <c r="AI51" s="3"/>
      <c r="AJ51" s="3"/>
      <c r="AK51" s="3"/>
    </row>
    <row r="52" spans="1:37" x14ac:dyDescent="0.25">
      <c r="A52" t="s">
        <v>13</v>
      </c>
      <c r="B52" s="3"/>
      <c r="C52" s="3"/>
      <c r="D52" s="3"/>
      <c r="E52" s="3"/>
      <c r="G52" t="s">
        <v>13</v>
      </c>
      <c r="H52" s="3"/>
      <c r="I52" s="3"/>
      <c r="J52" s="3"/>
      <c r="K52" s="3"/>
      <c r="M52" t="s">
        <v>13</v>
      </c>
      <c r="N52" s="3"/>
      <c r="O52" s="3"/>
      <c r="P52" s="3"/>
      <c r="Q52" s="3"/>
      <c r="S52" s="4"/>
      <c r="U52" t="s">
        <v>13</v>
      </c>
      <c r="V52" s="3"/>
      <c r="W52" s="3"/>
      <c r="X52" s="3"/>
      <c r="Y52" s="3"/>
      <c r="AA52" t="s">
        <v>13</v>
      </c>
      <c r="AB52" s="3"/>
      <c r="AC52" s="3"/>
      <c r="AD52" s="3"/>
      <c r="AE52" s="3"/>
      <c r="AG52" t="s">
        <v>13</v>
      </c>
      <c r="AH52" s="3"/>
      <c r="AI52" s="3"/>
      <c r="AJ52" s="3"/>
      <c r="AK52" s="3"/>
    </row>
    <row r="53" spans="1:37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  <c r="S53" s="4"/>
      <c r="U53" s="2"/>
      <c r="V53" s="2"/>
      <c r="W53" s="2"/>
      <c r="X53" s="2"/>
      <c r="Y53" s="2"/>
      <c r="AA53" s="2"/>
      <c r="AB53" s="2"/>
      <c r="AC53" s="2"/>
      <c r="AD53" s="2"/>
      <c r="AE53" s="2"/>
      <c r="AG53" s="2"/>
      <c r="AH53" s="2"/>
      <c r="AI53" s="2"/>
      <c r="AJ53" s="2"/>
      <c r="AK53" s="2"/>
    </row>
    <row r="54" spans="1:37" x14ac:dyDescent="0.25">
      <c r="A54" t="s">
        <v>14</v>
      </c>
      <c r="B54">
        <f>COUNT(B37:B52)</f>
        <v>8</v>
      </c>
      <c r="C54">
        <f t="shared" ref="C54:E54" si="68">COUNT(C37:C52)</f>
        <v>8</v>
      </c>
      <c r="D54">
        <f t="shared" si="68"/>
        <v>6</v>
      </c>
      <c r="E54">
        <f t="shared" si="68"/>
        <v>5</v>
      </c>
      <c r="G54" t="s">
        <v>14</v>
      </c>
      <c r="H54">
        <f>COUNT(H37:H52)</f>
        <v>8</v>
      </c>
      <c r="I54">
        <f t="shared" ref="I54:K54" si="69">COUNT(I37:I52)</f>
        <v>8</v>
      </c>
      <c r="J54">
        <f t="shared" si="69"/>
        <v>8</v>
      </c>
      <c r="K54">
        <f t="shared" si="69"/>
        <v>8</v>
      </c>
      <c r="M54" t="s">
        <v>14</v>
      </c>
      <c r="N54">
        <f>COUNT(N37:N52)</f>
        <v>8</v>
      </c>
      <c r="O54">
        <f t="shared" ref="O54:Q54" si="70">COUNT(O37:O52)</f>
        <v>8</v>
      </c>
      <c r="P54">
        <f t="shared" si="70"/>
        <v>8</v>
      </c>
      <c r="Q54">
        <f t="shared" si="70"/>
        <v>8</v>
      </c>
      <c r="S54" s="4"/>
      <c r="U54" t="s">
        <v>14</v>
      </c>
      <c r="V54">
        <f>COUNT(V37:V52)</f>
        <v>8</v>
      </c>
      <c r="W54">
        <f t="shared" ref="W54:Y54" si="71">COUNT(W37:W52)</f>
        <v>8</v>
      </c>
      <c r="X54">
        <f t="shared" si="71"/>
        <v>6</v>
      </c>
      <c r="Y54">
        <f t="shared" si="71"/>
        <v>5</v>
      </c>
      <c r="AA54" t="s">
        <v>14</v>
      </c>
      <c r="AB54">
        <f>COUNT(AB37:AB52)</f>
        <v>8</v>
      </c>
      <c r="AC54">
        <f t="shared" ref="AC54:AE54" si="72">COUNT(AC37:AC52)</f>
        <v>8</v>
      </c>
      <c r="AD54">
        <f t="shared" si="72"/>
        <v>8</v>
      </c>
      <c r="AE54">
        <f t="shared" si="72"/>
        <v>8</v>
      </c>
      <c r="AG54" t="s">
        <v>14</v>
      </c>
      <c r="AH54">
        <f>COUNT(AH37:AH52)</f>
        <v>8</v>
      </c>
      <c r="AI54">
        <f t="shared" ref="AI54:AK54" si="73">COUNT(AI37:AI52)</f>
        <v>8</v>
      </c>
      <c r="AJ54">
        <f t="shared" si="73"/>
        <v>8</v>
      </c>
      <c r="AK54">
        <f t="shared" si="73"/>
        <v>8</v>
      </c>
    </row>
    <row r="55" spans="1:37" x14ac:dyDescent="0.25">
      <c r="A55" t="s">
        <v>15</v>
      </c>
      <c r="B55">
        <f>MAX(B37:B52)</f>
        <v>84.276286616062805</v>
      </c>
      <c r="C55">
        <f t="shared" ref="C55:E55" si="74">MAX(C37:C52)</f>
        <v>66.19453791376479</v>
      </c>
      <c r="D55">
        <f t="shared" si="74"/>
        <v>71.01494639643164</v>
      </c>
      <c r="E55">
        <f t="shared" si="74"/>
        <v>91.642538539791843</v>
      </c>
      <c r="G55" t="s">
        <v>15</v>
      </c>
      <c r="H55">
        <f>MAX(H37:H52)</f>
        <v>60.521173148695716</v>
      </c>
      <c r="I55">
        <f t="shared" ref="I55:K55" si="75">MAX(I37:I52)</f>
        <v>85.575706783318367</v>
      </c>
      <c r="J55">
        <f t="shared" si="75"/>
        <v>69.910748902473912</v>
      </c>
      <c r="K55">
        <f t="shared" si="75"/>
        <v>87.7594019119081</v>
      </c>
      <c r="M55" t="s">
        <v>15</v>
      </c>
      <c r="N55">
        <f>MAX(N37:N52)</f>
        <v>68.149627392723204</v>
      </c>
      <c r="O55">
        <f t="shared" ref="O55:Q55" si="76">MAX(O37:O52)</f>
        <v>56.654814670498197</v>
      </c>
      <c r="P55">
        <f t="shared" si="76"/>
        <v>82.216160927378098</v>
      </c>
      <c r="Q55">
        <f t="shared" si="76"/>
        <v>91.9055736853214</v>
      </c>
      <c r="S55" s="4"/>
      <c r="U55" t="s">
        <v>15</v>
      </c>
      <c r="V55">
        <f>MAX(V37:V52)</f>
        <v>84.276286616062805</v>
      </c>
      <c r="W55">
        <f t="shared" ref="W55:Y55" si="77">MAX(W37:W52)</f>
        <v>66.19453791376479</v>
      </c>
      <c r="X55">
        <f t="shared" si="77"/>
        <v>71.01494639643164</v>
      </c>
      <c r="Y55">
        <f t="shared" si="77"/>
        <v>91.642538539791843</v>
      </c>
      <c r="AA55" t="s">
        <v>15</v>
      </c>
      <c r="AB55">
        <f>MAX(AB37:AB52)</f>
        <v>60.521173148695716</v>
      </c>
      <c r="AC55">
        <f t="shared" ref="AC55:AE55" si="78">MAX(AC37:AC52)</f>
        <v>85.575706783318367</v>
      </c>
      <c r="AD55">
        <f t="shared" si="78"/>
        <v>69.910748902473912</v>
      </c>
      <c r="AE55">
        <f t="shared" si="78"/>
        <v>87.7594019119081</v>
      </c>
      <c r="AG55" t="s">
        <v>15</v>
      </c>
      <c r="AH55">
        <f>MAX(AH37:AH52)</f>
        <v>68.149627392723204</v>
      </c>
      <c r="AI55">
        <f t="shared" ref="AI55:AK55" si="79">MAX(AI37:AI52)</f>
        <v>56.654814670498197</v>
      </c>
      <c r="AJ55">
        <f t="shared" si="79"/>
        <v>82.216160927378098</v>
      </c>
      <c r="AK55">
        <f t="shared" si="79"/>
        <v>91.9055736853214</v>
      </c>
    </row>
    <row r="56" spans="1:37" x14ac:dyDescent="0.25">
      <c r="A56" t="s">
        <v>16</v>
      </c>
      <c r="B56">
        <f>MIN(B37:B52)</f>
        <v>-87.150794271852504</v>
      </c>
      <c r="C56">
        <f t="shared" ref="C56:E56" si="80">MIN(C37:C52)</f>
        <v>-105.90030518820002</v>
      </c>
      <c r="D56">
        <f t="shared" si="80"/>
        <v>-80.243628870281668</v>
      </c>
      <c r="E56">
        <f t="shared" si="80"/>
        <v>-13.530010172939907</v>
      </c>
      <c r="G56" t="s">
        <v>16</v>
      </c>
      <c r="H56">
        <f>MIN(H37:H52)</f>
        <v>-124.78901259854212</v>
      </c>
      <c r="I56">
        <f t="shared" ref="I56:K56" si="81">MIN(I37:I52)</f>
        <v>-21.18724715778918</v>
      </c>
      <c r="J56">
        <f t="shared" si="81"/>
        <v>9.2998938699102336</v>
      </c>
      <c r="K56">
        <f t="shared" si="81"/>
        <v>32.023481771863551</v>
      </c>
      <c r="M56" t="s">
        <v>16</v>
      </c>
      <c r="N56">
        <f>MIN(N37:N52)</f>
        <v>-59.241472245222838</v>
      </c>
      <c r="O56">
        <f t="shared" ref="O56:Q56" si="82">MIN(O37:O52)</f>
        <v>-40.919909730001876</v>
      </c>
      <c r="P56">
        <f t="shared" si="82"/>
        <v>-46.055558261490773</v>
      </c>
      <c r="Q56">
        <f t="shared" si="82"/>
        <v>31.763674443524518</v>
      </c>
      <c r="S56" s="4"/>
      <c r="U56" t="s">
        <v>16</v>
      </c>
      <c r="V56">
        <f>MIN(V37:V52)</f>
        <v>-87.150794271852504</v>
      </c>
      <c r="W56">
        <f t="shared" ref="W56:Y56" si="83">MIN(W37:W52)</f>
        <v>-105.90030518820002</v>
      </c>
      <c r="X56">
        <f t="shared" si="83"/>
        <v>-80.243628870281668</v>
      </c>
      <c r="Y56">
        <f t="shared" si="83"/>
        <v>-13.530010172939907</v>
      </c>
      <c r="AA56" t="s">
        <v>16</v>
      </c>
      <c r="AB56">
        <f>MIN(AB37:AB52)</f>
        <v>-124.78901259854212</v>
      </c>
      <c r="AC56">
        <f t="shared" ref="AC56:AE56" si="84">MIN(AC37:AC52)</f>
        <v>-21.18724715778918</v>
      </c>
      <c r="AD56">
        <f t="shared" si="84"/>
        <v>9.2998938699102336</v>
      </c>
      <c r="AE56">
        <f t="shared" si="84"/>
        <v>32.023481771863551</v>
      </c>
      <c r="AG56" t="s">
        <v>16</v>
      </c>
      <c r="AH56">
        <f>MIN(AH37:AH52)</f>
        <v>-59.241472245222838</v>
      </c>
      <c r="AI56">
        <f t="shared" ref="AI56:AK56" si="85">MIN(AI37:AI52)</f>
        <v>-40.919909730001876</v>
      </c>
      <c r="AJ56">
        <f t="shared" si="85"/>
        <v>-46.055558261490773</v>
      </c>
      <c r="AK56">
        <f t="shared" si="85"/>
        <v>31.763674443524518</v>
      </c>
    </row>
    <row r="57" spans="1:37" x14ac:dyDescent="0.25">
      <c r="A57" t="s">
        <v>17</v>
      </c>
      <c r="B57">
        <f>AVERAGE(B37:B52)</f>
        <v>0</v>
      </c>
      <c r="C57">
        <f t="shared" ref="C57:E57" si="86">AVERAGE(C37:C52)</f>
        <v>3.9844014920311919</v>
      </c>
      <c r="D57">
        <f t="shared" si="86"/>
        <v>8.596569023832517</v>
      </c>
      <c r="E57">
        <f t="shared" si="86"/>
        <v>50.506299397448956</v>
      </c>
      <c r="G57" t="s">
        <v>17</v>
      </c>
      <c r="H57">
        <f>AVERAGE(H37:H52)</f>
        <v>7.1054273576010019E-15</v>
      </c>
      <c r="I57">
        <f t="shared" ref="I57:K57" si="87">AVERAGE(I37:I52)</f>
        <v>31.245324989132495</v>
      </c>
      <c r="J57">
        <f t="shared" si="87"/>
        <v>42.085475842676786</v>
      </c>
      <c r="K57">
        <f t="shared" si="87"/>
        <v>66.326606539336694</v>
      </c>
      <c r="M57" t="s">
        <v>17</v>
      </c>
      <c r="N57">
        <f>AVERAGE(N37:N52)</f>
        <v>-2.2204460492503131E-15</v>
      </c>
      <c r="O57">
        <f t="shared" ref="O57:Q57" si="88">AVERAGE(O37:O52)</f>
        <v>12.140990047570339</v>
      </c>
      <c r="P57">
        <f t="shared" si="88"/>
        <v>35.853424902180421</v>
      </c>
      <c r="Q57">
        <f t="shared" si="88"/>
        <v>56.773334632182276</v>
      </c>
      <c r="S57" s="4"/>
      <c r="U57" t="s">
        <v>17</v>
      </c>
      <c r="V57">
        <f>AVERAGE(V37:V52)</f>
        <v>0</v>
      </c>
      <c r="W57">
        <f t="shared" ref="W57:Y57" si="89">AVERAGE(W37:W52)</f>
        <v>3.9844014920311919</v>
      </c>
      <c r="X57">
        <f t="shared" si="89"/>
        <v>8.596569023832517</v>
      </c>
      <c r="Y57">
        <f t="shared" si="89"/>
        <v>50.506299397448956</v>
      </c>
      <c r="AA57" t="s">
        <v>17</v>
      </c>
      <c r="AB57">
        <f>AVERAGE(AB37:AB52)</f>
        <v>7.1054273576010019E-15</v>
      </c>
      <c r="AC57">
        <f t="shared" ref="AC57:AE57" si="90">AVERAGE(AC37:AC52)</f>
        <v>31.245324989132495</v>
      </c>
      <c r="AD57">
        <f t="shared" si="90"/>
        <v>42.085475842676786</v>
      </c>
      <c r="AE57">
        <f t="shared" si="90"/>
        <v>66.326606539336694</v>
      </c>
      <c r="AG57" t="s">
        <v>17</v>
      </c>
      <c r="AH57">
        <f>AVERAGE(AH37:AH52)</f>
        <v>-2.2204460492503131E-15</v>
      </c>
      <c r="AI57">
        <f t="shared" ref="AI57:AK57" si="91">AVERAGE(AI37:AI52)</f>
        <v>12.140990047570339</v>
      </c>
      <c r="AJ57">
        <f t="shared" si="91"/>
        <v>35.853424902180421</v>
      </c>
      <c r="AK57">
        <f t="shared" si="91"/>
        <v>56.773334632182276</v>
      </c>
    </row>
    <row r="58" spans="1:37" x14ac:dyDescent="0.25">
      <c r="A58" t="s">
        <v>18</v>
      </c>
      <c r="B58">
        <f>STDEV(B37:B52)</f>
        <v>62.36205575947433</v>
      </c>
      <c r="C58">
        <f t="shared" ref="C58:E58" si="92">STDEV(C37:C52)</f>
        <v>67.400276816592651</v>
      </c>
      <c r="D58">
        <f t="shared" si="92"/>
        <v>57.429359862852543</v>
      </c>
      <c r="E58">
        <f t="shared" si="92"/>
        <v>51.98782433306004</v>
      </c>
      <c r="G58" t="s">
        <v>18</v>
      </c>
      <c r="H58">
        <f>STDEV(H37:H52)</f>
        <v>64.606191698085439</v>
      </c>
      <c r="I58">
        <f t="shared" ref="I58:K58" si="93">STDEV(I37:I52)</f>
        <v>34.591139649787145</v>
      </c>
      <c r="J58">
        <f t="shared" si="93"/>
        <v>21.821660666854957</v>
      </c>
      <c r="K58">
        <f t="shared" si="93"/>
        <v>18.131593352901824</v>
      </c>
      <c r="M58" t="s">
        <v>18</v>
      </c>
      <c r="N58">
        <f>STDEV(N37:N52)</f>
        <v>45.482056217629271</v>
      </c>
      <c r="O58">
        <f t="shared" ref="O58:Q58" si="94">STDEV(O37:O52)</f>
        <v>32.375958608711656</v>
      </c>
      <c r="P58">
        <f t="shared" si="94"/>
        <v>41.321406870162917</v>
      </c>
      <c r="Q58">
        <f t="shared" si="94"/>
        <v>21.044836940257834</v>
      </c>
      <c r="S58" s="4"/>
      <c r="U58" t="s">
        <v>18</v>
      </c>
      <c r="V58">
        <f>STDEV(V37:V52)</f>
        <v>62.36205575947433</v>
      </c>
      <c r="W58">
        <f t="shared" ref="W58:Y58" si="95">STDEV(W37:W52)</f>
        <v>67.400276816592651</v>
      </c>
      <c r="X58">
        <f t="shared" si="95"/>
        <v>57.429359862852543</v>
      </c>
      <c r="Y58">
        <f t="shared" si="95"/>
        <v>51.98782433306004</v>
      </c>
      <c r="AA58" t="s">
        <v>18</v>
      </c>
      <c r="AB58">
        <f>STDEV(AB37:AB52)</f>
        <v>64.606191698085439</v>
      </c>
      <c r="AC58">
        <f t="shared" ref="AC58:AE58" si="96">STDEV(AC37:AC52)</f>
        <v>34.591139649787145</v>
      </c>
      <c r="AD58">
        <f t="shared" si="96"/>
        <v>21.821660666854957</v>
      </c>
      <c r="AE58">
        <f t="shared" si="96"/>
        <v>18.131593352901824</v>
      </c>
      <c r="AG58" t="s">
        <v>18</v>
      </c>
      <c r="AH58">
        <f>STDEV(AH37:AH52)</f>
        <v>45.482056217629271</v>
      </c>
      <c r="AI58">
        <f t="shared" ref="AI58:AK58" si="97">STDEV(AI37:AI52)</f>
        <v>32.375958608711656</v>
      </c>
      <c r="AJ58">
        <f t="shared" si="97"/>
        <v>41.321406870162917</v>
      </c>
      <c r="AK58">
        <f t="shared" si="97"/>
        <v>21.044836940257834</v>
      </c>
    </row>
    <row r="59" spans="1:37" x14ac:dyDescent="0.25">
      <c r="A59" t="s">
        <v>19</v>
      </c>
      <c r="B59">
        <f>B57+2*B58</f>
        <v>124.72411151894866</v>
      </c>
      <c r="C59">
        <f t="shared" ref="C59:E59" si="98">C57+2*C58</f>
        <v>138.7849551252165</v>
      </c>
      <c r="D59">
        <f t="shared" si="98"/>
        <v>123.4552887495376</v>
      </c>
      <c r="E59">
        <f t="shared" si="98"/>
        <v>154.48194806356904</v>
      </c>
      <c r="G59" t="s">
        <v>19</v>
      </c>
      <c r="H59">
        <f>H57+2*H58</f>
        <v>129.21238339617088</v>
      </c>
      <c r="I59">
        <f t="shared" ref="I59:K59" si="99">I57+2*I58</f>
        <v>100.42760428870679</v>
      </c>
      <c r="J59">
        <f t="shared" si="99"/>
        <v>85.728797176386706</v>
      </c>
      <c r="K59">
        <f t="shared" si="99"/>
        <v>102.58979324514034</v>
      </c>
      <c r="M59" t="s">
        <v>19</v>
      </c>
      <c r="N59">
        <f>N57+2*N58</f>
        <v>90.964112435258542</v>
      </c>
      <c r="O59">
        <f t="shared" ref="O59:Q59" si="100">O57+2*O58</f>
        <v>76.892907264993653</v>
      </c>
      <c r="P59">
        <f t="shared" si="100"/>
        <v>118.49623864250626</v>
      </c>
      <c r="Q59">
        <f t="shared" si="100"/>
        <v>98.863008512697945</v>
      </c>
      <c r="S59" s="4"/>
      <c r="U59" t="s">
        <v>19</v>
      </c>
      <c r="V59">
        <f>V57+2*V58</f>
        <v>124.72411151894866</v>
      </c>
      <c r="W59">
        <f t="shared" ref="W59:Y59" si="101">W57+2*W58</f>
        <v>138.7849551252165</v>
      </c>
      <c r="X59">
        <f t="shared" si="101"/>
        <v>123.4552887495376</v>
      </c>
      <c r="Y59">
        <f t="shared" si="101"/>
        <v>154.48194806356904</v>
      </c>
      <c r="AA59" t="s">
        <v>19</v>
      </c>
      <c r="AB59">
        <f>AB57+2*AB58</f>
        <v>129.21238339617088</v>
      </c>
      <c r="AC59">
        <f t="shared" ref="AC59:AE59" si="102">AC57+2*AC58</f>
        <v>100.42760428870679</v>
      </c>
      <c r="AD59">
        <f t="shared" si="102"/>
        <v>85.728797176386706</v>
      </c>
      <c r="AE59">
        <f t="shared" si="102"/>
        <v>102.58979324514034</v>
      </c>
      <c r="AG59" t="s">
        <v>19</v>
      </c>
      <c r="AH59">
        <f>AH57+2*AH58</f>
        <v>90.964112435258542</v>
      </c>
      <c r="AI59">
        <f t="shared" ref="AI59:AK59" si="103">AI57+2*AI58</f>
        <v>76.892907264993653</v>
      </c>
      <c r="AJ59">
        <f t="shared" si="103"/>
        <v>118.49623864250626</v>
      </c>
      <c r="AK59">
        <f t="shared" si="103"/>
        <v>98.863008512697945</v>
      </c>
    </row>
    <row r="60" spans="1:37" x14ac:dyDescent="0.25">
      <c r="A60" t="s">
        <v>20</v>
      </c>
      <c r="B60">
        <f>B57-2*B58</f>
        <v>-124.72411151894866</v>
      </c>
      <c r="C60">
        <f t="shared" ref="C60:E60" si="104">C57-2*C58</f>
        <v>-130.81615214115411</v>
      </c>
      <c r="D60">
        <f t="shared" si="104"/>
        <v>-106.26215070187257</v>
      </c>
      <c r="E60">
        <f t="shared" si="104"/>
        <v>-53.469349268671124</v>
      </c>
      <c r="G60" t="s">
        <v>20</v>
      </c>
      <c r="H60">
        <f>H57-2*H58</f>
        <v>-129.21238339617088</v>
      </c>
      <c r="I60">
        <f t="shared" ref="I60:K60" si="105">I57-2*I58</f>
        <v>-37.936954310441791</v>
      </c>
      <c r="J60">
        <f t="shared" si="105"/>
        <v>-1.5578454910331274</v>
      </c>
      <c r="K60">
        <f t="shared" si="105"/>
        <v>30.063419833533047</v>
      </c>
      <c r="M60" t="s">
        <v>20</v>
      </c>
      <c r="N60">
        <f>N57-2*N58</f>
        <v>-90.964112435258542</v>
      </c>
      <c r="O60">
        <f t="shared" ref="O60:Q60" si="106">O57-2*O58</f>
        <v>-52.610927169852971</v>
      </c>
      <c r="P60">
        <f t="shared" si="106"/>
        <v>-46.789388838145413</v>
      </c>
      <c r="Q60">
        <f t="shared" si="106"/>
        <v>14.683660751666608</v>
      </c>
      <c r="S60" s="4"/>
      <c r="U60" t="s">
        <v>20</v>
      </c>
      <c r="V60">
        <f>V57-2*V58</f>
        <v>-124.72411151894866</v>
      </c>
      <c r="W60">
        <f t="shared" ref="W60:Y60" si="107">W57-2*W58</f>
        <v>-130.81615214115411</v>
      </c>
      <c r="X60">
        <f t="shared" si="107"/>
        <v>-106.26215070187257</v>
      </c>
      <c r="Y60">
        <f t="shared" si="107"/>
        <v>-53.469349268671124</v>
      </c>
      <c r="AA60" t="s">
        <v>20</v>
      </c>
      <c r="AB60">
        <f>AB57-2*AB58</f>
        <v>-129.21238339617088</v>
      </c>
      <c r="AC60">
        <f t="shared" ref="AC60:AE60" si="108">AC57-2*AC58</f>
        <v>-37.936954310441791</v>
      </c>
      <c r="AD60">
        <f t="shared" si="108"/>
        <v>-1.5578454910331274</v>
      </c>
      <c r="AE60">
        <f t="shared" si="108"/>
        <v>30.063419833533047</v>
      </c>
      <c r="AG60" t="s">
        <v>20</v>
      </c>
      <c r="AH60">
        <f>AH57-2*AH58</f>
        <v>-90.964112435258542</v>
      </c>
      <c r="AI60">
        <f t="shared" ref="AI60:AK60" si="109">AI57-2*AI58</f>
        <v>-52.610927169852971</v>
      </c>
      <c r="AJ60">
        <f t="shared" si="109"/>
        <v>-46.789388838145413</v>
      </c>
      <c r="AK60">
        <f t="shared" si="109"/>
        <v>14.683660751666608</v>
      </c>
    </row>
    <row r="61" spans="1:37" x14ac:dyDescent="0.25">
      <c r="A61" t="s">
        <v>21</v>
      </c>
      <c r="B61">
        <f>VAR(B37:B52)</f>
        <v>3889.0259985477855</v>
      </c>
      <c r="C61">
        <f t="shared" ref="C61:E61" si="110">VAR(C37:C52)</f>
        <v>4542.7973149533163</v>
      </c>
      <c r="D61">
        <f t="shared" si="110"/>
        <v>3298.1313742570187</v>
      </c>
      <c r="E61">
        <f t="shared" si="110"/>
        <v>2702.7338788851098</v>
      </c>
      <c r="G61" t="s">
        <v>21</v>
      </c>
      <c r="H61">
        <f>VAR(H37:H52)</f>
        <v>4173.9600057297648</v>
      </c>
      <c r="I61">
        <f t="shared" ref="I61:K61" si="111">VAR(I37:I52)</f>
        <v>1196.5469422710764</v>
      </c>
      <c r="J61">
        <f t="shared" si="111"/>
        <v>476.18487425936473</v>
      </c>
      <c r="K61">
        <f t="shared" si="111"/>
        <v>328.7546775149936</v>
      </c>
      <c r="M61" t="s">
        <v>21</v>
      </c>
      <c r="N61">
        <f>VAR(N37:N52)</f>
        <v>2068.6174377835896</v>
      </c>
      <c r="O61">
        <f t="shared" ref="O61:Q61" si="112">VAR(O37:O52)</f>
        <v>1048.2026958330105</v>
      </c>
      <c r="P61">
        <f t="shared" si="112"/>
        <v>1707.4586657295474</v>
      </c>
      <c r="Q61">
        <f t="shared" si="112"/>
        <v>442.88516184204076</v>
      </c>
      <c r="S61" s="4"/>
      <c r="U61" t="s">
        <v>21</v>
      </c>
      <c r="V61">
        <f>VAR(V37:V52)</f>
        <v>3889.0259985477855</v>
      </c>
      <c r="W61">
        <f t="shared" ref="W61:Y61" si="113">VAR(W37:W52)</f>
        <v>4542.7973149533163</v>
      </c>
      <c r="X61">
        <f t="shared" si="113"/>
        <v>3298.1313742570187</v>
      </c>
      <c r="Y61">
        <f t="shared" si="113"/>
        <v>2702.7338788851098</v>
      </c>
      <c r="AA61" t="s">
        <v>21</v>
      </c>
      <c r="AB61">
        <f>VAR(AB37:AB52)</f>
        <v>4173.9600057297648</v>
      </c>
      <c r="AC61">
        <f t="shared" ref="AC61:AE61" si="114">VAR(AC37:AC52)</f>
        <v>1196.5469422710764</v>
      </c>
      <c r="AD61">
        <f t="shared" si="114"/>
        <v>476.18487425936473</v>
      </c>
      <c r="AE61">
        <f t="shared" si="114"/>
        <v>328.7546775149936</v>
      </c>
      <c r="AG61" t="s">
        <v>21</v>
      </c>
      <c r="AH61">
        <f>VAR(AH37:AH52)</f>
        <v>2068.6174377835896</v>
      </c>
      <c r="AI61">
        <f t="shared" ref="AI61:AK61" si="115">VAR(AI37:AI52)</f>
        <v>1048.2026958330105</v>
      </c>
      <c r="AJ61">
        <f t="shared" si="115"/>
        <v>1707.4586657295474</v>
      </c>
      <c r="AK61">
        <f t="shared" si="115"/>
        <v>442.88516184204076</v>
      </c>
    </row>
    <row r="62" spans="1:37" x14ac:dyDescent="0.25">
      <c r="S62" s="4"/>
    </row>
    <row r="63" spans="1:37" x14ac:dyDescent="0.25">
      <c r="A63" t="s">
        <v>22</v>
      </c>
      <c r="S63" s="4"/>
      <c r="U63" t="s">
        <v>22</v>
      </c>
    </row>
    <row r="64" spans="1:37" x14ac:dyDescent="0.25">
      <c r="A64" t="s">
        <v>1</v>
      </c>
      <c r="B64" t="e">
        <f>TTEST(B45:B52,H45:H52,2,3)</f>
        <v>#DIV/0!</v>
      </c>
      <c r="S64" s="4"/>
      <c r="U64" t="s">
        <v>1</v>
      </c>
      <c r="V64" t="e">
        <f>TTEST(V45:V52,AB45:AB52,2,3)</f>
        <v>#DIV/0!</v>
      </c>
    </row>
    <row r="65" spans="1:37" x14ac:dyDescent="0.25">
      <c r="A65" t="s">
        <v>2</v>
      </c>
      <c r="B65" t="e">
        <f>TTEST(C45:C52,I45:I52,2,3)</f>
        <v>#DIV/0!</v>
      </c>
      <c r="S65" s="4"/>
      <c r="U65" t="s">
        <v>2</v>
      </c>
      <c r="V65" t="e">
        <f>TTEST(W45:W52,AC45:AC52,2,3)</f>
        <v>#DIV/0!</v>
      </c>
    </row>
    <row r="66" spans="1:37" x14ac:dyDescent="0.25">
      <c r="A66" t="s">
        <v>3</v>
      </c>
      <c r="B66" t="e">
        <f>TTEST(D45:D52,J45:J52,2,3)</f>
        <v>#DIV/0!</v>
      </c>
      <c r="S66" s="4"/>
      <c r="U66" t="s">
        <v>3</v>
      </c>
      <c r="V66" t="e">
        <f>TTEST(X45:X52,AD45:AD52,2,3)</f>
        <v>#DIV/0!</v>
      </c>
    </row>
    <row r="67" spans="1:37" x14ac:dyDescent="0.25">
      <c r="A67" t="s">
        <v>4</v>
      </c>
      <c r="B67" t="e">
        <f>TTEST(E45:E52,K45:K52,2,3)</f>
        <v>#DIV/0!</v>
      </c>
      <c r="S67" s="4"/>
      <c r="U67" t="s">
        <v>4</v>
      </c>
      <c r="V67" t="e">
        <f>TTEST(Y45:Y52,AE45:AE52,2,3)</f>
        <v>#DIV/0!</v>
      </c>
    </row>
    <row r="68" spans="1:37" x14ac:dyDescent="0.25">
      <c r="S68" s="4"/>
    </row>
    <row r="69" spans="1:37" x14ac:dyDescent="0.25">
      <c r="A69" t="s">
        <v>26</v>
      </c>
      <c r="S69" s="4"/>
      <c r="U69" t="s">
        <v>26</v>
      </c>
    </row>
    <row r="70" spans="1:37" x14ac:dyDescent="0.25">
      <c r="A70" s="1" t="s">
        <v>29</v>
      </c>
      <c r="B70" s="1" t="s">
        <v>1</v>
      </c>
      <c r="C70" s="1" t="s">
        <v>2</v>
      </c>
      <c r="D70" s="1" t="s">
        <v>3</v>
      </c>
      <c r="E70" s="1" t="s">
        <v>4</v>
      </c>
      <c r="G70" s="1" t="s">
        <v>30</v>
      </c>
      <c r="H70" s="1" t="s">
        <v>1</v>
      </c>
      <c r="I70" s="1" t="s">
        <v>2</v>
      </c>
      <c r="J70" s="1" t="s">
        <v>3</v>
      </c>
      <c r="K70" s="1" t="s">
        <v>4</v>
      </c>
      <c r="M70" s="1" t="s">
        <v>31</v>
      </c>
      <c r="N70" s="1" t="s">
        <v>1</v>
      </c>
      <c r="O70" s="1" t="s">
        <v>2</v>
      </c>
      <c r="P70" s="1" t="s">
        <v>3</v>
      </c>
      <c r="Q70" s="1" t="s">
        <v>4</v>
      </c>
      <c r="R70" s="1"/>
      <c r="S70" s="4"/>
      <c r="U70" s="1" t="s">
        <v>29</v>
      </c>
      <c r="V70" s="1" t="s">
        <v>1</v>
      </c>
      <c r="W70" s="1" t="s">
        <v>2</v>
      </c>
      <c r="X70" s="1" t="s">
        <v>3</v>
      </c>
      <c r="Y70" s="1" t="s">
        <v>4</v>
      </c>
      <c r="AA70" s="1" t="s">
        <v>30</v>
      </c>
      <c r="AB70" s="1" t="s">
        <v>1</v>
      </c>
      <c r="AC70" s="1" t="s">
        <v>2</v>
      </c>
      <c r="AD70" s="1" t="s">
        <v>3</v>
      </c>
      <c r="AE70" s="1" t="s">
        <v>4</v>
      </c>
      <c r="AG70" s="1" t="s">
        <v>31</v>
      </c>
      <c r="AH70" s="1" t="s">
        <v>1</v>
      </c>
      <c r="AI70" s="1" t="s">
        <v>2</v>
      </c>
      <c r="AJ70" s="1" t="s">
        <v>3</v>
      </c>
      <c r="AK70" s="1" t="s">
        <v>4</v>
      </c>
    </row>
    <row r="71" spans="1:37" x14ac:dyDescent="0.25">
      <c r="A71" t="s">
        <v>5</v>
      </c>
      <c r="B71" s="3"/>
      <c r="C71" s="3">
        <f>-((C3-B$23)/B$23)*100</f>
        <v>66.19453791376479</v>
      </c>
      <c r="D71" s="3">
        <f t="shared" ref="D71:E78" si="116">-((D3-C$23)/C$23)*100</f>
        <v>48.991428843097516</v>
      </c>
      <c r="E71" s="3">
        <f t="shared" si="116"/>
        <v>-7.8155321334804366</v>
      </c>
      <c r="G71" t="s">
        <v>5</v>
      </c>
      <c r="H71" s="3"/>
      <c r="I71" s="3">
        <f>-((I3-H$23)/H$23)*100</f>
        <v>-21.18724715778918</v>
      </c>
      <c r="J71" s="3">
        <f>-((J3-I$23)/I$23)*100</f>
        <v>-10.301145457756236</v>
      </c>
      <c r="K71" s="3">
        <f>-((K3-J$23)/J$23)*100</f>
        <v>33.2823921613709</v>
      </c>
      <c r="M71" t="s">
        <v>5</v>
      </c>
      <c r="N71" s="3"/>
      <c r="O71" s="3">
        <f>-((O3-N$23)/N$23)*100</f>
        <v>-40.919909730001876</v>
      </c>
      <c r="P71" s="3">
        <f t="shared" ref="P71:Q78" si="117">-((P3-O$23)/O$23)*100</f>
        <v>1.5873602513165417</v>
      </c>
      <c r="Q71" s="3">
        <f t="shared" si="117"/>
        <v>87.381358549018259</v>
      </c>
      <c r="R71" s="3"/>
      <c r="S71" s="4"/>
      <c r="U71" t="s">
        <v>5</v>
      </c>
      <c r="V71" s="3"/>
      <c r="W71" s="3">
        <f>-((W3-V$23)/V$23)*100</f>
        <v>66.19453791376479</v>
      </c>
      <c r="X71" s="3">
        <f t="shared" ref="X71:X74" si="118">-((X3-W$23)/W$23)*100</f>
        <v>48.991428843097516</v>
      </c>
      <c r="Y71" s="3">
        <f t="shared" ref="Y71" si="119">-((Y3-X$23)/X$23)*100</f>
        <v>-7.8155321334804366</v>
      </c>
      <c r="AA71" t="s">
        <v>5</v>
      </c>
      <c r="AB71" s="3"/>
      <c r="AC71" s="3">
        <f>-((AC3-AB$23)/AB$23)*100</f>
        <v>-21.18724715778918</v>
      </c>
      <c r="AD71" s="3">
        <f>-((AD3-AC$23)/AC$23)*100</f>
        <v>-10.301145457756236</v>
      </c>
      <c r="AE71" s="3">
        <f>-((AE3-AD$23)/AD$23)*100</f>
        <v>33.2823921613709</v>
      </c>
      <c r="AG71" t="s">
        <v>5</v>
      </c>
      <c r="AH71" s="3"/>
      <c r="AI71" s="3">
        <f>-((AI3-AH$23)/AH$23)*100</f>
        <v>-40.919909730001876</v>
      </c>
      <c r="AJ71" s="3">
        <f t="shared" ref="AJ71:AJ78" si="120">-((AJ3-AI$23)/AI$23)*100</f>
        <v>1.5873602513165417</v>
      </c>
      <c r="AK71" s="3">
        <f t="shared" ref="AK71:AK78" si="121">-((AK3-AJ$23)/AJ$23)*100</f>
        <v>87.381358549018259</v>
      </c>
    </row>
    <row r="72" spans="1:37" x14ac:dyDescent="0.25">
      <c r="A72" t="s">
        <v>7</v>
      </c>
      <c r="B72" s="3"/>
      <c r="C72" s="3">
        <f t="shared" ref="C72:C78" si="122">-((C4-B$23)/B$23)*100</f>
        <v>21.715314187338521</v>
      </c>
      <c r="D72" s="3">
        <f t="shared" si="116"/>
        <v>38.559339300995617</v>
      </c>
      <c r="E72" s="3"/>
      <c r="G72" t="s">
        <v>7</v>
      </c>
      <c r="H72" s="3"/>
      <c r="I72" s="3">
        <f t="shared" ref="I72:K78" si="123">-((I4-H$23)/H$23)*100</f>
        <v>37.399695316569172</v>
      </c>
      <c r="J72" s="3">
        <f t="shared" si="123"/>
        <v>-8.0227610601325257</v>
      </c>
      <c r="K72" s="3">
        <f t="shared" si="123"/>
        <v>-17.373869883623833</v>
      </c>
      <c r="M72" t="s">
        <v>7</v>
      </c>
      <c r="N72" s="3"/>
      <c r="O72" s="3">
        <f t="shared" ref="O72:O78" si="124">-((O4-N$23)/N$23)*100</f>
        <v>16.458039062880623</v>
      </c>
      <c r="P72" s="3">
        <f t="shared" si="117"/>
        <v>-66.238566016816037</v>
      </c>
      <c r="Q72" s="3">
        <f t="shared" si="117"/>
        <v>-6.3756333871594446</v>
      </c>
      <c r="R72" s="3"/>
      <c r="S72" s="4"/>
      <c r="U72" t="s">
        <v>7</v>
      </c>
      <c r="V72" s="3"/>
      <c r="W72" s="3">
        <f t="shared" ref="W72:W78" si="125">-((W4-V$23)/V$23)*100</f>
        <v>21.715314187338521</v>
      </c>
      <c r="X72" s="3">
        <f t="shared" si="118"/>
        <v>38.559339300995617</v>
      </c>
      <c r="Y72" s="3"/>
      <c r="AA72" t="s">
        <v>7</v>
      </c>
      <c r="AB72" s="3"/>
      <c r="AC72" s="3">
        <f t="shared" ref="AC72:AE72" si="126">-((AC4-AB$23)/AB$23)*100</f>
        <v>37.399695316569172</v>
      </c>
      <c r="AD72" s="3">
        <f t="shared" si="126"/>
        <v>-8.0227610601325257</v>
      </c>
      <c r="AE72" s="3">
        <f t="shared" si="126"/>
        <v>-17.373869883623833</v>
      </c>
      <c r="AG72" t="s">
        <v>7</v>
      </c>
      <c r="AH72" s="3"/>
      <c r="AI72" s="3">
        <f t="shared" ref="AI72:AI78" si="127">-((AI4-AH$23)/AH$23)*100</f>
        <v>16.458039062880623</v>
      </c>
      <c r="AJ72" s="3">
        <f t="shared" si="120"/>
        <v>-66.238566016816037</v>
      </c>
      <c r="AK72" s="3">
        <f t="shared" si="121"/>
        <v>-6.3756333871594446</v>
      </c>
    </row>
    <row r="73" spans="1:37" x14ac:dyDescent="0.25">
      <c r="A73" t="s">
        <v>8</v>
      </c>
      <c r="B73" s="3"/>
      <c r="C73" s="3">
        <f t="shared" si="122"/>
        <v>-105.90030518820002</v>
      </c>
      <c r="D73" s="3">
        <f t="shared" si="116"/>
        <v>-1.2130020782679034</v>
      </c>
      <c r="E73" s="3">
        <f t="shared" si="116"/>
        <v>-24.20760245043942</v>
      </c>
      <c r="G73" t="s">
        <v>8</v>
      </c>
      <c r="H73" s="3"/>
      <c r="I73" s="3">
        <f t="shared" si="123"/>
        <v>1.7023892977010149</v>
      </c>
      <c r="J73" s="3">
        <f t="shared" si="123"/>
        <v>8.3952769091439148</v>
      </c>
      <c r="K73" s="3">
        <f t="shared" si="123"/>
        <v>50.890907000804773</v>
      </c>
      <c r="M73" t="s">
        <v>8</v>
      </c>
      <c r="N73" s="3"/>
      <c r="O73" s="3">
        <f t="shared" si="124"/>
        <v>-17.106814086016307</v>
      </c>
      <c r="P73" s="3">
        <f t="shared" si="117"/>
        <v>56.259077889679375</v>
      </c>
      <c r="Q73" s="3">
        <f t="shared" si="117"/>
        <v>10.329082911075417</v>
      </c>
      <c r="R73" s="3"/>
      <c r="S73" s="4"/>
      <c r="U73" t="s">
        <v>8</v>
      </c>
      <c r="V73" s="3"/>
      <c r="W73" s="3">
        <f t="shared" si="125"/>
        <v>-105.90030518820002</v>
      </c>
      <c r="X73" s="3">
        <f t="shared" si="118"/>
        <v>-1.2130020782679034</v>
      </c>
      <c r="Y73" s="3">
        <f t="shared" ref="Y73:Y74" si="128">-((Y5-X$23)/X$23)*100</f>
        <v>-24.20760245043942</v>
      </c>
      <c r="AA73" t="s">
        <v>8</v>
      </c>
      <c r="AB73" s="3"/>
      <c r="AC73" s="3">
        <f t="shared" ref="AC73:AE73" si="129">-((AC5-AB$23)/AB$23)*100</f>
        <v>1.7023892977010149</v>
      </c>
      <c r="AD73" s="3">
        <f t="shared" si="129"/>
        <v>8.3952769091439148</v>
      </c>
      <c r="AE73" s="3">
        <f t="shared" si="129"/>
        <v>50.890907000804773</v>
      </c>
      <c r="AG73" t="s">
        <v>8</v>
      </c>
      <c r="AH73" s="3"/>
      <c r="AI73" s="3">
        <f t="shared" si="127"/>
        <v>-17.106814086016307</v>
      </c>
      <c r="AJ73" s="3">
        <f t="shared" si="120"/>
        <v>56.259077889679375</v>
      </c>
      <c r="AK73" s="3">
        <f t="shared" si="121"/>
        <v>10.329082911075417</v>
      </c>
    </row>
    <row r="74" spans="1:37" x14ac:dyDescent="0.25">
      <c r="A74" t="s">
        <v>9</v>
      </c>
      <c r="B74" s="3"/>
      <c r="C74" s="3">
        <f t="shared" si="122"/>
        <v>-91.825129770195289</v>
      </c>
      <c r="D74" s="3">
        <f t="shared" si="116"/>
        <v>-39.605264945190754</v>
      </c>
      <c r="E74" s="3">
        <f t="shared" si="116"/>
        <v>81.484722803546276</v>
      </c>
      <c r="G74" t="s">
        <v>9</v>
      </c>
      <c r="H74" s="3"/>
      <c r="I74" s="3">
        <f t="shared" si="123"/>
        <v>7.3887690084473405</v>
      </c>
      <c r="J74" s="3">
        <f t="shared" si="123"/>
        <v>-31.918456622409348</v>
      </c>
      <c r="K74" s="3">
        <f t="shared" si="123"/>
        <v>25.63851152600375</v>
      </c>
      <c r="M74" t="s">
        <v>9</v>
      </c>
      <c r="N74" s="3"/>
      <c r="O74" s="3">
        <f t="shared" si="124"/>
        <v>-10.233305732794424</v>
      </c>
      <c r="P74" s="3">
        <f t="shared" si="117"/>
        <v>64.954633650559018</v>
      </c>
      <c r="Q74" s="3">
        <f t="shared" si="117"/>
        <v>4.9268789009310616</v>
      </c>
      <c r="R74" s="3"/>
      <c r="S74" s="4"/>
      <c r="U74" t="s">
        <v>9</v>
      </c>
      <c r="V74" s="3"/>
      <c r="W74" s="3">
        <f t="shared" si="125"/>
        <v>-91.825129770195289</v>
      </c>
      <c r="X74" s="3">
        <f t="shared" si="118"/>
        <v>-39.605264945190754</v>
      </c>
      <c r="Y74" s="3">
        <f t="shared" si="128"/>
        <v>81.484722803546276</v>
      </c>
      <c r="AA74" t="s">
        <v>9</v>
      </c>
      <c r="AB74" s="3"/>
      <c r="AC74" s="3">
        <f t="shared" ref="AC74:AE74" si="130">-((AC6-AB$23)/AB$23)*100</f>
        <v>7.3887690084473405</v>
      </c>
      <c r="AD74" s="3">
        <f t="shared" si="130"/>
        <v>-31.918456622409348</v>
      </c>
      <c r="AE74" s="3">
        <f t="shared" si="130"/>
        <v>25.63851152600375</v>
      </c>
      <c r="AG74" t="s">
        <v>9</v>
      </c>
      <c r="AH74" s="3"/>
      <c r="AI74" s="3">
        <f t="shared" si="127"/>
        <v>-10.233305732794424</v>
      </c>
      <c r="AJ74" s="3">
        <f t="shared" si="120"/>
        <v>64.954633650559018</v>
      </c>
      <c r="AK74" s="3">
        <f t="shared" si="121"/>
        <v>4.9268789009310616</v>
      </c>
    </row>
    <row r="75" spans="1:37" x14ac:dyDescent="0.25">
      <c r="A75" t="s">
        <v>10</v>
      </c>
      <c r="B75" s="3"/>
      <c r="C75" s="3">
        <f t="shared" si="122"/>
        <v>-5.7777082192138414</v>
      </c>
      <c r="D75" s="3"/>
      <c r="E75" s="3"/>
      <c r="G75" t="s">
        <v>10</v>
      </c>
      <c r="H75" s="3"/>
      <c r="I75" s="3">
        <f t="shared" si="123"/>
        <v>57.610623974434802</v>
      </c>
      <c r="J75" s="3">
        <f t="shared" si="123"/>
        <v>20.630201124382349</v>
      </c>
      <c r="K75" s="3">
        <f t="shared" si="123"/>
        <v>78.864372510701031</v>
      </c>
      <c r="M75" t="s">
        <v>10</v>
      </c>
      <c r="N75" s="3"/>
      <c r="O75" s="3">
        <f t="shared" si="124"/>
        <v>38.348838342019455</v>
      </c>
      <c r="P75" s="3">
        <f t="shared" si="117"/>
        <v>79.758662108472706</v>
      </c>
      <c r="Q75" s="3">
        <f t="shared" si="117"/>
        <v>50.671478974836646</v>
      </c>
      <c r="R75" s="3"/>
      <c r="S75" s="4"/>
      <c r="U75" t="s">
        <v>10</v>
      </c>
      <c r="V75" s="3"/>
      <c r="W75" s="3">
        <f t="shared" si="125"/>
        <v>-5.7777082192138414</v>
      </c>
      <c r="X75" s="3"/>
      <c r="Y75" s="3"/>
      <c r="AA75" t="s">
        <v>10</v>
      </c>
      <c r="AB75" s="3"/>
      <c r="AC75" s="3">
        <f t="shared" ref="AC75:AE75" si="131">-((AC7-AB$23)/AB$23)*100</f>
        <v>57.610623974434802</v>
      </c>
      <c r="AD75" s="3">
        <f t="shared" si="131"/>
        <v>20.630201124382349</v>
      </c>
      <c r="AE75" s="3">
        <f t="shared" si="131"/>
        <v>78.864372510701031</v>
      </c>
      <c r="AG75" t="s">
        <v>10</v>
      </c>
      <c r="AH75" s="3"/>
      <c r="AI75" s="3">
        <f t="shared" si="127"/>
        <v>38.348838342019455</v>
      </c>
      <c r="AJ75" s="3">
        <f t="shared" si="120"/>
        <v>79.758662108472706</v>
      </c>
      <c r="AK75" s="3">
        <f t="shared" si="121"/>
        <v>50.671478974836646</v>
      </c>
    </row>
    <row r="76" spans="1:37" x14ac:dyDescent="0.25">
      <c r="A76" t="s">
        <v>11</v>
      </c>
      <c r="B76" s="3"/>
      <c r="C76" s="3">
        <f t="shared" si="122"/>
        <v>39.41101285963952</v>
      </c>
      <c r="D76" s="3">
        <f t="shared" si="116"/>
        <v>-87.723277958135455</v>
      </c>
      <c r="E76" s="3"/>
      <c r="G76" t="s">
        <v>11</v>
      </c>
      <c r="H76" s="3"/>
      <c r="I76" s="3">
        <f t="shared" si="123"/>
        <v>85.575706783318367</v>
      </c>
      <c r="J76" s="3">
        <f t="shared" si="123"/>
        <v>56.236792490445033</v>
      </c>
      <c r="K76" s="3">
        <f t="shared" si="123"/>
        <v>57.663828837662301</v>
      </c>
      <c r="M76" t="s">
        <v>11</v>
      </c>
      <c r="N76" s="3"/>
      <c r="O76" s="3">
        <f t="shared" si="124"/>
        <v>31.41038754403921</v>
      </c>
      <c r="P76" s="3">
        <f t="shared" si="117"/>
        <v>26.580060981243648</v>
      </c>
      <c r="Q76" s="3">
        <f t="shared" si="117"/>
        <v>59.568512115981363</v>
      </c>
      <c r="R76" s="3"/>
      <c r="S76" s="4"/>
      <c r="U76" t="s">
        <v>11</v>
      </c>
      <c r="V76" s="3"/>
      <c r="W76" s="3">
        <f t="shared" si="125"/>
        <v>39.41101285963952</v>
      </c>
      <c r="X76" s="3">
        <f t="shared" ref="X76" si="132">-((X8-W$23)/W$23)*100</f>
        <v>-87.723277958135455</v>
      </c>
      <c r="Y76" s="3"/>
      <c r="AA76" t="s">
        <v>11</v>
      </c>
      <c r="AB76" s="3"/>
      <c r="AC76" s="3">
        <f t="shared" ref="AC76:AE76" si="133">-((AC8-AB$23)/AB$23)*100</f>
        <v>85.575706783318367</v>
      </c>
      <c r="AD76" s="3">
        <f t="shared" si="133"/>
        <v>56.236792490445033</v>
      </c>
      <c r="AE76" s="3">
        <f t="shared" si="133"/>
        <v>57.663828837662301</v>
      </c>
      <c r="AG76" t="s">
        <v>11</v>
      </c>
      <c r="AH76" s="3"/>
      <c r="AI76" s="3">
        <f t="shared" si="127"/>
        <v>31.41038754403921</v>
      </c>
      <c r="AJ76" s="3">
        <f t="shared" si="120"/>
        <v>26.580060981243648</v>
      </c>
      <c r="AK76" s="3">
        <f t="shared" si="121"/>
        <v>59.568512115981363</v>
      </c>
    </row>
    <row r="77" spans="1:37" x14ac:dyDescent="0.25">
      <c r="A77" t="s">
        <v>12</v>
      </c>
      <c r="B77" s="3"/>
      <c r="C77" s="3">
        <f t="shared" si="122"/>
        <v>53.08970446305139</v>
      </c>
      <c r="D77" s="3"/>
      <c r="E77" s="3">
        <f t="shared" si="116"/>
        <v>90.856512309272858</v>
      </c>
      <c r="G77" t="s">
        <v>12</v>
      </c>
      <c r="H77" s="3"/>
      <c r="I77" s="3">
        <f t="shared" si="123"/>
        <v>28.091577343771611</v>
      </c>
      <c r="J77" s="3">
        <f t="shared" si="123"/>
        <v>50.103381692042184</v>
      </c>
      <c r="K77" s="3">
        <f t="shared" si="123"/>
        <v>76.06756692790924</v>
      </c>
      <c r="M77" t="s">
        <v>12</v>
      </c>
      <c r="N77" s="3"/>
      <c r="O77" s="3">
        <f t="shared" si="124"/>
        <v>56.654814670498197</v>
      </c>
      <c r="P77" s="3">
        <f t="shared" si="117"/>
        <v>3.4441467245679931</v>
      </c>
      <c r="Q77" s="3">
        <f t="shared" si="117"/>
        <v>45.09109132417781</v>
      </c>
      <c r="R77" s="3"/>
      <c r="S77" s="4"/>
      <c r="U77" t="s">
        <v>12</v>
      </c>
      <c r="V77" s="3"/>
      <c r="W77" s="3">
        <f t="shared" si="125"/>
        <v>53.08970446305139</v>
      </c>
      <c r="X77" s="3"/>
      <c r="Y77" s="3">
        <f t="shared" ref="Y77:Y78" si="134">-((Y9-X$23)/X$23)*100</f>
        <v>90.856512309272858</v>
      </c>
      <c r="AA77" t="s">
        <v>12</v>
      </c>
      <c r="AB77" s="3"/>
      <c r="AC77" s="3">
        <f t="shared" ref="AC77:AE77" si="135">-((AC9-AB$23)/AB$23)*100</f>
        <v>28.091577343771611</v>
      </c>
      <c r="AD77" s="3">
        <f t="shared" si="135"/>
        <v>50.103381692042184</v>
      </c>
      <c r="AE77" s="3">
        <f t="shared" si="135"/>
        <v>76.06756692790924</v>
      </c>
      <c r="AG77" t="s">
        <v>12</v>
      </c>
      <c r="AH77" s="3"/>
      <c r="AI77" s="3">
        <f t="shared" si="127"/>
        <v>56.654814670498197</v>
      </c>
      <c r="AJ77" s="3">
        <f t="shared" si="120"/>
        <v>3.4441467245679931</v>
      </c>
      <c r="AK77" s="3">
        <f t="shared" si="121"/>
        <v>45.09109132417781</v>
      </c>
    </row>
    <row r="78" spans="1:37" x14ac:dyDescent="0.25">
      <c r="A78" t="s">
        <v>13</v>
      </c>
      <c r="B78" s="3"/>
      <c r="C78" s="3">
        <f t="shared" si="122"/>
        <v>54.967785690064453</v>
      </c>
      <c r="D78" s="3">
        <f t="shared" si="116"/>
        <v>69.812140887542611</v>
      </c>
      <c r="E78" s="3">
        <f t="shared" si="116"/>
        <v>88.938777063277655</v>
      </c>
      <c r="G78" t="s">
        <v>13</v>
      </c>
      <c r="H78" s="3"/>
      <c r="I78" s="3">
        <f t="shared" si="123"/>
        <v>53.381085346606817</v>
      </c>
      <c r="J78" s="3">
        <f t="shared" si="123"/>
        <v>41.008071176728592</v>
      </c>
      <c r="K78" s="3">
        <f t="shared" si="123"/>
        <v>29.820195695245655</v>
      </c>
      <c r="M78" t="s">
        <v>13</v>
      </c>
      <c r="N78" s="3"/>
      <c r="O78" s="3">
        <f t="shared" si="124"/>
        <v>22.515870309937821</v>
      </c>
      <c r="P78" s="3">
        <f t="shared" si="117"/>
        <v>49.568141919985223</v>
      </c>
      <c r="Q78" s="3">
        <f t="shared" si="117"/>
        <v>9.3085766063105027</v>
      </c>
      <c r="R78" s="3"/>
      <c r="S78" s="4"/>
      <c r="U78" t="s">
        <v>13</v>
      </c>
      <c r="V78" s="3"/>
      <c r="W78" s="3">
        <f t="shared" si="125"/>
        <v>54.967785690064453</v>
      </c>
      <c r="X78" s="3">
        <f t="shared" ref="X78" si="136">-((X10-W$23)/W$23)*100</f>
        <v>69.812140887542611</v>
      </c>
      <c r="Y78" s="3">
        <f t="shared" si="134"/>
        <v>88.938777063277655</v>
      </c>
      <c r="AA78" t="s">
        <v>13</v>
      </c>
      <c r="AB78" s="3"/>
      <c r="AC78" s="3">
        <f t="shared" ref="AC78:AE78" si="137">-((AC10-AB$23)/AB$23)*100</f>
        <v>53.381085346606817</v>
      </c>
      <c r="AD78" s="3">
        <f t="shared" si="137"/>
        <v>41.008071176728592</v>
      </c>
      <c r="AE78" s="3">
        <f t="shared" si="137"/>
        <v>29.820195695245655</v>
      </c>
      <c r="AG78" t="s">
        <v>13</v>
      </c>
      <c r="AH78" s="3"/>
      <c r="AI78" s="3">
        <f t="shared" si="127"/>
        <v>22.515870309937821</v>
      </c>
      <c r="AJ78" s="3">
        <f t="shared" si="120"/>
        <v>49.568141919985223</v>
      </c>
      <c r="AK78" s="3">
        <f t="shared" si="121"/>
        <v>9.3085766063105027</v>
      </c>
    </row>
    <row r="79" spans="1:37" x14ac:dyDescent="0.25">
      <c r="A79" t="s">
        <v>5</v>
      </c>
      <c r="C79" s="3"/>
      <c r="D79" s="3"/>
      <c r="E79" s="3"/>
      <c r="G79" t="s">
        <v>5</v>
      </c>
      <c r="I79" s="3"/>
      <c r="J79" s="3"/>
      <c r="K79" s="3"/>
      <c r="M79" t="s">
        <v>5</v>
      </c>
      <c r="O79" s="3"/>
      <c r="P79" s="3"/>
      <c r="Q79" s="3"/>
      <c r="S79" s="4"/>
      <c r="U79" t="s">
        <v>5</v>
      </c>
      <c r="W79" s="3"/>
      <c r="X79" s="3"/>
      <c r="Y79" s="3"/>
      <c r="AA79" t="s">
        <v>5</v>
      </c>
      <c r="AC79" s="3"/>
      <c r="AD79" s="3"/>
      <c r="AE79" s="3"/>
      <c r="AG79" t="s">
        <v>5</v>
      </c>
      <c r="AI79" s="3"/>
      <c r="AJ79" s="3"/>
      <c r="AK79" s="3"/>
    </row>
    <row r="80" spans="1:37" x14ac:dyDescent="0.25">
      <c r="A80" t="s">
        <v>7</v>
      </c>
      <c r="C80" s="3"/>
      <c r="D80" s="3"/>
      <c r="E80" s="3"/>
      <c r="G80" t="s">
        <v>7</v>
      </c>
      <c r="I80" s="3"/>
      <c r="J80" s="3"/>
      <c r="K80" s="3"/>
      <c r="M80" t="s">
        <v>7</v>
      </c>
      <c r="O80" s="3"/>
      <c r="P80" s="3"/>
      <c r="Q80" s="3"/>
      <c r="S80" s="4"/>
      <c r="U80" t="s">
        <v>7</v>
      </c>
      <c r="W80" s="3"/>
      <c r="X80" s="3"/>
      <c r="Y80" s="3"/>
      <c r="AA80" t="s">
        <v>7</v>
      </c>
      <c r="AC80" s="3"/>
      <c r="AD80" s="3"/>
      <c r="AE80" s="3"/>
      <c r="AG80" t="s">
        <v>7</v>
      </c>
      <c r="AI80" s="3"/>
      <c r="AJ80" s="3"/>
      <c r="AK80" s="3"/>
    </row>
    <row r="81" spans="1:37" x14ac:dyDescent="0.25">
      <c r="A81" t="s">
        <v>8</v>
      </c>
      <c r="C81" s="3"/>
      <c r="D81" s="3"/>
      <c r="E81" s="3"/>
      <c r="G81" t="s">
        <v>8</v>
      </c>
      <c r="I81" s="3"/>
      <c r="J81" s="3"/>
      <c r="K81" s="3"/>
      <c r="M81" t="s">
        <v>8</v>
      </c>
      <c r="O81" s="3"/>
      <c r="P81" s="3"/>
      <c r="Q81" s="3"/>
      <c r="S81" s="4"/>
      <c r="U81" t="s">
        <v>8</v>
      </c>
      <c r="W81" s="3"/>
      <c r="X81" s="3"/>
      <c r="Y81" s="3"/>
      <c r="AA81" t="s">
        <v>8</v>
      </c>
      <c r="AC81" s="3"/>
      <c r="AD81" s="3"/>
      <c r="AE81" s="3"/>
      <c r="AG81" t="s">
        <v>8</v>
      </c>
      <c r="AI81" s="3"/>
      <c r="AJ81" s="3"/>
      <c r="AK81" s="3"/>
    </row>
    <row r="82" spans="1:37" x14ac:dyDescent="0.25">
      <c r="A82" t="s">
        <v>9</v>
      </c>
      <c r="C82" s="3"/>
      <c r="D82" s="3"/>
      <c r="E82" s="3"/>
      <c r="G82" t="s">
        <v>9</v>
      </c>
      <c r="I82" s="3"/>
      <c r="J82" s="3"/>
      <c r="K82" s="3"/>
      <c r="M82" t="s">
        <v>9</v>
      </c>
      <c r="O82" s="3"/>
      <c r="P82" s="3"/>
      <c r="Q82" s="3"/>
      <c r="S82" s="4"/>
      <c r="U82" t="s">
        <v>9</v>
      </c>
      <c r="W82" s="3"/>
      <c r="X82" s="3"/>
      <c r="Y82" s="3"/>
      <c r="AA82" t="s">
        <v>9</v>
      </c>
      <c r="AC82" s="3"/>
      <c r="AD82" s="3"/>
      <c r="AE82" s="3"/>
      <c r="AG82" t="s">
        <v>9</v>
      </c>
      <c r="AI82" s="3"/>
      <c r="AJ82" s="3"/>
      <c r="AK82" s="3"/>
    </row>
    <row r="83" spans="1:37" x14ac:dyDescent="0.25">
      <c r="A83" t="s">
        <v>10</v>
      </c>
      <c r="C83" s="3"/>
      <c r="D83" s="3"/>
      <c r="E83" s="3"/>
      <c r="G83" t="s">
        <v>10</v>
      </c>
      <c r="I83" s="3"/>
      <c r="J83" s="3"/>
      <c r="K83" s="3"/>
      <c r="M83" t="s">
        <v>10</v>
      </c>
      <c r="O83" s="3"/>
      <c r="P83" s="3"/>
      <c r="Q83" s="3"/>
      <c r="S83" s="4"/>
      <c r="U83" t="s">
        <v>10</v>
      </c>
      <c r="W83" s="3"/>
      <c r="X83" s="3"/>
      <c r="Y83" s="3"/>
      <c r="AA83" t="s">
        <v>10</v>
      </c>
      <c r="AC83" s="3"/>
      <c r="AD83" s="3"/>
      <c r="AE83" s="3"/>
      <c r="AG83" t="s">
        <v>10</v>
      </c>
      <c r="AI83" s="3"/>
      <c r="AJ83" s="3"/>
      <c r="AK83" s="3"/>
    </row>
    <row r="84" spans="1:37" x14ac:dyDescent="0.25">
      <c r="A84" t="s">
        <v>11</v>
      </c>
      <c r="C84" s="3"/>
      <c r="D84" s="3"/>
      <c r="E84" s="3"/>
      <c r="G84" t="s">
        <v>11</v>
      </c>
      <c r="I84" s="3"/>
      <c r="J84" s="3"/>
      <c r="K84" s="3"/>
      <c r="M84" t="s">
        <v>11</v>
      </c>
      <c r="O84" s="3"/>
      <c r="P84" s="3"/>
      <c r="Q84" s="3"/>
      <c r="S84" s="4"/>
      <c r="U84" t="s">
        <v>11</v>
      </c>
      <c r="W84" s="3"/>
      <c r="X84" s="3"/>
      <c r="Y84" s="3"/>
      <c r="AA84" t="s">
        <v>11</v>
      </c>
      <c r="AC84" s="3"/>
      <c r="AD84" s="3"/>
      <c r="AE84" s="3"/>
      <c r="AG84" t="s">
        <v>11</v>
      </c>
      <c r="AI84" s="3"/>
      <c r="AJ84" s="3"/>
      <c r="AK84" s="3"/>
    </row>
    <row r="85" spans="1:37" x14ac:dyDescent="0.25">
      <c r="A85" t="s">
        <v>12</v>
      </c>
      <c r="C85" s="3"/>
      <c r="D85" s="3"/>
      <c r="E85" s="3"/>
      <c r="G85" t="s">
        <v>12</v>
      </c>
      <c r="I85" s="3"/>
      <c r="J85" s="3"/>
      <c r="K85" s="3"/>
      <c r="M85" t="s">
        <v>12</v>
      </c>
      <c r="O85" s="3"/>
      <c r="P85" s="3"/>
      <c r="Q85" s="3"/>
      <c r="S85" s="4"/>
      <c r="U85" t="s">
        <v>12</v>
      </c>
      <c r="W85" s="3"/>
      <c r="X85" s="3"/>
      <c r="Y85" s="3"/>
      <c r="AA85" t="s">
        <v>12</v>
      </c>
      <c r="AC85" s="3"/>
      <c r="AD85" s="3"/>
      <c r="AE85" s="3"/>
      <c r="AG85" t="s">
        <v>12</v>
      </c>
      <c r="AI85" s="3"/>
      <c r="AJ85" s="3"/>
      <c r="AK85" s="3"/>
    </row>
    <row r="86" spans="1:37" x14ac:dyDescent="0.25">
      <c r="A86" t="s">
        <v>13</v>
      </c>
      <c r="C86" s="3"/>
      <c r="D86" s="3"/>
      <c r="E86" s="3"/>
      <c r="G86" t="s">
        <v>13</v>
      </c>
      <c r="I86" s="3"/>
      <c r="J86" s="3"/>
      <c r="K86" s="3"/>
      <c r="M86" t="s">
        <v>13</v>
      </c>
      <c r="O86" s="3"/>
      <c r="P86" s="3"/>
      <c r="Q86" s="3"/>
      <c r="S86" s="4"/>
      <c r="U86" t="s">
        <v>13</v>
      </c>
      <c r="W86" s="3"/>
      <c r="X86" s="3"/>
      <c r="Y86" s="3"/>
      <c r="AA86" t="s">
        <v>13</v>
      </c>
      <c r="AC86" s="3"/>
      <c r="AD86" s="3"/>
      <c r="AE86" s="3"/>
      <c r="AG86" t="s">
        <v>13</v>
      </c>
      <c r="AI86" s="3"/>
      <c r="AJ86" s="3"/>
      <c r="AK86" s="3"/>
    </row>
    <row r="87" spans="1:37" x14ac:dyDescent="0.25">
      <c r="A87" s="2"/>
      <c r="B87" s="2"/>
      <c r="C87" s="2"/>
      <c r="D87" s="2"/>
      <c r="E87" s="2"/>
      <c r="G87" s="2"/>
      <c r="H87" s="2"/>
      <c r="I87" s="2"/>
      <c r="J87" s="2"/>
      <c r="K87" s="2"/>
      <c r="M87" s="2"/>
      <c r="N87" s="2"/>
      <c r="O87" s="2"/>
      <c r="P87" s="2"/>
      <c r="Q87" s="2"/>
      <c r="S87" s="4"/>
      <c r="U87" s="2"/>
      <c r="V87" s="2"/>
      <c r="W87" s="2"/>
      <c r="X87" s="2"/>
      <c r="Y87" s="2"/>
      <c r="AA87" s="2"/>
      <c r="AB87" s="2"/>
      <c r="AC87" s="2"/>
      <c r="AD87" s="2"/>
      <c r="AE87" s="2"/>
      <c r="AG87" s="2"/>
      <c r="AH87" s="2"/>
      <c r="AI87" s="2"/>
      <c r="AJ87" s="2"/>
      <c r="AK87" s="2"/>
    </row>
    <row r="88" spans="1:37" x14ac:dyDescent="0.25">
      <c r="A88" t="s">
        <v>14</v>
      </c>
      <c r="B88">
        <f>COUNT(B71:B86)</f>
        <v>0</v>
      </c>
      <c r="C88">
        <f t="shared" ref="C88:E88" si="138">COUNT(C71:C86)</f>
        <v>8</v>
      </c>
      <c r="D88">
        <f t="shared" si="138"/>
        <v>6</v>
      </c>
      <c r="E88">
        <f t="shared" si="138"/>
        <v>5</v>
      </c>
      <c r="G88" t="s">
        <v>14</v>
      </c>
      <c r="H88">
        <f>COUNT(H71:H86)</f>
        <v>0</v>
      </c>
      <c r="I88">
        <f t="shared" ref="I88:K88" si="139">COUNT(I71:I86)</f>
        <v>8</v>
      </c>
      <c r="J88">
        <f t="shared" si="139"/>
        <v>8</v>
      </c>
      <c r="K88">
        <f t="shared" si="139"/>
        <v>8</v>
      </c>
      <c r="M88" t="s">
        <v>14</v>
      </c>
      <c r="N88">
        <f>COUNT(N71:N86)</f>
        <v>0</v>
      </c>
      <c r="O88">
        <f t="shared" ref="O88:Q88" si="140">COUNT(O71:O86)</f>
        <v>8</v>
      </c>
      <c r="P88">
        <f t="shared" si="140"/>
        <v>8</v>
      </c>
      <c r="Q88">
        <f t="shared" si="140"/>
        <v>8</v>
      </c>
      <c r="S88" s="4"/>
      <c r="U88" t="s">
        <v>14</v>
      </c>
      <c r="V88">
        <f>COUNT(V71:V86)</f>
        <v>0</v>
      </c>
      <c r="W88">
        <f t="shared" ref="W88:Y88" si="141">COUNT(W71:W86)</f>
        <v>8</v>
      </c>
      <c r="X88">
        <f t="shared" si="141"/>
        <v>6</v>
      </c>
      <c r="Y88">
        <f t="shared" si="141"/>
        <v>5</v>
      </c>
      <c r="AA88" t="s">
        <v>14</v>
      </c>
      <c r="AB88">
        <f>COUNT(AB71:AB86)</f>
        <v>0</v>
      </c>
      <c r="AC88">
        <f t="shared" ref="AC88:AE88" si="142">COUNT(AC71:AC86)</f>
        <v>8</v>
      </c>
      <c r="AD88">
        <f t="shared" si="142"/>
        <v>8</v>
      </c>
      <c r="AE88">
        <f t="shared" si="142"/>
        <v>8</v>
      </c>
      <c r="AG88" t="s">
        <v>14</v>
      </c>
      <c r="AH88">
        <f>COUNT(AH71:AH86)</f>
        <v>0</v>
      </c>
      <c r="AI88">
        <f t="shared" ref="AI88:AK88" si="143">COUNT(AI71:AI86)</f>
        <v>8</v>
      </c>
      <c r="AJ88">
        <f t="shared" si="143"/>
        <v>8</v>
      </c>
      <c r="AK88">
        <f t="shared" si="143"/>
        <v>8</v>
      </c>
    </row>
    <row r="89" spans="1:37" x14ac:dyDescent="0.25">
      <c r="A89" t="s">
        <v>15</v>
      </c>
      <c r="B89">
        <f>MAX(B71:B86)</f>
        <v>0</v>
      </c>
      <c r="C89">
        <f t="shared" ref="C89:E89" si="144">MAX(C71:C86)</f>
        <v>66.19453791376479</v>
      </c>
      <c r="D89">
        <f t="shared" si="144"/>
        <v>69.812140887542611</v>
      </c>
      <c r="E89">
        <f t="shared" si="144"/>
        <v>90.856512309272858</v>
      </c>
      <c r="G89" t="s">
        <v>15</v>
      </c>
      <c r="H89">
        <f>MAX(H71:H86)</f>
        <v>0</v>
      </c>
      <c r="I89">
        <f t="shared" ref="I89:K89" si="145">MAX(I71:I86)</f>
        <v>85.575706783318367</v>
      </c>
      <c r="J89">
        <f t="shared" si="145"/>
        <v>56.236792490445033</v>
      </c>
      <c r="K89">
        <f t="shared" si="145"/>
        <v>78.864372510701031</v>
      </c>
      <c r="M89" t="s">
        <v>15</v>
      </c>
      <c r="N89">
        <f>MAX(N71:N86)</f>
        <v>0</v>
      </c>
      <c r="O89">
        <f t="shared" ref="O89:Q89" si="146">MAX(O71:O86)</f>
        <v>56.654814670498197</v>
      </c>
      <c r="P89">
        <f t="shared" si="146"/>
        <v>79.758662108472706</v>
      </c>
      <c r="Q89">
        <f t="shared" si="146"/>
        <v>87.381358549018259</v>
      </c>
      <c r="S89" s="4"/>
      <c r="U89" t="s">
        <v>15</v>
      </c>
      <c r="V89">
        <f>MAX(V71:V86)</f>
        <v>0</v>
      </c>
      <c r="W89">
        <f t="shared" ref="W89:Y89" si="147">MAX(W71:W86)</f>
        <v>66.19453791376479</v>
      </c>
      <c r="X89">
        <f t="shared" si="147"/>
        <v>69.812140887542611</v>
      </c>
      <c r="Y89">
        <f t="shared" si="147"/>
        <v>90.856512309272858</v>
      </c>
      <c r="AA89" t="s">
        <v>15</v>
      </c>
      <c r="AB89">
        <f>MAX(AB71:AB86)</f>
        <v>0</v>
      </c>
      <c r="AC89">
        <f t="shared" ref="AC89:AE89" si="148">MAX(AC71:AC86)</f>
        <v>85.575706783318367</v>
      </c>
      <c r="AD89">
        <f t="shared" si="148"/>
        <v>56.236792490445033</v>
      </c>
      <c r="AE89">
        <f t="shared" si="148"/>
        <v>78.864372510701031</v>
      </c>
      <c r="AG89" t="s">
        <v>15</v>
      </c>
      <c r="AH89">
        <f>MAX(AH71:AH86)</f>
        <v>0</v>
      </c>
      <c r="AI89">
        <f t="shared" ref="AI89:AK89" si="149">MAX(AI71:AI86)</f>
        <v>56.654814670498197</v>
      </c>
      <c r="AJ89">
        <f t="shared" si="149"/>
        <v>79.758662108472706</v>
      </c>
      <c r="AK89">
        <f t="shared" si="149"/>
        <v>87.381358549018259</v>
      </c>
    </row>
    <row r="90" spans="1:37" x14ac:dyDescent="0.25">
      <c r="A90" t="s">
        <v>16</v>
      </c>
      <c r="B90">
        <f>MIN(B71:B86)</f>
        <v>0</v>
      </c>
      <c r="C90">
        <f t="shared" ref="C90:E90" si="150">MIN(C71:C86)</f>
        <v>-105.90030518820002</v>
      </c>
      <c r="D90">
        <f t="shared" si="150"/>
        <v>-87.723277958135455</v>
      </c>
      <c r="E90">
        <f t="shared" si="150"/>
        <v>-24.20760245043942</v>
      </c>
      <c r="G90" t="s">
        <v>16</v>
      </c>
      <c r="H90">
        <f>MIN(H71:H86)</f>
        <v>0</v>
      </c>
      <c r="I90">
        <f t="shared" ref="I90:K90" si="151">MIN(I71:I86)</f>
        <v>-21.18724715778918</v>
      </c>
      <c r="J90">
        <f t="shared" si="151"/>
        <v>-31.918456622409348</v>
      </c>
      <c r="K90">
        <f t="shared" si="151"/>
        <v>-17.373869883623833</v>
      </c>
      <c r="M90" t="s">
        <v>16</v>
      </c>
      <c r="N90">
        <f>MIN(N71:N86)</f>
        <v>0</v>
      </c>
      <c r="O90">
        <f t="shared" ref="O90:Q90" si="152">MIN(O71:O86)</f>
        <v>-40.919909730001876</v>
      </c>
      <c r="P90">
        <f t="shared" si="152"/>
        <v>-66.238566016816037</v>
      </c>
      <c r="Q90">
        <f t="shared" si="152"/>
        <v>-6.3756333871594446</v>
      </c>
      <c r="S90" s="4"/>
      <c r="U90" t="s">
        <v>16</v>
      </c>
      <c r="V90">
        <f>MIN(V71:V86)</f>
        <v>0</v>
      </c>
      <c r="W90">
        <f t="shared" ref="W90:Y90" si="153">MIN(W71:W86)</f>
        <v>-105.90030518820002</v>
      </c>
      <c r="X90">
        <f t="shared" si="153"/>
        <v>-87.723277958135455</v>
      </c>
      <c r="Y90">
        <f t="shared" si="153"/>
        <v>-24.20760245043942</v>
      </c>
      <c r="AA90" t="s">
        <v>16</v>
      </c>
      <c r="AB90">
        <f>MIN(AB71:AB86)</f>
        <v>0</v>
      </c>
      <c r="AC90">
        <f t="shared" ref="AC90:AE90" si="154">MIN(AC71:AC86)</f>
        <v>-21.18724715778918</v>
      </c>
      <c r="AD90">
        <f t="shared" si="154"/>
        <v>-31.918456622409348</v>
      </c>
      <c r="AE90">
        <f t="shared" si="154"/>
        <v>-17.373869883623833</v>
      </c>
      <c r="AG90" t="s">
        <v>16</v>
      </c>
      <c r="AH90">
        <f>MIN(AH71:AH86)</f>
        <v>0</v>
      </c>
      <c r="AI90">
        <f t="shared" ref="AI90:AK90" si="155">MIN(AI71:AI86)</f>
        <v>-40.919909730001876</v>
      </c>
      <c r="AJ90">
        <f t="shared" si="155"/>
        <v>-66.238566016816037</v>
      </c>
      <c r="AK90">
        <f t="shared" si="155"/>
        <v>-6.3756333871594446</v>
      </c>
    </row>
    <row r="91" spans="1:37" x14ac:dyDescent="0.25">
      <c r="A91" t="s">
        <v>17</v>
      </c>
      <c r="B91" t="e">
        <f>AVERAGE(B71:B86)</f>
        <v>#DIV/0!</v>
      </c>
      <c r="C91">
        <f t="shared" ref="C91:E91" si="156">AVERAGE(C71:C86)</f>
        <v>3.9844014920311919</v>
      </c>
      <c r="D91">
        <f t="shared" si="156"/>
        <v>4.8035606750069375</v>
      </c>
      <c r="E91">
        <f t="shared" si="156"/>
        <v>45.851375518435383</v>
      </c>
      <c r="G91" t="s">
        <v>17</v>
      </c>
      <c r="H91" t="e">
        <f>AVERAGE(H71:H86)</f>
        <v>#DIV/0!</v>
      </c>
      <c r="I91">
        <f t="shared" ref="I91:K91" si="157">AVERAGE(I71:I86)</f>
        <v>31.245324989132495</v>
      </c>
      <c r="J91">
        <f t="shared" si="157"/>
        <v>15.766420031555496</v>
      </c>
      <c r="K91">
        <f t="shared" si="157"/>
        <v>41.856738097009234</v>
      </c>
      <c r="M91" t="s">
        <v>17</v>
      </c>
      <c r="N91" t="e">
        <f>AVERAGE(N71:N86)</f>
        <v>#DIV/0!</v>
      </c>
      <c r="O91">
        <f t="shared" ref="O91:Q91" si="158">AVERAGE(O71:O86)</f>
        <v>12.140990047570339</v>
      </c>
      <c r="P91">
        <f t="shared" si="158"/>
        <v>26.989189688626062</v>
      </c>
      <c r="Q91">
        <f t="shared" si="158"/>
        <v>32.612668249396449</v>
      </c>
      <c r="S91" s="4"/>
      <c r="U91" t="s">
        <v>17</v>
      </c>
      <c r="V91" t="e">
        <f>AVERAGE(V71:V86)</f>
        <v>#DIV/0!</v>
      </c>
      <c r="W91">
        <f t="shared" ref="W91:Y91" si="159">AVERAGE(W71:W86)</f>
        <v>3.9844014920311919</v>
      </c>
      <c r="X91">
        <f t="shared" si="159"/>
        <v>4.8035606750069375</v>
      </c>
      <c r="Y91">
        <f t="shared" si="159"/>
        <v>45.851375518435383</v>
      </c>
      <c r="AA91" t="s">
        <v>17</v>
      </c>
      <c r="AB91" t="e">
        <f>AVERAGE(AB71:AB86)</f>
        <v>#DIV/0!</v>
      </c>
      <c r="AC91">
        <f t="shared" ref="AC91:AE91" si="160">AVERAGE(AC71:AC86)</f>
        <v>31.245324989132495</v>
      </c>
      <c r="AD91">
        <f t="shared" si="160"/>
        <v>15.766420031555496</v>
      </c>
      <c r="AE91">
        <f t="shared" si="160"/>
        <v>41.856738097009234</v>
      </c>
      <c r="AG91" t="s">
        <v>17</v>
      </c>
      <c r="AH91" t="e">
        <f>AVERAGE(AH71:AH86)</f>
        <v>#DIV/0!</v>
      </c>
      <c r="AI91">
        <f t="shared" ref="AI91:AK91" si="161">AVERAGE(AI71:AI86)</f>
        <v>12.140990047570339</v>
      </c>
      <c r="AJ91">
        <f t="shared" si="161"/>
        <v>26.989189688626062</v>
      </c>
      <c r="AK91">
        <f t="shared" si="161"/>
        <v>32.612668249396449</v>
      </c>
    </row>
    <row r="92" spans="1:37" x14ac:dyDescent="0.25">
      <c r="A92" t="s">
        <v>18</v>
      </c>
      <c r="B92" t="e">
        <f>STDEV(B71:B86)</f>
        <v>#DIV/0!</v>
      </c>
      <c r="C92">
        <f t="shared" ref="C92:E92" si="162">STDEV(C71:C86)</f>
        <v>67.400276816592651</v>
      </c>
      <c r="D92">
        <f t="shared" si="162"/>
        <v>59.812531250415716</v>
      </c>
      <c r="E92">
        <f t="shared" si="162"/>
        <v>56.877322632030463</v>
      </c>
      <c r="G92" t="s">
        <v>18</v>
      </c>
      <c r="H92" t="e">
        <f>STDEV(H71:H86)</f>
        <v>#DIV/0!</v>
      </c>
      <c r="I92">
        <f t="shared" ref="I92:K92" si="163">STDEV(I71:I86)</f>
        <v>34.591139649787145</v>
      </c>
      <c r="J92">
        <f t="shared" si="163"/>
        <v>31.73843911473039</v>
      </c>
      <c r="K92">
        <f t="shared" si="163"/>
        <v>31.307506392779484</v>
      </c>
      <c r="M92" t="s">
        <v>18</v>
      </c>
      <c r="N92" t="e">
        <f>STDEV(N71:N86)</f>
        <v>#DIV/0!</v>
      </c>
      <c r="O92">
        <f t="shared" ref="O92:Q92" si="164">STDEV(O71:O86)</f>
        <v>32.375958608711656</v>
      </c>
      <c r="P92">
        <f t="shared" si="164"/>
        <v>47.031496135155578</v>
      </c>
      <c r="Q92">
        <f t="shared" si="164"/>
        <v>32.807420985712433</v>
      </c>
      <c r="S92" s="4"/>
      <c r="U92" t="s">
        <v>18</v>
      </c>
      <c r="V92" t="e">
        <f>STDEV(V71:V86)</f>
        <v>#DIV/0!</v>
      </c>
      <c r="W92">
        <f t="shared" ref="W92:Y92" si="165">STDEV(W71:W86)</f>
        <v>67.400276816592651</v>
      </c>
      <c r="X92">
        <f t="shared" si="165"/>
        <v>59.812531250415716</v>
      </c>
      <c r="Y92">
        <f t="shared" si="165"/>
        <v>56.877322632030463</v>
      </c>
      <c r="AA92" t="s">
        <v>18</v>
      </c>
      <c r="AB92" t="e">
        <f>STDEV(AB71:AB86)</f>
        <v>#DIV/0!</v>
      </c>
      <c r="AC92">
        <f t="shared" ref="AC92:AE92" si="166">STDEV(AC71:AC86)</f>
        <v>34.591139649787145</v>
      </c>
      <c r="AD92">
        <f t="shared" si="166"/>
        <v>31.73843911473039</v>
      </c>
      <c r="AE92">
        <f t="shared" si="166"/>
        <v>31.307506392779484</v>
      </c>
      <c r="AG92" t="s">
        <v>18</v>
      </c>
      <c r="AH92" t="e">
        <f>STDEV(AH71:AH86)</f>
        <v>#DIV/0!</v>
      </c>
      <c r="AI92">
        <f t="shared" ref="AI92:AK92" si="167">STDEV(AI71:AI86)</f>
        <v>32.375958608711656</v>
      </c>
      <c r="AJ92">
        <f t="shared" si="167"/>
        <v>47.031496135155578</v>
      </c>
      <c r="AK92">
        <f t="shared" si="167"/>
        <v>32.807420985712433</v>
      </c>
    </row>
    <row r="93" spans="1:37" x14ac:dyDescent="0.25">
      <c r="A93" t="s">
        <v>19</v>
      </c>
      <c r="B93" t="e">
        <f>B91+2*B92</f>
        <v>#DIV/0!</v>
      </c>
      <c r="C93">
        <f t="shared" ref="C93:E93" si="168">C91+2*C92</f>
        <v>138.7849551252165</v>
      </c>
      <c r="D93">
        <f t="shared" si="168"/>
        <v>124.42862317583837</v>
      </c>
      <c r="E93">
        <f t="shared" si="168"/>
        <v>159.6060207824963</v>
      </c>
      <c r="G93" t="s">
        <v>19</v>
      </c>
      <c r="H93" t="e">
        <f>H91+2*H92</f>
        <v>#DIV/0!</v>
      </c>
      <c r="I93">
        <f t="shared" ref="I93:K93" si="169">I91+2*I92</f>
        <v>100.42760428870679</v>
      </c>
      <c r="J93">
        <f t="shared" si="169"/>
        <v>79.243298261016278</v>
      </c>
      <c r="K93">
        <f t="shared" si="169"/>
        <v>104.4717508825682</v>
      </c>
      <c r="M93" t="s">
        <v>19</v>
      </c>
      <c r="N93" t="e">
        <f>N91+2*N92</f>
        <v>#DIV/0!</v>
      </c>
      <c r="O93">
        <f t="shared" ref="O93:Q93" si="170">O91+2*O92</f>
        <v>76.892907264993653</v>
      </c>
      <c r="P93">
        <f t="shared" si="170"/>
        <v>121.05218195893721</v>
      </c>
      <c r="Q93">
        <f t="shared" si="170"/>
        <v>98.227510220821316</v>
      </c>
      <c r="S93" s="4"/>
      <c r="U93" t="s">
        <v>19</v>
      </c>
      <c r="V93" t="e">
        <f>V91+2*V92</f>
        <v>#DIV/0!</v>
      </c>
      <c r="W93">
        <f t="shared" ref="W93:Y93" si="171">W91+2*W92</f>
        <v>138.7849551252165</v>
      </c>
      <c r="X93">
        <f t="shared" si="171"/>
        <v>124.42862317583837</v>
      </c>
      <c r="Y93">
        <f t="shared" si="171"/>
        <v>159.6060207824963</v>
      </c>
      <c r="AA93" t="s">
        <v>19</v>
      </c>
      <c r="AB93" t="e">
        <f>AB91+2*AB92</f>
        <v>#DIV/0!</v>
      </c>
      <c r="AC93">
        <f t="shared" ref="AC93:AE93" si="172">AC91+2*AC92</f>
        <v>100.42760428870679</v>
      </c>
      <c r="AD93">
        <f t="shared" si="172"/>
        <v>79.243298261016278</v>
      </c>
      <c r="AE93">
        <f t="shared" si="172"/>
        <v>104.4717508825682</v>
      </c>
      <c r="AG93" t="s">
        <v>19</v>
      </c>
      <c r="AH93" t="e">
        <f>AH91+2*AH92</f>
        <v>#DIV/0!</v>
      </c>
      <c r="AI93">
        <f t="shared" ref="AI93:AK93" si="173">AI91+2*AI92</f>
        <v>76.892907264993653</v>
      </c>
      <c r="AJ93">
        <f t="shared" si="173"/>
        <v>121.05218195893721</v>
      </c>
      <c r="AK93">
        <f t="shared" si="173"/>
        <v>98.227510220821316</v>
      </c>
    </row>
    <row r="94" spans="1:37" x14ac:dyDescent="0.25">
      <c r="A94" t="s">
        <v>20</v>
      </c>
      <c r="B94" t="e">
        <f>B91-2*B92</f>
        <v>#DIV/0!</v>
      </c>
      <c r="C94">
        <f t="shared" ref="C94:E94" si="174">C91-2*C92</f>
        <v>-130.81615214115411</v>
      </c>
      <c r="D94">
        <f t="shared" si="174"/>
        <v>-114.8215018258245</v>
      </c>
      <c r="E94">
        <f t="shared" si="174"/>
        <v>-67.903269745625551</v>
      </c>
      <c r="G94" t="s">
        <v>20</v>
      </c>
      <c r="H94" t="e">
        <f>H91-2*H92</f>
        <v>#DIV/0!</v>
      </c>
      <c r="I94">
        <f t="shared" ref="I94:K94" si="175">I91-2*I92</f>
        <v>-37.936954310441791</v>
      </c>
      <c r="J94">
        <f t="shared" si="175"/>
        <v>-47.710458197905282</v>
      </c>
      <c r="K94">
        <f t="shared" si="175"/>
        <v>-20.758274688549733</v>
      </c>
      <c r="M94" t="s">
        <v>20</v>
      </c>
      <c r="N94" t="e">
        <f>N91-2*N92</f>
        <v>#DIV/0!</v>
      </c>
      <c r="O94">
        <f t="shared" ref="O94:Q94" si="176">O91-2*O92</f>
        <v>-52.610927169852971</v>
      </c>
      <c r="P94">
        <f t="shared" si="176"/>
        <v>-67.073802581685101</v>
      </c>
      <c r="Q94">
        <f t="shared" si="176"/>
        <v>-33.002173722028417</v>
      </c>
      <c r="S94" s="4"/>
      <c r="U94" t="s">
        <v>20</v>
      </c>
      <c r="V94" t="e">
        <f>V91-2*V92</f>
        <v>#DIV/0!</v>
      </c>
      <c r="W94">
        <f t="shared" ref="W94:Y94" si="177">W91-2*W92</f>
        <v>-130.81615214115411</v>
      </c>
      <c r="X94">
        <f t="shared" si="177"/>
        <v>-114.8215018258245</v>
      </c>
      <c r="Y94">
        <f t="shared" si="177"/>
        <v>-67.903269745625551</v>
      </c>
      <c r="AA94" t="s">
        <v>20</v>
      </c>
      <c r="AB94" t="e">
        <f>AB91-2*AB92</f>
        <v>#DIV/0!</v>
      </c>
      <c r="AC94">
        <f t="shared" ref="AC94:AE94" si="178">AC91-2*AC92</f>
        <v>-37.936954310441791</v>
      </c>
      <c r="AD94">
        <f t="shared" si="178"/>
        <v>-47.710458197905282</v>
      </c>
      <c r="AE94">
        <f t="shared" si="178"/>
        <v>-20.758274688549733</v>
      </c>
      <c r="AG94" t="s">
        <v>20</v>
      </c>
      <c r="AH94" t="e">
        <f>AH91-2*AH92</f>
        <v>#DIV/0!</v>
      </c>
      <c r="AI94">
        <f t="shared" ref="AI94:AK94" si="179">AI91-2*AI92</f>
        <v>-52.610927169852971</v>
      </c>
      <c r="AJ94">
        <f t="shared" si="179"/>
        <v>-67.073802581685101</v>
      </c>
      <c r="AK94">
        <f t="shared" si="179"/>
        <v>-33.002173722028417</v>
      </c>
    </row>
    <row r="95" spans="1:37" x14ac:dyDescent="0.25">
      <c r="A95" t="s">
        <v>21</v>
      </c>
      <c r="B95" t="e">
        <f>VAR(B71:B86)</f>
        <v>#DIV/0!</v>
      </c>
      <c r="C95">
        <f t="shared" ref="C95:E95" si="180">VAR(C71:C86)</f>
        <v>4542.7973149533163</v>
      </c>
      <c r="D95">
        <f t="shared" si="180"/>
        <v>3577.5388945819568</v>
      </c>
      <c r="E95">
        <f t="shared" si="180"/>
        <v>3235.0298297880845</v>
      </c>
      <c r="G95" t="s">
        <v>21</v>
      </c>
      <c r="H95" t="e">
        <f>VAR(H71:H86)</f>
        <v>#DIV/0!</v>
      </c>
      <c r="I95">
        <f t="shared" ref="I95:K95" si="181">VAR(I71:I86)</f>
        <v>1196.5469422710764</v>
      </c>
      <c r="J95">
        <f t="shared" si="181"/>
        <v>1007.328517439448</v>
      </c>
      <c r="K95">
        <f t="shared" si="181"/>
        <v>980.15995653392827</v>
      </c>
      <c r="M95" t="s">
        <v>21</v>
      </c>
      <c r="N95" t="e">
        <f>VAR(N71:N86)</f>
        <v>#DIV/0!</v>
      </c>
      <c r="O95">
        <f t="shared" ref="O95:Q95" si="182">VAR(O71:O86)</f>
        <v>1048.2026958330105</v>
      </c>
      <c r="P95">
        <f t="shared" si="182"/>
        <v>2211.9616287111544</v>
      </c>
      <c r="Q95">
        <f t="shared" si="182"/>
        <v>1076.3268717337646</v>
      </c>
      <c r="S95" s="4"/>
      <c r="U95" t="s">
        <v>21</v>
      </c>
      <c r="V95" t="e">
        <f>VAR(V71:V86)</f>
        <v>#DIV/0!</v>
      </c>
      <c r="W95">
        <f t="shared" ref="W95:Y95" si="183">VAR(W71:W86)</f>
        <v>4542.7973149533163</v>
      </c>
      <c r="X95">
        <f t="shared" si="183"/>
        <v>3577.5388945819568</v>
      </c>
      <c r="Y95">
        <f t="shared" si="183"/>
        <v>3235.0298297880845</v>
      </c>
      <c r="AA95" t="s">
        <v>21</v>
      </c>
      <c r="AB95" t="e">
        <f>VAR(AB71:AB86)</f>
        <v>#DIV/0!</v>
      </c>
      <c r="AC95">
        <f t="shared" ref="AC95:AE95" si="184">VAR(AC71:AC86)</f>
        <v>1196.5469422710764</v>
      </c>
      <c r="AD95">
        <f t="shared" si="184"/>
        <v>1007.328517439448</v>
      </c>
      <c r="AE95">
        <f t="shared" si="184"/>
        <v>980.15995653392827</v>
      </c>
      <c r="AG95" t="s">
        <v>21</v>
      </c>
      <c r="AH95" t="e">
        <f>VAR(AH71:AH86)</f>
        <v>#DIV/0!</v>
      </c>
      <c r="AI95">
        <f t="shared" ref="AI95:AK95" si="185">VAR(AI71:AI86)</f>
        <v>1048.2026958330105</v>
      </c>
      <c r="AJ95">
        <f t="shared" si="185"/>
        <v>2211.9616287111544</v>
      </c>
      <c r="AK95">
        <f t="shared" si="185"/>
        <v>1076.3268717337646</v>
      </c>
    </row>
    <row r="96" spans="1:37" x14ac:dyDescent="0.25">
      <c r="S96" s="4"/>
    </row>
    <row r="97" spans="1:37" x14ac:dyDescent="0.25">
      <c r="A97" t="s">
        <v>22</v>
      </c>
      <c r="S97" s="4"/>
      <c r="U97" t="s">
        <v>22</v>
      </c>
    </row>
    <row r="98" spans="1:37" x14ac:dyDescent="0.25">
      <c r="A98" t="s">
        <v>1</v>
      </c>
      <c r="B98" t="e">
        <f>TTEST(B79:B86,H79:H86,2,3)</f>
        <v>#DIV/0!</v>
      </c>
      <c r="S98" s="4"/>
      <c r="U98" t="s">
        <v>1</v>
      </c>
      <c r="V98" t="e">
        <f>TTEST(V79:V86,AB79:AB86,2,3)</f>
        <v>#DIV/0!</v>
      </c>
    </row>
    <row r="99" spans="1:37" x14ac:dyDescent="0.25">
      <c r="A99" t="s">
        <v>2</v>
      </c>
      <c r="B99" t="e">
        <f>TTEST(C79:C86,I79:I86,2,3)</f>
        <v>#DIV/0!</v>
      </c>
      <c r="S99" s="4"/>
      <c r="U99" t="s">
        <v>2</v>
      </c>
      <c r="V99" t="e">
        <f>TTEST(W79:W86,AC79:AC86,2,3)</f>
        <v>#DIV/0!</v>
      </c>
    </row>
    <row r="100" spans="1:37" x14ac:dyDescent="0.25">
      <c r="A100" t="s">
        <v>3</v>
      </c>
      <c r="B100" t="e">
        <f>TTEST(D79:D86,J79:J86,2,3)</f>
        <v>#DIV/0!</v>
      </c>
      <c r="S100" s="4"/>
      <c r="U100" t="s">
        <v>3</v>
      </c>
      <c r="V100" t="e">
        <f>TTEST(X79:X86,AD79:AD86,2,3)</f>
        <v>#DIV/0!</v>
      </c>
    </row>
    <row r="101" spans="1:37" x14ac:dyDescent="0.25">
      <c r="A101" t="s">
        <v>4</v>
      </c>
      <c r="B101" t="e">
        <f>TTEST(E79:E86,K79:K86,2,3)</f>
        <v>#DIV/0!</v>
      </c>
      <c r="S101" s="4"/>
      <c r="U101" t="s">
        <v>4</v>
      </c>
      <c r="V101" t="e">
        <f>TTEST(Y79:Y86,AE79:AE86,2,3)</f>
        <v>#DIV/0!</v>
      </c>
    </row>
    <row r="102" spans="1:37" x14ac:dyDescent="0.25">
      <c r="S102" s="4"/>
    </row>
    <row r="103" spans="1:37" x14ac:dyDescent="0.25">
      <c r="A103" t="s">
        <v>27</v>
      </c>
      <c r="S103" s="4"/>
      <c r="U103" t="s">
        <v>27</v>
      </c>
    </row>
    <row r="104" spans="1:37" x14ac:dyDescent="0.25">
      <c r="A104" s="1" t="s">
        <v>29</v>
      </c>
      <c r="B104" s="1" t="s">
        <v>1</v>
      </c>
      <c r="C104" s="1" t="s">
        <v>2</v>
      </c>
      <c r="D104" s="1" t="s">
        <v>3</v>
      </c>
      <c r="E104" s="1" t="s">
        <v>4</v>
      </c>
      <c r="G104" s="1" t="s">
        <v>30</v>
      </c>
      <c r="H104" s="1" t="s">
        <v>1</v>
      </c>
      <c r="I104" s="1" t="s">
        <v>2</v>
      </c>
      <c r="J104" s="1" t="s">
        <v>3</v>
      </c>
      <c r="K104" s="1" t="s">
        <v>4</v>
      </c>
      <c r="M104" s="1" t="s">
        <v>31</v>
      </c>
      <c r="N104" s="1" t="s">
        <v>1</v>
      </c>
      <c r="O104" s="1" t="s">
        <v>2</v>
      </c>
      <c r="P104" s="1" t="s">
        <v>3</v>
      </c>
      <c r="Q104" s="1" t="s">
        <v>4</v>
      </c>
      <c r="R104" s="1"/>
      <c r="S104" s="4"/>
      <c r="U104" s="1" t="s">
        <v>29</v>
      </c>
      <c r="V104" s="1" t="s">
        <v>1</v>
      </c>
      <c r="W104" s="1" t="s">
        <v>2</v>
      </c>
      <c r="X104" s="1" t="s">
        <v>3</v>
      </c>
      <c r="Y104" s="1" t="s">
        <v>4</v>
      </c>
      <c r="AA104" s="1" t="s">
        <v>30</v>
      </c>
      <c r="AB104" s="1" t="s">
        <v>1</v>
      </c>
      <c r="AC104" s="1" t="s">
        <v>2</v>
      </c>
      <c r="AD104" s="1" t="s">
        <v>3</v>
      </c>
      <c r="AE104" s="1" t="s">
        <v>4</v>
      </c>
      <c r="AG104" s="1" t="s">
        <v>31</v>
      </c>
      <c r="AH104" s="1" t="s">
        <v>1</v>
      </c>
      <c r="AI104" s="1" t="s">
        <v>2</v>
      </c>
      <c r="AJ104" s="1" t="s">
        <v>3</v>
      </c>
      <c r="AK104" s="1" t="s">
        <v>4</v>
      </c>
    </row>
    <row r="105" spans="1:37" x14ac:dyDescent="0.25">
      <c r="A105" t="s">
        <v>5</v>
      </c>
      <c r="B105" s="3"/>
      <c r="C105" s="3">
        <f>(B$23-C3)/7</f>
        <v>5516.8804304940359</v>
      </c>
      <c r="D105" s="3">
        <f t="shared" ref="D105:E112" si="186">(C$23-D3)/7</f>
        <v>3920.4264981406036</v>
      </c>
      <c r="E105" s="3">
        <f t="shared" si="186"/>
        <v>-595.37756783621444</v>
      </c>
      <c r="G105" t="s">
        <v>5</v>
      </c>
      <c r="H105" s="3"/>
      <c r="I105" s="3">
        <f>(H$29-I3)/7</f>
        <v>-5880.6940964290034</v>
      </c>
      <c r="J105" s="3">
        <f t="shared" ref="J105:K112" si="187">(I$29-J3)/7</f>
        <v>-1965.8112185342595</v>
      </c>
      <c r="K105" s="3">
        <f t="shared" si="187"/>
        <v>5350.0283309391771</v>
      </c>
      <c r="M105" t="s">
        <v>5</v>
      </c>
      <c r="N105" s="3"/>
      <c r="O105" s="3">
        <f>(N$29-O3)/7</f>
        <v>-13698.068230492758</v>
      </c>
      <c r="P105" s="3">
        <f t="shared" ref="P105:Q112" si="188">(O$29-P3)/7</f>
        <v>466.85978344505668</v>
      </c>
      <c r="Q105" s="3">
        <f t="shared" si="188"/>
        <v>18763.632753917165</v>
      </c>
      <c r="R105" s="3"/>
      <c r="S105" s="4"/>
      <c r="U105" t="s">
        <v>5</v>
      </c>
      <c r="V105" s="3"/>
      <c r="W105" s="3">
        <f>(V$23-W3)/7</f>
        <v>5516.8804304940359</v>
      </c>
      <c r="X105" s="3">
        <f t="shared" ref="X105:X108" si="189">(W$23-X3)/7</f>
        <v>3920.4264981406036</v>
      </c>
      <c r="Y105" s="3">
        <f t="shared" ref="Y105" si="190">(X$23-Y3)/7</f>
        <v>-595.37756783621444</v>
      </c>
      <c r="AA105" t="s">
        <v>5</v>
      </c>
      <c r="AB105" s="3"/>
      <c r="AC105" s="3">
        <f>(AB$29-AC3)/7</f>
        <v>-5880.6940964290034</v>
      </c>
      <c r="AD105" s="3">
        <f t="shared" ref="AD105:AD112" si="191">(AC$29-AD3)/7</f>
        <v>-1965.8112185342595</v>
      </c>
      <c r="AE105" s="3">
        <f t="shared" ref="AE105:AE112" si="192">(AD$29-AE3)/7</f>
        <v>5350.0283309391771</v>
      </c>
      <c r="AG105" t="s">
        <v>5</v>
      </c>
      <c r="AH105" s="3"/>
      <c r="AI105" s="3">
        <f>(AH$29-AI3)/7</f>
        <v>-13698.068230492758</v>
      </c>
      <c r="AJ105" s="3">
        <f t="shared" ref="AJ105:AJ112" si="193">(AI$29-AJ3)/7</f>
        <v>466.85978344505668</v>
      </c>
      <c r="AK105" s="3">
        <f t="shared" ref="AK105:AK112" si="194">(AJ$29-AK3)/7</f>
        <v>18763.632753917165</v>
      </c>
    </row>
    <row r="106" spans="1:37" x14ac:dyDescent="0.25">
      <c r="A106" t="s">
        <v>7</v>
      </c>
      <c r="B106" s="3"/>
      <c r="C106" s="3">
        <f t="shared" ref="C106:C112" si="195">(B$23-C4)/7</f>
        <v>1809.828962598521</v>
      </c>
      <c r="D106" s="3">
        <f t="shared" si="186"/>
        <v>3085.6225081852463</v>
      </c>
      <c r="E106" s="3"/>
      <c r="G106" t="s">
        <v>7</v>
      </c>
      <c r="H106" s="3"/>
      <c r="I106" s="3">
        <f t="shared" ref="I106:I112" si="196">(H$29-I4)/7</f>
        <v>10380.591957909712</v>
      </c>
      <c r="J106" s="3">
        <f t="shared" si="187"/>
        <v>-1531.0174737658319</v>
      </c>
      <c r="K106" s="3">
        <f t="shared" si="187"/>
        <v>-2792.7889210836647</v>
      </c>
      <c r="M106" t="s">
        <v>7</v>
      </c>
      <c r="N106" s="3"/>
      <c r="O106" s="3">
        <f t="shared" ref="O106:O112" si="197">(N$29-O4)/7</f>
        <v>5509.3802383968141</v>
      </c>
      <c r="P106" s="3">
        <f t="shared" si="188"/>
        <v>-19481.477226529802</v>
      </c>
      <c r="Q106" s="3">
        <f t="shared" si="188"/>
        <v>-1369.0568038395056</v>
      </c>
      <c r="R106" s="3"/>
      <c r="S106" s="4"/>
      <c r="U106" t="s">
        <v>7</v>
      </c>
      <c r="V106" s="3"/>
      <c r="W106" s="3">
        <f t="shared" ref="W106:W112" si="198">(V$23-W4)/7</f>
        <v>1809.828962598521</v>
      </c>
      <c r="X106" s="3">
        <f t="shared" si="189"/>
        <v>3085.6225081852463</v>
      </c>
      <c r="Y106" s="3"/>
      <c r="AA106" t="s">
        <v>7</v>
      </c>
      <c r="AB106" s="3"/>
      <c r="AC106" s="3">
        <f t="shared" ref="AC106:AC112" si="199">(AB$29-AC4)/7</f>
        <v>10380.591957909712</v>
      </c>
      <c r="AD106" s="3">
        <f t="shared" si="191"/>
        <v>-1531.0174737658319</v>
      </c>
      <c r="AE106" s="3">
        <f t="shared" si="192"/>
        <v>-2792.7889210836647</v>
      </c>
      <c r="AG106" t="s">
        <v>7</v>
      </c>
      <c r="AH106" s="3"/>
      <c r="AI106" s="3">
        <f t="shared" ref="AI106:AI112" si="200">(AH$29-AI4)/7</f>
        <v>5509.3802383968141</v>
      </c>
      <c r="AJ106" s="3">
        <f t="shared" si="193"/>
        <v>-19481.477226529802</v>
      </c>
      <c r="AK106" s="3">
        <f t="shared" si="194"/>
        <v>-1369.0568038395056</v>
      </c>
    </row>
    <row r="107" spans="1:37" x14ac:dyDescent="0.25">
      <c r="A107" t="s">
        <v>8</v>
      </c>
      <c r="B107" s="3"/>
      <c r="C107" s="3">
        <f t="shared" si="195"/>
        <v>-8826.0956219264935</v>
      </c>
      <c r="D107" s="3">
        <f t="shared" si="186"/>
        <v>-97.067703519553888</v>
      </c>
      <c r="E107" s="3">
        <f t="shared" si="186"/>
        <v>-1844.1052028110996</v>
      </c>
      <c r="G107" t="s">
        <v>8</v>
      </c>
      <c r="H107" s="3"/>
      <c r="I107" s="3">
        <f t="shared" si="196"/>
        <v>472.5121021271417</v>
      </c>
      <c r="J107" s="3">
        <f t="shared" si="187"/>
        <v>1602.1062510354532</v>
      </c>
      <c r="K107" s="3">
        <f t="shared" si="187"/>
        <v>8180.5356093815635</v>
      </c>
      <c r="M107" t="s">
        <v>8</v>
      </c>
      <c r="N107" s="3"/>
      <c r="O107" s="3">
        <f t="shared" si="197"/>
        <v>-5726.5597139086167</v>
      </c>
      <c r="P107" s="3">
        <f t="shared" si="188"/>
        <v>16546.40205247061</v>
      </c>
      <c r="Q107" s="3">
        <f t="shared" si="188"/>
        <v>2217.9915904999193</v>
      </c>
      <c r="R107" s="3"/>
      <c r="S107" s="4"/>
      <c r="U107" t="s">
        <v>8</v>
      </c>
      <c r="V107" s="3"/>
      <c r="W107" s="3">
        <f t="shared" si="198"/>
        <v>-8826.0956219264935</v>
      </c>
      <c r="X107" s="3">
        <f t="shared" si="189"/>
        <v>-97.067703519553888</v>
      </c>
      <c r="Y107" s="3">
        <f t="shared" ref="Y107:Y108" si="201">(X$23-Y5)/7</f>
        <v>-1844.1052028110996</v>
      </c>
      <c r="AA107" t="s">
        <v>8</v>
      </c>
      <c r="AB107" s="3"/>
      <c r="AC107" s="3">
        <f t="shared" si="199"/>
        <v>472.5121021271417</v>
      </c>
      <c r="AD107" s="3">
        <f t="shared" si="191"/>
        <v>1602.1062510354532</v>
      </c>
      <c r="AE107" s="3">
        <f t="shared" si="192"/>
        <v>8180.5356093815635</v>
      </c>
      <c r="AG107" t="s">
        <v>8</v>
      </c>
      <c r="AH107" s="3"/>
      <c r="AI107" s="3">
        <f t="shared" si="200"/>
        <v>-5726.5597139086167</v>
      </c>
      <c r="AJ107" s="3">
        <f t="shared" si="193"/>
        <v>16546.40205247061</v>
      </c>
      <c r="AK107" s="3">
        <f t="shared" si="194"/>
        <v>2217.9915904999193</v>
      </c>
    </row>
    <row r="108" spans="1:37" x14ac:dyDescent="0.25">
      <c r="A108" t="s">
        <v>9</v>
      </c>
      <c r="B108" s="3"/>
      <c r="C108" s="3">
        <f t="shared" si="195"/>
        <v>-7653.0220985412079</v>
      </c>
      <c r="D108" s="3">
        <f t="shared" si="186"/>
        <v>-3169.3203040531685</v>
      </c>
      <c r="E108" s="3">
        <f t="shared" si="186"/>
        <v>6207.4053628104039</v>
      </c>
      <c r="G108" t="s">
        <v>9</v>
      </c>
      <c r="H108" s="3"/>
      <c r="I108" s="3">
        <f t="shared" si="196"/>
        <v>2050.8133956364263</v>
      </c>
      <c r="J108" s="3">
        <f t="shared" si="187"/>
        <v>-6091.1342688969744</v>
      </c>
      <c r="K108" s="3">
        <f t="shared" si="187"/>
        <v>4121.3012082236337</v>
      </c>
      <c r="M108" t="s">
        <v>9</v>
      </c>
      <c r="N108" s="3"/>
      <c r="O108" s="3">
        <f t="shared" si="197"/>
        <v>-3425.6312165941886</v>
      </c>
      <c r="P108" s="3">
        <f t="shared" si="188"/>
        <v>19103.858859198441</v>
      </c>
      <c r="Q108" s="3">
        <f t="shared" si="188"/>
        <v>1057.9618794577796</v>
      </c>
      <c r="R108" s="3"/>
      <c r="S108" s="4"/>
      <c r="U108" t="s">
        <v>9</v>
      </c>
      <c r="V108" s="3"/>
      <c r="W108" s="3">
        <f t="shared" si="198"/>
        <v>-7653.0220985412079</v>
      </c>
      <c r="X108" s="3">
        <f t="shared" si="189"/>
        <v>-3169.3203040531685</v>
      </c>
      <c r="Y108" s="3">
        <f t="shared" si="201"/>
        <v>6207.4053628104039</v>
      </c>
      <c r="AA108" t="s">
        <v>9</v>
      </c>
      <c r="AB108" s="3"/>
      <c r="AC108" s="3">
        <f t="shared" si="199"/>
        <v>2050.8133956364263</v>
      </c>
      <c r="AD108" s="3">
        <f t="shared" si="191"/>
        <v>-6091.1342688969744</v>
      </c>
      <c r="AE108" s="3">
        <f t="shared" si="192"/>
        <v>4121.3012082236337</v>
      </c>
      <c r="AG108" t="s">
        <v>9</v>
      </c>
      <c r="AH108" s="3"/>
      <c r="AI108" s="3">
        <f t="shared" si="200"/>
        <v>-3425.6312165941886</v>
      </c>
      <c r="AJ108" s="3">
        <f t="shared" si="193"/>
        <v>19103.858859198441</v>
      </c>
      <c r="AK108" s="3">
        <f t="shared" si="194"/>
        <v>1057.9618794577796</v>
      </c>
    </row>
    <row r="109" spans="1:37" x14ac:dyDescent="0.25">
      <c r="A109" t="s">
        <v>10</v>
      </c>
      <c r="B109" s="3"/>
      <c r="C109" s="3">
        <f t="shared" si="195"/>
        <v>-481.53407233102189</v>
      </c>
      <c r="D109" s="3"/>
      <c r="E109" s="3"/>
      <c r="G109" t="s">
        <v>10</v>
      </c>
      <c r="H109" s="3"/>
      <c r="I109" s="3">
        <f t="shared" si="196"/>
        <v>15990.300852911825</v>
      </c>
      <c r="J109" s="3">
        <f t="shared" si="187"/>
        <v>3936.9486604417389</v>
      </c>
      <c r="K109" s="3">
        <f t="shared" si="187"/>
        <v>12677.172517776506</v>
      </c>
      <c r="M109" t="s">
        <v>10</v>
      </c>
      <c r="N109" s="3"/>
      <c r="O109" s="3">
        <f t="shared" si="197"/>
        <v>12837.394012723671</v>
      </c>
      <c r="P109" s="3">
        <f t="shared" si="188"/>
        <v>23457.883419309343</v>
      </c>
      <c r="Q109" s="3">
        <f t="shared" si="188"/>
        <v>10880.822161265793</v>
      </c>
      <c r="R109" s="3"/>
      <c r="S109" s="4"/>
      <c r="U109" t="s">
        <v>10</v>
      </c>
      <c r="V109" s="3"/>
      <c r="W109" s="3">
        <f t="shared" si="198"/>
        <v>-481.53407233102189</v>
      </c>
      <c r="X109" s="3"/>
      <c r="Y109" s="3"/>
      <c r="AA109" t="s">
        <v>10</v>
      </c>
      <c r="AB109" s="3"/>
      <c r="AC109" s="3">
        <f t="shared" si="199"/>
        <v>15990.300852911825</v>
      </c>
      <c r="AD109" s="3">
        <f t="shared" si="191"/>
        <v>3936.9486604417389</v>
      </c>
      <c r="AE109" s="3">
        <f t="shared" si="192"/>
        <v>12677.172517776506</v>
      </c>
      <c r="AG109" t="s">
        <v>10</v>
      </c>
      <c r="AH109" s="3"/>
      <c r="AI109" s="3">
        <f t="shared" si="200"/>
        <v>12837.394012723671</v>
      </c>
      <c r="AJ109" s="3">
        <f t="shared" si="193"/>
        <v>23457.883419309343</v>
      </c>
      <c r="AK109" s="3">
        <f t="shared" si="194"/>
        <v>10880.822161265793</v>
      </c>
    </row>
    <row r="110" spans="1:37" x14ac:dyDescent="0.25">
      <c r="A110" t="s">
        <v>11</v>
      </c>
      <c r="B110" s="3"/>
      <c r="C110" s="3">
        <f t="shared" si="195"/>
        <v>3284.6493448529923</v>
      </c>
      <c r="D110" s="3">
        <f t="shared" si="186"/>
        <v>-7019.8537077222263</v>
      </c>
      <c r="E110" s="3"/>
      <c r="G110" t="s">
        <v>11</v>
      </c>
      <c r="H110" s="3"/>
      <c r="I110" s="3">
        <f t="shared" si="196"/>
        <v>23752.238784517569</v>
      </c>
      <c r="J110" s="3">
        <f t="shared" si="187"/>
        <v>10731.905303682595</v>
      </c>
      <c r="K110" s="3">
        <f t="shared" si="187"/>
        <v>9269.2591462816781</v>
      </c>
      <c r="M110" t="s">
        <v>11</v>
      </c>
      <c r="N110" s="3"/>
      <c r="O110" s="3">
        <f t="shared" si="197"/>
        <v>10514.725828170815</v>
      </c>
      <c r="P110" s="3">
        <f t="shared" si="188"/>
        <v>7817.4828324999125</v>
      </c>
      <c r="Q110" s="3">
        <f t="shared" si="188"/>
        <v>12791.305875778207</v>
      </c>
      <c r="R110" s="3"/>
      <c r="S110" s="4"/>
      <c r="U110" t="s">
        <v>11</v>
      </c>
      <c r="V110" s="3"/>
      <c r="W110" s="3">
        <f t="shared" si="198"/>
        <v>3284.6493448529923</v>
      </c>
      <c r="X110" s="3">
        <f t="shared" ref="X110" si="202">(W$23-X8)/7</f>
        <v>-7019.8537077222263</v>
      </c>
      <c r="Y110" s="3"/>
      <c r="AA110" t="s">
        <v>11</v>
      </c>
      <c r="AB110" s="3"/>
      <c r="AC110" s="3">
        <f t="shared" si="199"/>
        <v>23752.238784517569</v>
      </c>
      <c r="AD110" s="3">
        <f t="shared" si="191"/>
        <v>10731.905303682595</v>
      </c>
      <c r="AE110" s="3">
        <f t="shared" si="192"/>
        <v>9269.2591462816781</v>
      </c>
      <c r="AG110" t="s">
        <v>11</v>
      </c>
      <c r="AH110" s="3"/>
      <c r="AI110" s="3">
        <f t="shared" si="200"/>
        <v>10514.725828170815</v>
      </c>
      <c r="AJ110" s="3">
        <f t="shared" si="193"/>
        <v>7817.4828324999125</v>
      </c>
      <c r="AK110" s="3">
        <f t="shared" si="194"/>
        <v>12791.305875778207</v>
      </c>
    </row>
    <row r="111" spans="1:37" x14ac:dyDescent="0.25">
      <c r="A111" t="s">
        <v>12</v>
      </c>
      <c r="B111" s="3"/>
      <c r="C111" s="3">
        <f t="shared" si="195"/>
        <v>4424.6785436357786</v>
      </c>
      <c r="D111" s="3"/>
      <c r="E111" s="3">
        <f t="shared" si="186"/>
        <v>6921.336691720142</v>
      </c>
      <c r="G111" t="s">
        <v>12</v>
      </c>
      <c r="H111" s="3"/>
      <c r="I111" s="3">
        <f t="shared" si="196"/>
        <v>7797.0475264958559</v>
      </c>
      <c r="J111" s="3">
        <f t="shared" si="187"/>
        <v>9561.440542766024</v>
      </c>
      <c r="K111" s="3">
        <f t="shared" si="187"/>
        <v>12227.595785685964</v>
      </c>
      <c r="M111" t="s">
        <v>12</v>
      </c>
      <c r="N111" s="3"/>
      <c r="O111" s="3">
        <f t="shared" si="197"/>
        <v>18965.377051489668</v>
      </c>
      <c r="P111" s="3">
        <f t="shared" si="188"/>
        <v>1012.9607268741986</v>
      </c>
      <c r="Q111" s="3">
        <f t="shared" si="188"/>
        <v>9682.5306006840365</v>
      </c>
      <c r="R111" s="3"/>
      <c r="S111" s="4"/>
      <c r="U111" t="s">
        <v>12</v>
      </c>
      <c r="V111" s="3"/>
      <c r="W111" s="3">
        <f t="shared" si="198"/>
        <v>4424.6785436357786</v>
      </c>
      <c r="X111" s="3"/>
      <c r="Y111" s="3">
        <f t="shared" ref="Y111:Y112" si="203">(X$23-Y9)/7</f>
        <v>6921.336691720142</v>
      </c>
      <c r="AA111" t="s">
        <v>12</v>
      </c>
      <c r="AB111" s="3"/>
      <c r="AC111" s="3">
        <f t="shared" si="199"/>
        <v>7797.0475264958559</v>
      </c>
      <c r="AD111" s="3">
        <f t="shared" si="191"/>
        <v>9561.440542766024</v>
      </c>
      <c r="AE111" s="3">
        <f t="shared" si="192"/>
        <v>12227.595785685964</v>
      </c>
      <c r="AG111" t="s">
        <v>12</v>
      </c>
      <c r="AH111" s="3"/>
      <c r="AI111" s="3">
        <f t="shared" si="200"/>
        <v>18965.377051489668</v>
      </c>
      <c r="AJ111" s="3">
        <f t="shared" si="193"/>
        <v>1012.9607268741986</v>
      </c>
      <c r="AK111" s="3">
        <f t="shared" si="194"/>
        <v>9682.5306006840365</v>
      </c>
    </row>
    <row r="112" spans="1:37" x14ac:dyDescent="0.25">
      <c r="A112" t="s">
        <v>13</v>
      </c>
      <c r="B112" s="3"/>
      <c r="C112" s="3">
        <f t="shared" si="195"/>
        <v>4581.2042917524068</v>
      </c>
      <c r="D112" s="3">
        <f t="shared" si="186"/>
        <v>5586.5561280931743</v>
      </c>
      <c r="E112" s="3">
        <f t="shared" si="186"/>
        <v>6775.2459934779545</v>
      </c>
      <c r="G112" t="s">
        <v>13</v>
      </c>
      <c r="H112" s="3"/>
      <c r="I112" s="3">
        <f t="shared" si="196"/>
        <v>14816.357742037111</v>
      </c>
      <c r="J112" s="3">
        <f t="shared" si="187"/>
        <v>7825.7439136505109</v>
      </c>
      <c r="K112" s="3">
        <f t="shared" si="187"/>
        <v>4793.4923376356064</v>
      </c>
      <c r="M112" t="s">
        <v>13</v>
      </c>
      <c r="N112" s="3"/>
      <c r="O112" s="3">
        <f t="shared" si="197"/>
        <v>7537.2582639966695</v>
      </c>
      <c r="P112" s="3">
        <f t="shared" si="188"/>
        <v>14578.525563648771</v>
      </c>
      <c r="Q112" s="3">
        <f t="shared" si="188"/>
        <v>1998.8555431366342</v>
      </c>
      <c r="R112" s="3"/>
      <c r="S112" s="4"/>
      <c r="U112" t="s">
        <v>13</v>
      </c>
      <c r="V112" s="3"/>
      <c r="W112" s="3">
        <f t="shared" si="198"/>
        <v>4581.2042917524068</v>
      </c>
      <c r="X112" s="3">
        <f t="shared" ref="X112" si="204">(W$23-X10)/7</f>
        <v>5586.5561280931743</v>
      </c>
      <c r="Y112" s="3">
        <f t="shared" si="203"/>
        <v>6775.2459934779545</v>
      </c>
      <c r="AA112" t="s">
        <v>13</v>
      </c>
      <c r="AB112" s="3"/>
      <c r="AC112" s="3">
        <f t="shared" si="199"/>
        <v>14816.357742037111</v>
      </c>
      <c r="AD112" s="3">
        <f t="shared" si="191"/>
        <v>7825.7439136505109</v>
      </c>
      <c r="AE112" s="3">
        <f t="shared" si="192"/>
        <v>4793.4923376356064</v>
      </c>
      <c r="AG112" t="s">
        <v>13</v>
      </c>
      <c r="AH112" s="3"/>
      <c r="AI112" s="3">
        <f t="shared" si="200"/>
        <v>7537.2582639966695</v>
      </c>
      <c r="AJ112" s="3">
        <f t="shared" si="193"/>
        <v>14578.525563648771</v>
      </c>
      <c r="AK112" s="3">
        <f t="shared" si="194"/>
        <v>1998.8555431366342</v>
      </c>
    </row>
    <row r="113" spans="1:37" x14ac:dyDescent="0.25">
      <c r="A113" t="s">
        <v>5</v>
      </c>
      <c r="C113" s="3"/>
      <c r="D113" s="3"/>
      <c r="E113" s="3"/>
      <c r="G113" t="s">
        <v>5</v>
      </c>
      <c r="I113" s="3"/>
      <c r="J113" s="3"/>
      <c r="K113" s="3"/>
      <c r="M113" t="s">
        <v>5</v>
      </c>
      <c r="O113" s="3"/>
      <c r="P113" s="3"/>
      <c r="Q113" s="3"/>
      <c r="R113" s="3"/>
      <c r="S113" s="4"/>
      <c r="U113" t="s">
        <v>5</v>
      </c>
      <c r="W113" s="3"/>
      <c r="X113" s="3"/>
      <c r="Y113" s="3"/>
      <c r="AA113" t="s">
        <v>5</v>
      </c>
      <c r="AC113" s="3"/>
      <c r="AD113" s="3"/>
      <c r="AE113" s="3"/>
      <c r="AG113" t="s">
        <v>5</v>
      </c>
      <c r="AI113" s="3"/>
      <c r="AJ113" s="3"/>
      <c r="AK113" s="3"/>
    </row>
    <row r="114" spans="1:37" x14ac:dyDescent="0.25">
      <c r="A114" t="s">
        <v>7</v>
      </c>
      <c r="C114" s="3"/>
      <c r="D114" s="3"/>
      <c r="E114" s="3"/>
      <c r="G114" t="s">
        <v>7</v>
      </c>
      <c r="I114" s="3"/>
      <c r="J114" s="3"/>
      <c r="K114" s="3"/>
      <c r="M114" t="s">
        <v>7</v>
      </c>
      <c r="O114" s="3"/>
      <c r="P114" s="3"/>
      <c r="Q114" s="3"/>
      <c r="R114" s="3"/>
      <c r="S114" s="4"/>
      <c r="U114" t="s">
        <v>7</v>
      </c>
      <c r="W114" s="3"/>
      <c r="X114" s="3"/>
      <c r="Y114" s="3"/>
      <c r="AA114" t="s">
        <v>7</v>
      </c>
      <c r="AC114" s="3"/>
      <c r="AD114" s="3"/>
      <c r="AE114" s="3"/>
      <c r="AG114" t="s">
        <v>7</v>
      </c>
      <c r="AI114" s="3"/>
      <c r="AJ114" s="3"/>
      <c r="AK114" s="3"/>
    </row>
    <row r="115" spans="1:37" x14ac:dyDescent="0.25">
      <c r="A115" t="s">
        <v>8</v>
      </c>
      <c r="C115" s="3"/>
      <c r="D115" s="3"/>
      <c r="E115" s="3"/>
      <c r="G115" t="s">
        <v>8</v>
      </c>
      <c r="I115" s="3"/>
      <c r="J115" s="3"/>
      <c r="K115" s="3"/>
      <c r="M115" t="s">
        <v>8</v>
      </c>
      <c r="O115" s="3"/>
      <c r="P115" s="3"/>
      <c r="Q115" s="3"/>
      <c r="R115" s="3"/>
      <c r="S115" s="4"/>
      <c r="U115" t="s">
        <v>8</v>
      </c>
      <c r="W115" s="3"/>
      <c r="X115" s="3"/>
      <c r="Y115" s="3"/>
      <c r="AA115" t="s">
        <v>8</v>
      </c>
      <c r="AC115" s="3"/>
      <c r="AD115" s="3"/>
      <c r="AE115" s="3"/>
      <c r="AG115" t="s">
        <v>8</v>
      </c>
      <c r="AI115" s="3"/>
      <c r="AJ115" s="3"/>
      <c r="AK115" s="3"/>
    </row>
    <row r="116" spans="1:37" x14ac:dyDescent="0.25">
      <c r="A116" t="s">
        <v>9</v>
      </c>
      <c r="C116" s="3"/>
      <c r="D116" s="3"/>
      <c r="E116" s="3"/>
      <c r="G116" t="s">
        <v>9</v>
      </c>
      <c r="I116" s="3"/>
      <c r="J116" s="3"/>
      <c r="K116" s="3"/>
      <c r="M116" t="s">
        <v>9</v>
      </c>
      <c r="O116" s="3"/>
      <c r="P116" s="3"/>
      <c r="Q116" s="3"/>
      <c r="R116" s="3"/>
      <c r="S116" s="4"/>
      <c r="U116" t="s">
        <v>9</v>
      </c>
      <c r="W116" s="3"/>
      <c r="X116" s="3"/>
      <c r="Y116" s="3"/>
      <c r="AA116" t="s">
        <v>9</v>
      </c>
      <c r="AC116" s="3"/>
      <c r="AD116" s="3"/>
      <c r="AE116" s="3"/>
      <c r="AG116" t="s">
        <v>9</v>
      </c>
      <c r="AI116" s="3"/>
      <c r="AJ116" s="3"/>
      <c r="AK116" s="3"/>
    </row>
    <row r="117" spans="1:37" x14ac:dyDescent="0.25">
      <c r="A117" t="s">
        <v>10</v>
      </c>
      <c r="C117" s="3"/>
      <c r="D117" s="3"/>
      <c r="E117" s="3"/>
      <c r="G117" t="s">
        <v>10</v>
      </c>
      <c r="I117" s="3"/>
      <c r="J117" s="3"/>
      <c r="K117" s="3"/>
      <c r="M117" t="s">
        <v>10</v>
      </c>
      <c r="O117" s="3"/>
      <c r="P117" s="3"/>
      <c r="Q117" s="3"/>
      <c r="R117" s="3"/>
      <c r="S117" s="4"/>
      <c r="U117" t="s">
        <v>10</v>
      </c>
      <c r="W117" s="3"/>
      <c r="X117" s="3"/>
      <c r="Y117" s="3"/>
      <c r="AA117" t="s">
        <v>10</v>
      </c>
      <c r="AC117" s="3"/>
      <c r="AD117" s="3"/>
      <c r="AE117" s="3"/>
      <c r="AG117" t="s">
        <v>10</v>
      </c>
      <c r="AI117" s="3"/>
      <c r="AJ117" s="3"/>
      <c r="AK117" s="3"/>
    </row>
    <row r="118" spans="1:37" x14ac:dyDescent="0.25">
      <c r="A118" t="s">
        <v>11</v>
      </c>
      <c r="C118" s="3"/>
      <c r="D118" s="3"/>
      <c r="E118" s="3"/>
      <c r="G118" t="s">
        <v>11</v>
      </c>
      <c r="I118" s="3"/>
      <c r="J118" s="3"/>
      <c r="K118" s="3"/>
      <c r="M118" t="s">
        <v>11</v>
      </c>
      <c r="O118" s="3"/>
      <c r="P118" s="3"/>
      <c r="Q118" s="3"/>
      <c r="R118" s="3"/>
      <c r="S118" s="4"/>
      <c r="U118" t="s">
        <v>11</v>
      </c>
      <c r="W118" s="3"/>
      <c r="X118" s="3"/>
      <c r="Y118" s="3"/>
      <c r="AA118" t="s">
        <v>11</v>
      </c>
      <c r="AC118" s="3"/>
      <c r="AD118" s="3"/>
      <c r="AE118" s="3"/>
      <c r="AG118" t="s">
        <v>11</v>
      </c>
      <c r="AI118" s="3"/>
      <c r="AJ118" s="3"/>
      <c r="AK118" s="3"/>
    </row>
    <row r="119" spans="1:37" x14ac:dyDescent="0.25">
      <c r="A119" t="s">
        <v>12</v>
      </c>
      <c r="C119" s="3"/>
      <c r="D119" s="3"/>
      <c r="E119" s="3"/>
      <c r="G119" t="s">
        <v>12</v>
      </c>
      <c r="I119" s="3"/>
      <c r="J119" s="3"/>
      <c r="K119" s="3"/>
      <c r="M119" t="s">
        <v>12</v>
      </c>
      <c r="O119" s="3"/>
      <c r="P119" s="3"/>
      <c r="Q119" s="3"/>
      <c r="R119" s="3"/>
      <c r="S119" s="4"/>
      <c r="U119" t="s">
        <v>12</v>
      </c>
      <c r="W119" s="3"/>
      <c r="X119" s="3"/>
      <c r="Y119" s="3"/>
      <c r="AA119" t="s">
        <v>12</v>
      </c>
      <c r="AC119" s="3"/>
      <c r="AD119" s="3"/>
      <c r="AE119" s="3"/>
      <c r="AG119" t="s">
        <v>12</v>
      </c>
      <c r="AI119" s="3"/>
      <c r="AJ119" s="3"/>
      <c r="AK119" s="3"/>
    </row>
    <row r="120" spans="1:37" x14ac:dyDescent="0.25">
      <c r="A120" t="s">
        <v>13</v>
      </c>
      <c r="C120" s="3"/>
      <c r="D120" s="3"/>
      <c r="E120" s="3"/>
      <c r="G120" t="s">
        <v>13</v>
      </c>
      <c r="I120" s="3"/>
      <c r="J120" s="3"/>
      <c r="K120" s="3"/>
      <c r="M120" t="s">
        <v>13</v>
      </c>
      <c r="O120" s="3"/>
      <c r="P120" s="3"/>
      <c r="Q120" s="3"/>
      <c r="R120" s="3"/>
      <c r="S120" s="4"/>
      <c r="U120" t="s">
        <v>13</v>
      </c>
      <c r="W120" s="3"/>
      <c r="X120" s="3"/>
      <c r="Y120" s="3"/>
      <c r="AA120" t="s">
        <v>13</v>
      </c>
      <c r="AC120" s="3"/>
      <c r="AD120" s="3"/>
      <c r="AE120" s="3"/>
      <c r="AG120" t="s">
        <v>13</v>
      </c>
      <c r="AI120" s="3"/>
      <c r="AJ120" s="3"/>
      <c r="AK120" s="3"/>
    </row>
    <row r="121" spans="1:37" x14ac:dyDescent="0.25">
      <c r="A121" s="2"/>
      <c r="B121" s="2"/>
      <c r="C121" s="2"/>
      <c r="D121" s="2"/>
      <c r="E121" s="2"/>
      <c r="G121" s="2"/>
      <c r="H121" s="2"/>
      <c r="I121" s="2"/>
      <c r="J121" s="2"/>
      <c r="K121" s="2"/>
      <c r="M121" s="2"/>
      <c r="N121" s="2"/>
      <c r="O121" s="2"/>
      <c r="P121" s="2"/>
      <c r="Q121" s="2"/>
      <c r="R121" s="3"/>
      <c r="S121" s="4"/>
      <c r="U121" s="2"/>
      <c r="V121" s="2"/>
      <c r="W121" s="2"/>
      <c r="X121" s="2"/>
      <c r="Y121" s="2"/>
      <c r="AA121" s="2"/>
      <c r="AB121" s="2"/>
      <c r="AC121" s="2"/>
      <c r="AD121" s="2"/>
      <c r="AE121" s="2"/>
      <c r="AG121" s="2"/>
      <c r="AH121" s="2"/>
      <c r="AI121" s="2"/>
      <c r="AJ121" s="2"/>
      <c r="AK121" s="2"/>
    </row>
    <row r="122" spans="1:37" x14ac:dyDescent="0.25">
      <c r="A122" t="s">
        <v>14</v>
      </c>
      <c r="B122">
        <f>COUNT(B105:B120)</f>
        <v>0</v>
      </c>
      <c r="C122">
        <f t="shared" ref="C122:E122" si="205">COUNT(C105:C120)</f>
        <v>8</v>
      </c>
      <c r="D122">
        <f t="shared" si="205"/>
        <v>6</v>
      </c>
      <c r="E122">
        <f t="shared" si="205"/>
        <v>5</v>
      </c>
      <c r="G122" t="s">
        <v>14</v>
      </c>
      <c r="H122">
        <f>COUNT(H105:H120)</f>
        <v>0</v>
      </c>
      <c r="I122">
        <f t="shared" ref="I122:K122" si="206">COUNT(I105:I120)</f>
        <v>8</v>
      </c>
      <c r="J122">
        <f t="shared" si="206"/>
        <v>8</v>
      </c>
      <c r="K122">
        <f t="shared" si="206"/>
        <v>8</v>
      </c>
      <c r="M122" t="s">
        <v>14</v>
      </c>
      <c r="N122">
        <f>COUNT(N105:N120)</f>
        <v>0</v>
      </c>
      <c r="O122">
        <f t="shared" ref="O122:Q122" si="207">COUNT(O105:O120)</f>
        <v>8</v>
      </c>
      <c r="P122">
        <f t="shared" si="207"/>
        <v>8</v>
      </c>
      <c r="Q122">
        <f t="shared" si="207"/>
        <v>8</v>
      </c>
      <c r="R122" s="3"/>
      <c r="S122" s="4"/>
      <c r="U122" t="s">
        <v>14</v>
      </c>
      <c r="V122">
        <f>COUNT(V105:V120)</f>
        <v>0</v>
      </c>
      <c r="W122">
        <f t="shared" ref="W122:Y122" si="208">COUNT(W105:W120)</f>
        <v>8</v>
      </c>
      <c r="X122">
        <f t="shared" si="208"/>
        <v>6</v>
      </c>
      <c r="Y122">
        <f t="shared" si="208"/>
        <v>5</v>
      </c>
      <c r="AA122" t="s">
        <v>14</v>
      </c>
      <c r="AB122">
        <f>COUNT(AB105:AB120)</f>
        <v>0</v>
      </c>
      <c r="AC122">
        <f t="shared" ref="AC122:AE122" si="209">COUNT(AC105:AC120)</f>
        <v>8</v>
      </c>
      <c r="AD122">
        <f t="shared" si="209"/>
        <v>8</v>
      </c>
      <c r="AE122">
        <f t="shared" si="209"/>
        <v>8</v>
      </c>
      <c r="AG122" t="s">
        <v>14</v>
      </c>
      <c r="AH122">
        <f>COUNT(AH105:AH120)</f>
        <v>0</v>
      </c>
      <c r="AI122">
        <f t="shared" ref="AI122:AK122" si="210">COUNT(AI105:AI120)</f>
        <v>8</v>
      </c>
      <c r="AJ122">
        <f t="shared" si="210"/>
        <v>8</v>
      </c>
      <c r="AK122">
        <f t="shared" si="210"/>
        <v>8</v>
      </c>
    </row>
    <row r="123" spans="1:37" x14ac:dyDescent="0.25">
      <c r="A123" t="s">
        <v>15</v>
      </c>
      <c r="B123">
        <f>MAX(B105:B120)</f>
        <v>0</v>
      </c>
      <c r="C123">
        <f t="shared" ref="C123:E123" si="211">MAX(C105:C120)</f>
        <v>5516.8804304940359</v>
      </c>
      <c r="D123">
        <f t="shared" si="211"/>
        <v>5586.5561280931743</v>
      </c>
      <c r="E123">
        <f t="shared" si="211"/>
        <v>6921.336691720142</v>
      </c>
      <c r="G123" t="s">
        <v>15</v>
      </c>
      <c r="H123">
        <f>MAX(H105:H120)</f>
        <v>0</v>
      </c>
      <c r="I123">
        <f t="shared" ref="I123:K123" si="212">MAX(I105:I120)</f>
        <v>23752.238784517569</v>
      </c>
      <c r="J123">
        <f t="shared" si="212"/>
        <v>10731.905303682595</v>
      </c>
      <c r="K123">
        <f t="shared" si="212"/>
        <v>12677.172517776506</v>
      </c>
      <c r="M123" t="s">
        <v>15</v>
      </c>
      <c r="N123">
        <f>MAX(N105:N120)</f>
        <v>0</v>
      </c>
      <c r="O123">
        <f t="shared" ref="O123:Q123" si="213">MAX(O105:O120)</f>
        <v>18965.377051489668</v>
      </c>
      <c r="P123">
        <f t="shared" si="213"/>
        <v>23457.883419309343</v>
      </c>
      <c r="Q123">
        <f t="shared" si="213"/>
        <v>18763.632753917165</v>
      </c>
      <c r="R123" s="3"/>
      <c r="S123" s="4"/>
      <c r="U123" t="s">
        <v>15</v>
      </c>
      <c r="V123">
        <f>MAX(V105:V120)</f>
        <v>0</v>
      </c>
      <c r="W123">
        <f t="shared" ref="W123:Y123" si="214">MAX(W105:W120)</f>
        <v>5516.8804304940359</v>
      </c>
      <c r="X123">
        <f t="shared" si="214"/>
        <v>5586.5561280931743</v>
      </c>
      <c r="Y123">
        <f t="shared" si="214"/>
        <v>6921.336691720142</v>
      </c>
      <c r="AA123" t="s">
        <v>15</v>
      </c>
      <c r="AB123">
        <f>MAX(AB105:AB120)</f>
        <v>0</v>
      </c>
      <c r="AC123">
        <f t="shared" ref="AC123:AE123" si="215">MAX(AC105:AC120)</f>
        <v>23752.238784517569</v>
      </c>
      <c r="AD123">
        <f t="shared" si="215"/>
        <v>10731.905303682595</v>
      </c>
      <c r="AE123">
        <f t="shared" si="215"/>
        <v>12677.172517776506</v>
      </c>
      <c r="AG123" t="s">
        <v>15</v>
      </c>
      <c r="AH123">
        <f>MAX(AH105:AH120)</f>
        <v>0</v>
      </c>
      <c r="AI123">
        <f t="shared" ref="AI123:AK123" si="216">MAX(AI105:AI120)</f>
        <v>18965.377051489668</v>
      </c>
      <c r="AJ123">
        <f t="shared" si="216"/>
        <v>23457.883419309343</v>
      </c>
      <c r="AK123">
        <f t="shared" si="216"/>
        <v>18763.632753917165</v>
      </c>
    </row>
    <row r="124" spans="1:37" x14ac:dyDescent="0.25">
      <c r="A124" t="s">
        <v>16</v>
      </c>
      <c r="B124">
        <f>MIN(B105:B120)</f>
        <v>0</v>
      </c>
      <c r="C124">
        <f t="shared" ref="C124:E124" si="217">MIN(C105:C120)</f>
        <v>-8826.0956219264935</v>
      </c>
      <c r="D124">
        <f t="shared" si="217"/>
        <v>-7019.8537077222263</v>
      </c>
      <c r="E124">
        <f t="shared" si="217"/>
        <v>-1844.1052028110996</v>
      </c>
      <c r="G124" t="s">
        <v>16</v>
      </c>
      <c r="H124">
        <f>MIN(H105:H120)</f>
        <v>0</v>
      </c>
      <c r="I124">
        <f t="shared" ref="I124:K124" si="218">MIN(I105:I120)</f>
        <v>-5880.6940964290034</v>
      </c>
      <c r="J124">
        <f t="shared" si="218"/>
        <v>-6091.1342688969744</v>
      </c>
      <c r="K124">
        <f t="shared" si="218"/>
        <v>-2792.7889210836647</v>
      </c>
      <c r="M124" t="s">
        <v>16</v>
      </c>
      <c r="N124">
        <f>MIN(N105:N120)</f>
        <v>0</v>
      </c>
      <c r="O124">
        <f t="shared" ref="O124:Q124" si="219">MIN(O105:O120)</f>
        <v>-13698.068230492758</v>
      </c>
      <c r="P124">
        <f t="shared" si="219"/>
        <v>-19481.477226529802</v>
      </c>
      <c r="Q124">
        <f t="shared" si="219"/>
        <v>-1369.0568038395056</v>
      </c>
      <c r="S124" s="4"/>
      <c r="U124" t="s">
        <v>16</v>
      </c>
      <c r="V124">
        <f>MIN(V105:V120)</f>
        <v>0</v>
      </c>
      <c r="W124">
        <f t="shared" ref="W124:Y124" si="220">MIN(W105:W120)</f>
        <v>-8826.0956219264935</v>
      </c>
      <c r="X124">
        <f t="shared" si="220"/>
        <v>-7019.8537077222263</v>
      </c>
      <c r="Y124">
        <f t="shared" si="220"/>
        <v>-1844.1052028110996</v>
      </c>
      <c r="AA124" t="s">
        <v>16</v>
      </c>
      <c r="AB124">
        <f>MIN(AB105:AB120)</f>
        <v>0</v>
      </c>
      <c r="AC124">
        <f t="shared" ref="AC124:AE124" si="221">MIN(AC105:AC120)</f>
        <v>-5880.6940964290034</v>
      </c>
      <c r="AD124">
        <f t="shared" si="221"/>
        <v>-6091.1342688969744</v>
      </c>
      <c r="AE124">
        <f t="shared" si="221"/>
        <v>-2792.7889210836647</v>
      </c>
      <c r="AG124" t="s">
        <v>16</v>
      </c>
      <c r="AH124">
        <f>MIN(AH105:AH120)</f>
        <v>0</v>
      </c>
      <c r="AI124">
        <f t="shared" ref="AI124:AK124" si="222">MIN(AI105:AI120)</f>
        <v>-13698.068230492758</v>
      </c>
      <c r="AJ124">
        <f t="shared" si="222"/>
        <v>-19481.477226529802</v>
      </c>
      <c r="AK124">
        <f t="shared" si="222"/>
        <v>-1369.0568038395056</v>
      </c>
    </row>
    <row r="125" spans="1:37" x14ac:dyDescent="0.25">
      <c r="A125" t="s">
        <v>17</v>
      </c>
      <c r="B125" t="e">
        <f>AVERAGE(B105:B120)</f>
        <v>#DIV/0!</v>
      </c>
      <c r="C125">
        <f t="shared" ref="C125:E125" si="223">AVERAGE(C105:C120)</f>
        <v>332.07372256687631</v>
      </c>
      <c r="D125">
        <f t="shared" si="223"/>
        <v>384.39390318734581</v>
      </c>
      <c r="E125">
        <f t="shared" si="223"/>
        <v>3492.9010554722372</v>
      </c>
      <c r="G125" t="s">
        <v>17</v>
      </c>
      <c r="H125" t="e">
        <f>AVERAGE(H105:H120)</f>
        <v>#DIV/0!</v>
      </c>
      <c r="I125">
        <f t="shared" ref="I125:K125" si="224">AVERAGE(I105:I120)</f>
        <v>8672.3960331508297</v>
      </c>
      <c r="J125">
        <f t="shared" si="224"/>
        <v>3008.7727137974071</v>
      </c>
      <c r="K125">
        <f t="shared" si="224"/>
        <v>6728.3245018550579</v>
      </c>
      <c r="M125" t="s">
        <v>17</v>
      </c>
      <c r="N125" t="e">
        <f>AVERAGE(N105:N120)</f>
        <v>#DIV/0!</v>
      </c>
      <c r="O125">
        <f t="shared" ref="O125:Q125" si="225">AVERAGE(O105:O120)</f>
        <v>4064.2345292227592</v>
      </c>
      <c r="P125">
        <f t="shared" si="225"/>
        <v>7937.8120013645657</v>
      </c>
      <c r="Q125">
        <f t="shared" si="225"/>
        <v>7003.0054501125023</v>
      </c>
      <c r="S125" s="4"/>
      <c r="U125" t="s">
        <v>17</v>
      </c>
      <c r="V125" t="e">
        <f>AVERAGE(V105:V120)</f>
        <v>#DIV/0!</v>
      </c>
      <c r="W125">
        <f t="shared" ref="W125:Y125" si="226">AVERAGE(W105:W120)</f>
        <v>332.07372256687631</v>
      </c>
      <c r="X125">
        <f t="shared" si="226"/>
        <v>384.39390318734581</v>
      </c>
      <c r="Y125">
        <f t="shared" si="226"/>
        <v>3492.9010554722372</v>
      </c>
      <c r="AA125" t="s">
        <v>17</v>
      </c>
      <c r="AB125" t="e">
        <f>AVERAGE(AB105:AB120)</f>
        <v>#DIV/0!</v>
      </c>
      <c r="AC125">
        <f t="shared" ref="AC125:AE125" si="227">AVERAGE(AC105:AC120)</f>
        <v>8672.3960331508297</v>
      </c>
      <c r="AD125">
        <f t="shared" si="227"/>
        <v>3008.7727137974071</v>
      </c>
      <c r="AE125">
        <f t="shared" si="227"/>
        <v>6728.3245018550579</v>
      </c>
      <c r="AG125" t="s">
        <v>17</v>
      </c>
      <c r="AH125" t="e">
        <f>AVERAGE(AH105:AH120)</f>
        <v>#DIV/0!</v>
      </c>
      <c r="AI125">
        <f t="shared" ref="AI125:AK125" si="228">AVERAGE(AI105:AI120)</f>
        <v>4064.2345292227592</v>
      </c>
      <c r="AJ125">
        <f t="shared" si="228"/>
        <v>7937.8120013645657</v>
      </c>
      <c r="AK125">
        <f t="shared" si="228"/>
        <v>7003.0054501125023</v>
      </c>
    </row>
    <row r="126" spans="1:37" x14ac:dyDescent="0.25">
      <c r="A126" t="s">
        <v>18</v>
      </c>
      <c r="B126" t="e">
        <f>STDEV(B105:B120)</f>
        <v>#DIV/0!</v>
      </c>
      <c r="C126">
        <f t="shared" ref="C126:E126" si="229">STDEV(C105:C120)</f>
        <v>5617.3708571507213</v>
      </c>
      <c r="D126">
        <f t="shared" si="229"/>
        <v>4786.3603485822905</v>
      </c>
      <c r="E126">
        <f t="shared" si="229"/>
        <v>4332.8440642740698</v>
      </c>
      <c r="G126" t="s">
        <v>18</v>
      </c>
      <c r="H126" t="e">
        <f>STDEV(H105:H120)</f>
        <v>#DIV/0!</v>
      </c>
      <c r="I126">
        <f t="shared" ref="I126:K126" si="230">STDEV(I105:I120)</f>
        <v>9601.0543140556238</v>
      </c>
      <c r="J126">
        <f t="shared" si="230"/>
        <v>6056.7807654366952</v>
      </c>
      <c r="K126">
        <f t="shared" si="230"/>
        <v>5032.5723391611691</v>
      </c>
      <c r="M126" t="s">
        <v>18</v>
      </c>
      <c r="N126" t="e">
        <f>STDEV(N105:N120)</f>
        <v>#DIV/0!</v>
      </c>
      <c r="O126">
        <f t="shared" ref="O126:Q126" si="231">STDEV(O105:O120)</f>
        <v>10837.953773015844</v>
      </c>
      <c r="P126">
        <f t="shared" si="231"/>
        <v>13832.470658468825</v>
      </c>
      <c r="Q126">
        <f t="shared" si="231"/>
        <v>7044.8252258945868</v>
      </c>
      <c r="S126" s="4"/>
      <c r="U126" t="s">
        <v>18</v>
      </c>
      <c r="V126" t="e">
        <f>STDEV(V105:V120)</f>
        <v>#DIV/0!</v>
      </c>
      <c r="W126">
        <f t="shared" ref="W126:Y126" si="232">STDEV(W105:W120)</f>
        <v>5617.3708571507213</v>
      </c>
      <c r="X126">
        <f t="shared" si="232"/>
        <v>4786.3603485822905</v>
      </c>
      <c r="Y126">
        <f t="shared" si="232"/>
        <v>4332.8440642740698</v>
      </c>
      <c r="AA126" t="s">
        <v>18</v>
      </c>
      <c r="AB126" t="e">
        <f>STDEV(AB105:AB120)</f>
        <v>#DIV/0!</v>
      </c>
      <c r="AC126">
        <f t="shared" ref="AC126:AE126" si="233">STDEV(AC105:AC120)</f>
        <v>9601.0543140556238</v>
      </c>
      <c r="AD126">
        <f t="shared" si="233"/>
        <v>6056.7807654366952</v>
      </c>
      <c r="AE126">
        <f t="shared" si="233"/>
        <v>5032.5723391611691</v>
      </c>
      <c r="AG126" t="s">
        <v>18</v>
      </c>
      <c r="AH126" t="e">
        <f>STDEV(AH105:AH120)</f>
        <v>#DIV/0!</v>
      </c>
      <c r="AI126">
        <f t="shared" ref="AI126:AK126" si="234">STDEV(AI105:AI120)</f>
        <v>10837.953773015844</v>
      </c>
      <c r="AJ126">
        <f t="shared" si="234"/>
        <v>13832.470658468825</v>
      </c>
      <c r="AK126">
        <f t="shared" si="234"/>
        <v>7044.8252258945868</v>
      </c>
    </row>
    <row r="127" spans="1:37" x14ac:dyDescent="0.25">
      <c r="A127" t="s">
        <v>19</v>
      </c>
      <c r="B127" t="e">
        <f>B125+2*B126</f>
        <v>#DIV/0!</v>
      </c>
      <c r="C127">
        <f t="shared" ref="C127:E127" si="235">C125+2*C126</f>
        <v>11566.815436868319</v>
      </c>
      <c r="D127">
        <f t="shared" si="235"/>
        <v>9957.1146003519261</v>
      </c>
      <c r="E127">
        <f t="shared" si="235"/>
        <v>12158.589184020377</v>
      </c>
      <c r="G127" t="s">
        <v>19</v>
      </c>
      <c r="H127" t="e">
        <f>H125+2*H126</f>
        <v>#DIV/0!</v>
      </c>
      <c r="I127">
        <f t="shared" ref="I127:K127" si="236">I125+2*I126</f>
        <v>27874.504661262079</v>
      </c>
      <c r="J127">
        <f t="shared" si="236"/>
        <v>15122.334244670797</v>
      </c>
      <c r="K127">
        <f t="shared" si="236"/>
        <v>16793.469180177395</v>
      </c>
      <c r="M127" t="s">
        <v>19</v>
      </c>
      <c r="N127" t="e">
        <f>N125+2*N126</f>
        <v>#DIV/0!</v>
      </c>
      <c r="O127">
        <f t="shared" ref="O127:Q127" si="237">O125+2*O126</f>
        <v>25740.142075254447</v>
      </c>
      <c r="P127">
        <f t="shared" si="237"/>
        <v>35602.753318302217</v>
      </c>
      <c r="Q127">
        <f t="shared" si="237"/>
        <v>21092.655901901675</v>
      </c>
      <c r="S127" s="4"/>
      <c r="U127" t="s">
        <v>19</v>
      </c>
      <c r="V127" t="e">
        <f>V125+2*V126</f>
        <v>#DIV/0!</v>
      </c>
      <c r="W127">
        <f t="shared" ref="W127:Y127" si="238">W125+2*W126</f>
        <v>11566.815436868319</v>
      </c>
      <c r="X127">
        <f t="shared" si="238"/>
        <v>9957.1146003519261</v>
      </c>
      <c r="Y127">
        <f t="shared" si="238"/>
        <v>12158.589184020377</v>
      </c>
      <c r="AA127" t="s">
        <v>19</v>
      </c>
      <c r="AB127" t="e">
        <f>AB125+2*AB126</f>
        <v>#DIV/0!</v>
      </c>
      <c r="AC127">
        <f t="shared" ref="AC127:AE127" si="239">AC125+2*AC126</f>
        <v>27874.504661262079</v>
      </c>
      <c r="AD127">
        <f t="shared" si="239"/>
        <v>15122.334244670797</v>
      </c>
      <c r="AE127">
        <f t="shared" si="239"/>
        <v>16793.469180177395</v>
      </c>
      <c r="AG127" t="s">
        <v>19</v>
      </c>
      <c r="AH127" t="e">
        <f>AH125+2*AH126</f>
        <v>#DIV/0!</v>
      </c>
      <c r="AI127">
        <f t="shared" ref="AI127:AK127" si="240">AI125+2*AI126</f>
        <v>25740.142075254447</v>
      </c>
      <c r="AJ127">
        <f t="shared" si="240"/>
        <v>35602.753318302217</v>
      </c>
      <c r="AK127">
        <f t="shared" si="240"/>
        <v>21092.655901901675</v>
      </c>
    </row>
    <row r="128" spans="1:37" x14ac:dyDescent="0.25">
      <c r="A128" t="s">
        <v>20</v>
      </c>
      <c r="B128" t="e">
        <f>B125-2*B126</f>
        <v>#DIV/0!</v>
      </c>
      <c r="C128">
        <f t="shared" ref="C128:E128" si="241">C125-2*C126</f>
        <v>-10902.667991734566</v>
      </c>
      <c r="D128">
        <f t="shared" si="241"/>
        <v>-9188.3267939772359</v>
      </c>
      <c r="E128">
        <f t="shared" si="241"/>
        <v>-5172.7870730759023</v>
      </c>
      <c r="G128" t="s">
        <v>20</v>
      </c>
      <c r="H128" t="e">
        <f>H125-2*H126</f>
        <v>#DIV/0!</v>
      </c>
      <c r="I128">
        <f t="shared" ref="I128:K128" si="242">I125-2*I126</f>
        <v>-10529.712594960418</v>
      </c>
      <c r="J128">
        <f t="shared" si="242"/>
        <v>-9104.7888170759834</v>
      </c>
      <c r="K128">
        <f t="shared" si="242"/>
        <v>-3336.8201764672804</v>
      </c>
      <c r="M128" t="s">
        <v>20</v>
      </c>
      <c r="N128" t="e">
        <f>N125-2*N126</f>
        <v>#DIV/0!</v>
      </c>
      <c r="O128">
        <f t="shared" ref="O128:Q128" si="243">O125-2*O126</f>
        <v>-17611.673016808931</v>
      </c>
      <c r="P128">
        <f t="shared" si="243"/>
        <v>-19727.129315573082</v>
      </c>
      <c r="Q128">
        <f t="shared" si="243"/>
        <v>-7086.6450016766712</v>
      </c>
      <c r="S128" s="4"/>
      <c r="U128" t="s">
        <v>20</v>
      </c>
      <c r="V128" t="e">
        <f>V125-2*V126</f>
        <v>#DIV/0!</v>
      </c>
      <c r="W128">
        <f t="shared" ref="W128:Y128" si="244">W125-2*W126</f>
        <v>-10902.667991734566</v>
      </c>
      <c r="X128">
        <f t="shared" si="244"/>
        <v>-9188.3267939772359</v>
      </c>
      <c r="Y128">
        <f t="shared" si="244"/>
        <v>-5172.7870730759023</v>
      </c>
      <c r="AA128" t="s">
        <v>20</v>
      </c>
      <c r="AB128" t="e">
        <f>AB125-2*AB126</f>
        <v>#DIV/0!</v>
      </c>
      <c r="AC128">
        <f t="shared" ref="AC128:AE128" si="245">AC125-2*AC126</f>
        <v>-10529.712594960418</v>
      </c>
      <c r="AD128">
        <f t="shared" si="245"/>
        <v>-9104.7888170759834</v>
      </c>
      <c r="AE128">
        <f t="shared" si="245"/>
        <v>-3336.8201764672804</v>
      </c>
      <c r="AG128" t="s">
        <v>20</v>
      </c>
      <c r="AH128" t="e">
        <f>AH125-2*AH126</f>
        <v>#DIV/0!</v>
      </c>
      <c r="AI128">
        <f t="shared" ref="AI128:AK128" si="246">AI125-2*AI126</f>
        <v>-17611.673016808931</v>
      </c>
      <c r="AJ128">
        <f t="shared" si="246"/>
        <v>-19727.129315573082</v>
      </c>
      <c r="AK128">
        <f t="shared" si="246"/>
        <v>-7086.6450016766712</v>
      </c>
    </row>
    <row r="129" spans="1:37" x14ac:dyDescent="0.25">
      <c r="A129" t="s">
        <v>21</v>
      </c>
      <c r="B129" t="e">
        <f>VAR(B105:B120)</f>
        <v>#DIV/0!</v>
      </c>
      <c r="C129">
        <f t="shared" ref="C129:E129" si="247">VAR(C105:C120)</f>
        <v>31554855.346766233</v>
      </c>
      <c r="D129">
        <f t="shared" si="247"/>
        <v>22909245.386480782</v>
      </c>
      <c r="E129">
        <f t="shared" si="247"/>
        <v>18773537.685315035</v>
      </c>
      <c r="G129" t="s">
        <v>21</v>
      </c>
      <c r="H129" t="e">
        <f>VAR(H105:H120)</f>
        <v>#DIV/0!</v>
      </c>
      <c r="I129">
        <f t="shared" ref="I129:K129" si="248">VAR(I105:I120)</f>
        <v>92180243.941446096</v>
      </c>
      <c r="J129">
        <f t="shared" si="248"/>
        <v>36684593.240563914</v>
      </c>
      <c r="K129">
        <f t="shared" si="248"/>
        <v>25326784.348890126</v>
      </c>
      <c r="M129" t="s">
        <v>21</v>
      </c>
      <c r="N129" t="e">
        <f>VAR(N105:N120)</f>
        <v>#DIV/0!</v>
      </c>
      <c r="O129">
        <f t="shared" ref="O129:Q129" si="249">VAR(O105:O120)</f>
        <v>117461241.98602839</v>
      </c>
      <c r="P129">
        <f t="shared" si="249"/>
        <v>191337244.51740095</v>
      </c>
      <c r="Q129">
        <f t="shared" si="249"/>
        <v>49629562.463400714</v>
      </c>
      <c r="S129" s="4"/>
      <c r="U129" t="s">
        <v>21</v>
      </c>
      <c r="V129" t="e">
        <f>VAR(V105:V120)</f>
        <v>#DIV/0!</v>
      </c>
      <c r="W129">
        <f t="shared" ref="W129:Y129" si="250">VAR(W105:W120)</f>
        <v>31554855.346766233</v>
      </c>
      <c r="X129">
        <f t="shared" si="250"/>
        <v>22909245.386480782</v>
      </c>
      <c r="Y129">
        <f t="shared" si="250"/>
        <v>18773537.685315035</v>
      </c>
      <c r="AA129" t="s">
        <v>21</v>
      </c>
      <c r="AB129" t="e">
        <f>VAR(AB105:AB120)</f>
        <v>#DIV/0!</v>
      </c>
      <c r="AC129">
        <f t="shared" ref="AC129:AE129" si="251">VAR(AC105:AC120)</f>
        <v>92180243.941446096</v>
      </c>
      <c r="AD129">
        <f t="shared" si="251"/>
        <v>36684593.240563914</v>
      </c>
      <c r="AE129">
        <f t="shared" si="251"/>
        <v>25326784.348890126</v>
      </c>
      <c r="AG129" t="s">
        <v>21</v>
      </c>
      <c r="AH129" t="e">
        <f>VAR(AH105:AH120)</f>
        <v>#DIV/0!</v>
      </c>
      <c r="AI129">
        <f t="shared" ref="AI129:AK129" si="252">VAR(AI105:AI120)</f>
        <v>117461241.98602839</v>
      </c>
      <c r="AJ129">
        <f t="shared" si="252"/>
        <v>191337244.51740095</v>
      </c>
      <c r="AK129">
        <f t="shared" si="252"/>
        <v>49629562.463400714</v>
      </c>
    </row>
    <row r="130" spans="1:37" x14ac:dyDescent="0.25">
      <c r="S130" s="4"/>
    </row>
    <row r="131" spans="1:37" x14ac:dyDescent="0.25">
      <c r="A131" t="s">
        <v>22</v>
      </c>
      <c r="S131" s="4"/>
      <c r="U131" t="s">
        <v>22</v>
      </c>
    </row>
    <row r="132" spans="1:37" x14ac:dyDescent="0.25">
      <c r="A132" t="s">
        <v>1</v>
      </c>
      <c r="B132" t="e">
        <f>TTEST(B113:B120,H113:H120,2,3)</f>
        <v>#DIV/0!</v>
      </c>
      <c r="S132" s="4"/>
      <c r="U132" t="s">
        <v>1</v>
      </c>
      <c r="V132" t="e">
        <f>TTEST(V113:V120,AB113:AB120,2,3)</f>
        <v>#DIV/0!</v>
      </c>
    </row>
    <row r="133" spans="1:37" x14ac:dyDescent="0.25">
      <c r="A133" t="s">
        <v>2</v>
      </c>
      <c r="B133" t="e">
        <f>TTEST(C113:C120,I113:I120,2,3)</f>
        <v>#DIV/0!</v>
      </c>
      <c r="S133" s="4"/>
      <c r="U133" t="s">
        <v>2</v>
      </c>
      <c r="V133" t="e">
        <f>TTEST(W113:W120,AC113:AC120,2,3)</f>
        <v>#DIV/0!</v>
      </c>
    </row>
    <row r="134" spans="1:37" x14ac:dyDescent="0.25">
      <c r="A134" t="s">
        <v>3</v>
      </c>
      <c r="B134" t="e">
        <f>TTEST(D113:D120,J113:J120,2,3)</f>
        <v>#DIV/0!</v>
      </c>
      <c r="S134" s="4"/>
      <c r="U134" t="s">
        <v>3</v>
      </c>
      <c r="V134" t="e">
        <f>TTEST(X113:X120,AD113:AD120,2,3)</f>
        <v>#DIV/0!</v>
      </c>
    </row>
    <row r="135" spans="1:37" x14ac:dyDescent="0.25">
      <c r="A135" t="s">
        <v>4</v>
      </c>
      <c r="B135" t="e">
        <f>TTEST(E113:E120,K113:K120,2,3)</f>
        <v>#DIV/0!</v>
      </c>
      <c r="S135" s="4"/>
      <c r="U135" t="s">
        <v>4</v>
      </c>
      <c r="V135" t="e">
        <f>TTEST(Y113:Y120,AE113:AE120,2,3)</f>
        <v>#DIV/0!</v>
      </c>
    </row>
  </sheetData>
  <conditionalFormatting sqref="B30:B33">
    <cfRule type="cellIs" dxfId="324" priority="43" operator="lessThan">
      <formula>0.05</formula>
    </cfRule>
  </conditionalFormatting>
  <conditionalFormatting sqref="B64:B67">
    <cfRule type="cellIs" dxfId="323" priority="54" operator="lessThan">
      <formula>0.05</formula>
    </cfRule>
  </conditionalFormatting>
  <conditionalFormatting sqref="B98:B101">
    <cfRule type="cellIs" dxfId="322" priority="53" operator="lessThan">
      <formula>0.05</formula>
    </cfRule>
  </conditionalFormatting>
  <conditionalFormatting sqref="B105:B120">
    <cfRule type="cellIs" dxfId="321" priority="47" operator="greaterThan">
      <formula>B$93</formula>
    </cfRule>
    <cfRule type="cellIs" dxfId="320" priority="46" operator="lessThan">
      <formula>B$94</formula>
    </cfRule>
  </conditionalFormatting>
  <conditionalFormatting sqref="B132:B135">
    <cfRule type="cellIs" dxfId="319" priority="48" operator="lessThan">
      <formula>0.05</formula>
    </cfRule>
  </conditionalFormatting>
  <conditionalFormatting sqref="B3:E18">
    <cfRule type="cellIs" dxfId="318" priority="83" operator="greaterThan">
      <formula>B$25</formula>
    </cfRule>
    <cfRule type="cellIs" dxfId="317" priority="82" operator="lessThan">
      <formula>B$26</formula>
    </cfRule>
  </conditionalFormatting>
  <conditionalFormatting sqref="B37:E52">
    <cfRule type="cellIs" dxfId="316" priority="7" operator="lessThan">
      <formula>B$60</formula>
    </cfRule>
  </conditionalFormatting>
  <conditionalFormatting sqref="B45:E52">
    <cfRule type="cellIs" dxfId="315" priority="52" operator="greaterThan">
      <formula>B$59</formula>
    </cfRule>
  </conditionalFormatting>
  <conditionalFormatting sqref="B71:E86">
    <cfRule type="cellIs" dxfId="314" priority="50" operator="greaterThan">
      <formula>B$93</formula>
    </cfRule>
    <cfRule type="cellIs" dxfId="313" priority="49" operator="lessThan">
      <formula>B$94</formula>
    </cfRule>
  </conditionalFormatting>
  <conditionalFormatting sqref="C105:E120">
    <cfRule type="cellIs" dxfId="312" priority="45" operator="greaterThan">
      <formula>C$127</formula>
    </cfRule>
    <cfRule type="cellIs" dxfId="311" priority="44" operator="lessThan">
      <formula>C$128</formula>
    </cfRule>
  </conditionalFormatting>
  <conditionalFormatting sqref="H3:K18">
    <cfRule type="cellIs" dxfId="310" priority="80" operator="lessThan">
      <formula>H$26</formula>
    </cfRule>
    <cfRule type="cellIs" dxfId="309" priority="81" operator="greaterThan">
      <formula>H$25</formula>
    </cfRule>
  </conditionalFormatting>
  <conditionalFormatting sqref="H37:K52">
    <cfRule type="cellIs" dxfId="308" priority="8" operator="greaterThan">
      <formula>H$59</formula>
    </cfRule>
  </conditionalFormatting>
  <conditionalFormatting sqref="H45:K52">
    <cfRule type="cellIs" dxfId="307" priority="74" operator="lessThan">
      <formula>H$60</formula>
    </cfRule>
  </conditionalFormatting>
  <conditionalFormatting sqref="I71:K86">
    <cfRule type="cellIs" dxfId="306" priority="57" operator="lessThan">
      <formula>I$94</formula>
    </cfRule>
    <cfRule type="cellIs" dxfId="305" priority="58" operator="greaterThan">
      <formula>I$93</formula>
    </cfRule>
  </conditionalFormatting>
  <conditionalFormatting sqref="I105:K120">
    <cfRule type="cellIs" dxfId="304" priority="67" operator="lessThan">
      <formula>I$128</formula>
    </cfRule>
    <cfRule type="cellIs" dxfId="303" priority="68" operator="greaterThan">
      <formula>I$127</formula>
    </cfRule>
  </conditionalFormatting>
  <conditionalFormatting sqref="N3:R18 R19">
    <cfRule type="cellIs" dxfId="302" priority="64" operator="greaterThan">
      <formula>N$25</formula>
    </cfRule>
    <cfRule type="cellIs" dxfId="301" priority="63" operator="lessThan">
      <formula>N$26</formula>
    </cfRule>
  </conditionalFormatting>
  <conditionalFormatting sqref="N37:R52">
    <cfRule type="cellIs" dxfId="300" priority="5" operator="lessThan">
      <formula>N$60</formula>
    </cfRule>
    <cfRule type="cellIs" dxfId="299" priority="6" operator="greaterThan">
      <formula>N$59</formula>
    </cfRule>
  </conditionalFormatting>
  <conditionalFormatting sqref="O71:Q86">
    <cfRule type="cellIs" dxfId="298" priority="55" operator="lessThan">
      <formula>O$94</formula>
    </cfRule>
    <cfRule type="cellIs" dxfId="297" priority="56" operator="greaterThan">
      <formula>O$93</formula>
    </cfRule>
  </conditionalFormatting>
  <conditionalFormatting sqref="O105:R120 R121:R123">
    <cfRule type="cellIs" dxfId="296" priority="60" operator="greaterThan">
      <formula>O$127</formula>
    </cfRule>
    <cfRule type="cellIs" dxfId="295" priority="59" operator="lessThan">
      <formula>O$128</formula>
    </cfRule>
  </conditionalFormatting>
  <conditionalFormatting sqref="R53">
    <cfRule type="cellIs" dxfId="294" priority="62" operator="greaterThan">
      <formula>R$59</formula>
    </cfRule>
    <cfRule type="cellIs" dxfId="293" priority="61" operator="lessThan">
      <formula>R$60</formula>
    </cfRule>
  </conditionalFormatting>
  <conditionalFormatting sqref="R71:R88">
    <cfRule type="cellIs" dxfId="292" priority="65" operator="lessThan">
      <formula>R$94</formula>
    </cfRule>
    <cfRule type="cellIs" dxfId="291" priority="66" operator="greaterThan">
      <formula>R$93</formula>
    </cfRule>
  </conditionalFormatting>
  <conditionalFormatting sqref="V30:V33">
    <cfRule type="cellIs" dxfId="290" priority="13" operator="lessThan">
      <formula>0.05</formula>
    </cfRule>
  </conditionalFormatting>
  <conditionalFormatting sqref="V64:V67">
    <cfRule type="cellIs" dxfId="289" priority="24" operator="lessThan">
      <formula>0.05</formula>
    </cfRule>
  </conditionalFormatting>
  <conditionalFormatting sqref="V98:V101">
    <cfRule type="cellIs" dxfId="288" priority="23" operator="lessThan">
      <formula>0.05</formula>
    </cfRule>
  </conditionalFormatting>
  <conditionalFormatting sqref="V105:V120">
    <cfRule type="cellIs" dxfId="287" priority="17" operator="greaterThan">
      <formula>V$93</formula>
    </cfRule>
    <cfRule type="cellIs" dxfId="286" priority="16" operator="lessThan">
      <formula>V$94</formula>
    </cfRule>
  </conditionalFormatting>
  <conditionalFormatting sqref="V132:V135">
    <cfRule type="cellIs" dxfId="285" priority="18" operator="lessThan">
      <formula>0.05</formula>
    </cfRule>
  </conditionalFormatting>
  <conditionalFormatting sqref="V3:Y18">
    <cfRule type="cellIs" dxfId="284" priority="41" operator="lessThan">
      <formula>V$26</formula>
    </cfRule>
    <cfRule type="cellIs" dxfId="283" priority="42" operator="greaterThan">
      <formula>V$25</formula>
    </cfRule>
  </conditionalFormatting>
  <conditionalFormatting sqref="V37:Y52">
    <cfRule type="cellIs" dxfId="282" priority="3" operator="lessThan">
      <formula>V$60</formula>
    </cfRule>
  </conditionalFormatting>
  <conditionalFormatting sqref="V45:Y52">
    <cfRule type="cellIs" dxfId="281" priority="22" operator="greaterThan">
      <formula>V$59</formula>
    </cfRule>
  </conditionalFormatting>
  <conditionalFormatting sqref="V71:Y86">
    <cfRule type="cellIs" dxfId="280" priority="20" operator="greaterThan">
      <formula>V$93</formula>
    </cfRule>
    <cfRule type="cellIs" dxfId="279" priority="19" operator="lessThan">
      <formula>V$94</formula>
    </cfRule>
  </conditionalFormatting>
  <conditionalFormatting sqref="W105:Y120">
    <cfRule type="cellIs" dxfId="278" priority="15" operator="greaterThan">
      <formula>W$127</formula>
    </cfRule>
    <cfRule type="cellIs" dxfId="277" priority="14" operator="lessThan">
      <formula>W$128</formula>
    </cfRule>
  </conditionalFormatting>
  <conditionalFormatting sqref="AB3:AE18">
    <cfRule type="cellIs" dxfId="276" priority="40" operator="greaterThan">
      <formula>AB$25</formula>
    </cfRule>
    <cfRule type="cellIs" dxfId="275" priority="39" operator="lessThan">
      <formula>AB$26</formula>
    </cfRule>
  </conditionalFormatting>
  <conditionalFormatting sqref="AB37:AE52">
    <cfRule type="cellIs" dxfId="274" priority="4" operator="greaterThan">
      <formula>AB$59</formula>
    </cfRule>
  </conditionalFormatting>
  <conditionalFormatting sqref="AB45:AE52">
    <cfRule type="cellIs" dxfId="273" priority="37" operator="lessThan">
      <formula>AB$60</formula>
    </cfRule>
  </conditionalFormatting>
  <conditionalFormatting sqref="AC71:AE86">
    <cfRule type="cellIs" dxfId="272" priority="28" operator="greaterThan">
      <formula>AC$93</formula>
    </cfRule>
    <cfRule type="cellIs" dxfId="271" priority="27" operator="lessThan">
      <formula>AC$94</formula>
    </cfRule>
  </conditionalFormatting>
  <conditionalFormatting sqref="AC105:AE120">
    <cfRule type="cellIs" dxfId="270" priority="36" operator="greaterThan">
      <formula>AC$127</formula>
    </cfRule>
    <cfRule type="cellIs" dxfId="269" priority="35" operator="lessThan">
      <formula>AC$128</formula>
    </cfRule>
  </conditionalFormatting>
  <conditionalFormatting sqref="AH3:AK18">
    <cfRule type="cellIs" dxfId="268" priority="34" operator="greaterThan">
      <formula>AH$25</formula>
    </cfRule>
    <cfRule type="cellIs" dxfId="267" priority="33" operator="lessThan">
      <formula>AH$26</formula>
    </cfRule>
  </conditionalFormatting>
  <conditionalFormatting sqref="AH37:AK52">
    <cfRule type="cellIs" dxfId="266" priority="1" operator="lessThan">
      <formula>AH$60</formula>
    </cfRule>
    <cfRule type="cellIs" dxfId="265" priority="2" operator="greaterThan">
      <formula>AH$59</formula>
    </cfRule>
  </conditionalFormatting>
  <conditionalFormatting sqref="AI71:AK86">
    <cfRule type="cellIs" dxfId="264" priority="26" operator="greaterThan">
      <formula>AI$93</formula>
    </cfRule>
    <cfRule type="cellIs" dxfId="263" priority="25" operator="lessThan">
      <formula>AI$94</formula>
    </cfRule>
  </conditionalFormatting>
  <conditionalFormatting sqref="AI105:AK120">
    <cfRule type="cellIs" dxfId="262" priority="29" operator="lessThan">
      <formula>AI$128</formula>
    </cfRule>
    <cfRule type="cellIs" dxfId="261" priority="30" operator="greaterThan">
      <formula>AI$127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FE10-0FEA-497C-8C2D-00C15794C576}">
  <sheetPr codeName="Sheet6"/>
  <dimension ref="A1:AK135"/>
  <sheetViews>
    <sheetView topLeftCell="Q1" workbookViewId="0">
      <selection activeCell="N7" sqref="N7:N10"/>
    </sheetView>
  </sheetViews>
  <sheetFormatPr defaultRowHeight="15" x14ac:dyDescent="0.25"/>
  <sheetData>
    <row r="1" spans="1:37" x14ac:dyDescent="0.25">
      <c r="A1" t="s">
        <v>0</v>
      </c>
      <c r="S1" s="4"/>
      <c r="U1" t="s">
        <v>0</v>
      </c>
    </row>
    <row r="2" spans="1:3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  <c r="R2" s="1"/>
      <c r="S2" s="4"/>
      <c r="U2" s="1" t="s">
        <v>29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30</v>
      </c>
      <c r="AB2" s="1" t="s">
        <v>1</v>
      </c>
      <c r="AC2" s="1" t="s">
        <v>2</v>
      </c>
      <c r="AD2" s="1" t="s">
        <v>3</v>
      </c>
      <c r="AE2" s="1" t="s">
        <v>4</v>
      </c>
      <c r="AG2" s="1" t="s">
        <v>31</v>
      </c>
      <c r="AH2" s="1" t="s">
        <v>1</v>
      </c>
      <c r="AI2" s="1" t="s">
        <v>2</v>
      </c>
      <c r="AJ2" s="1" t="s">
        <v>3</v>
      </c>
      <c r="AK2" s="1" t="s">
        <v>4</v>
      </c>
    </row>
    <row r="3" spans="1:37" x14ac:dyDescent="0.25">
      <c r="A3" t="s">
        <v>5</v>
      </c>
      <c r="B3">
        <v>10406.403473091401</v>
      </c>
      <c r="C3">
        <v>6542.5543050790702</v>
      </c>
      <c r="D3">
        <v>3087.9434188397699</v>
      </c>
      <c r="E3">
        <v>9654.25483417754</v>
      </c>
      <c r="G3" t="s">
        <v>5</v>
      </c>
      <c r="H3">
        <v>13646.8856693529</v>
      </c>
      <c r="I3">
        <v>9840.6837882865602</v>
      </c>
      <c r="J3">
        <v>7059.8976803472096</v>
      </c>
      <c r="K3">
        <v>6073.8716577540099</v>
      </c>
      <c r="M3" t="s">
        <v>5</v>
      </c>
      <c r="N3">
        <v>14658.622907905599</v>
      </c>
      <c r="O3">
        <v>12472.535954097</v>
      </c>
      <c r="P3">
        <v>11415.104748477699</v>
      </c>
      <c r="Q3">
        <v>6797.4239009287903</v>
      </c>
      <c r="S3" s="4"/>
      <c r="U3" t="s">
        <v>5</v>
      </c>
      <c r="V3">
        <v>10406.403473091401</v>
      </c>
      <c r="W3">
        <v>6542.5543050790702</v>
      </c>
      <c r="X3">
        <v>3087.9434188397699</v>
      </c>
      <c r="Y3">
        <v>9654.25483417754</v>
      </c>
      <c r="AA3" t="s">
        <v>5</v>
      </c>
      <c r="AB3">
        <v>13646.8856693529</v>
      </c>
      <c r="AC3">
        <v>9840.6837882865602</v>
      </c>
      <c r="AD3">
        <v>7059.8976803472096</v>
      </c>
      <c r="AE3">
        <v>6073.8716577540099</v>
      </c>
      <c r="AG3" t="s">
        <v>5</v>
      </c>
      <c r="AH3">
        <v>14658.622907905599</v>
      </c>
      <c r="AI3">
        <v>12472.535954097</v>
      </c>
      <c r="AJ3">
        <v>11415.104748477699</v>
      </c>
      <c r="AK3">
        <v>6797.4239009287903</v>
      </c>
    </row>
    <row r="4" spans="1:37" x14ac:dyDescent="0.25">
      <c r="A4" t="s">
        <v>7</v>
      </c>
      <c r="B4">
        <v>11671.428587135801</v>
      </c>
      <c r="C4">
        <v>9000.1450044659996</v>
      </c>
      <c r="D4">
        <v>3207.3701515540702</v>
      </c>
      <c r="G4" t="s">
        <v>7</v>
      </c>
      <c r="H4">
        <v>15252.005973289601</v>
      </c>
      <c r="I4">
        <v>7641.1695951107704</v>
      </c>
      <c r="J4">
        <v>9595.8858073073698</v>
      </c>
      <c r="K4">
        <v>6354.4068509649396</v>
      </c>
      <c r="M4" t="s">
        <v>7</v>
      </c>
      <c r="N4">
        <v>11520.134060141399</v>
      </c>
      <c r="O4">
        <v>14852.1056673322</v>
      </c>
      <c r="P4">
        <v>9625.3003333584093</v>
      </c>
      <c r="Q4">
        <v>7546.0411764705896</v>
      </c>
      <c r="S4" s="4"/>
      <c r="U4" t="s">
        <v>7</v>
      </c>
      <c r="V4">
        <v>11671.428587135801</v>
      </c>
      <c r="W4">
        <v>9000.1450044659996</v>
      </c>
      <c r="X4">
        <v>3207.3701515540702</v>
      </c>
      <c r="AA4" t="s">
        <v>7</v>
      </c>
      <c r="AB4">
        <v>15252.005973289601</v>
      </c>
      <c r="AC4">
        <v>7641.1695951107704</v>
      </c>
      <c r="AD4">
        <v>9595.8858073073698</v>
      </c>
      <c r="AE4">
        <v>6354.4068509649396</v>
      </c>
      <c r="AG4" t="s">
        <v>7</v>
      </c>
      <c r="AH4">
        <v>11520.134060141399</v>
      </c>
      <c r="AI4">
        <v>14852.1056673322</v>
      </c>
      <c r="AJ4">
        <v>9625.3003333584093</v>
      </c>
      <c r="AK4">
        <v>7546.0411764705896</v>
      </c>
    </row>
    <row r="5" spans="1:37" x14ac:dyDescent="0.25">
      <c r="A5" t="s">
        <v>8</v>
      </c>
      <c r="B5">
        <v>10228.0917586572</v>
      </c>
      <c r="C5">
        <v>10631.466092349499</v>
      </c>
      <c r="D5">
        <v>9276.2166715932599</v>
      </c>
      <c r="E5">
        <v>11480.847500690399</v>
      </c>
      <c r="G5" t="s">
        <v>8</v>
      </c>
      <c r="H5">
        <v>14920.7458320227</v>
      </c>
      <c r="I5">
        <v>15432.8519393644</v>
      </c>
      <c r="J5">
        <v>12826.5208300827</v>
      </c>
      <c r="K5">
        <v>4266.8100094210204</v>
      </c>
      <c r="M5" t="s">
        <v>8</v>
      </c>
      <c r="N5">
        <v>10546.159574252801</v>
      </c>
      <c r="O5">
        <v>14102.002609086299</v>
      </c>
      <c r="P5">
        <v>13454.8258408415</v>
      </c>
      <c r="Q5">
        <v>5205.20217599235</v>
      </c>
      <c r="S5" s="4"/>
      <c r="U5" t="s">
        <v>8</v>
      </c>
      <c r="V5">
        <v>10228.0917586572</v>
      </c>
      <c r="W5">
        <v>10631.466092349499</v>
      </c>
      <c r="X5">
        <v>9276.2166715932599</v>
      </c>
      <c r="Y5">
        <v>11480.847500690399</v>
      </c>
      <c r="AA5" t="s">
        <v>8</v>
      </c>
      <c r="AB5">
        <v>14920.7458320227</v>
      </c>
      <c r="AD5">
        <v>12826.5208300827</v>
      </c>
      <c r="AE5">
        <v>4266.8100094210204</v>
      </c>
      <c r="AG5" t="s">
        <v>8</v>
      </c>
      <c r="AH5">
        <v>10546.159574252801</v>
      </c>
      <c r="AI5">
        <v>14102.002609086299</v>
      </c>
      <c r="AJ5">
        <v>13454.8258408415</v>
      </c>
      <c r="AK5">
        <v>5205.20217599235</v>
      </c>
    </row>
    <row r="6" spans="1:37" x14ac:dyDescent="0.25">
      <c r="A6" t="s">
        <v>9</v>
      </c>
      <c r="B6">
        <v>13474.030839895</v>
      </c>
      <c r="C6">
        <v>8850.5461805831892</v>
      </c>
      <c r="D6">
        <v>4794.3680421422296</v>
      </c>
      <c r="E6">
        <v>3438.2184953677902</v>
      </c>
      <c r="G6" t="s">
        <v>9</v>
      </c>
      <c r="H6">
        <v>14654.412461345</v>
      </c>
      <c r="I6">
        <v>9200.6898258105302</v>
      </c>
      <c r="J6">
        <v>9275.8231597476897</v>
      </c>
      <c r="K6">
        <v>6335.9108096636101</v>
      </c>
      <c r="M6" t="s">
        <v>9</v>
      </c>
      <c r="N6">
        <v>9651.7882277429599</v>
      </c>
      <c r="O6">
        <v>14483.2267004409</v>
      </c>
      <c r="P6">
        <v>10079.544726501201</v>
      </c>
      <c r="Q6">
        <v>7585.2349093707298</v>
      </c>
      <c r="S6" s="4"/>
      <c r="U6" t="s">
        <v>9</v>
      </c>
      <c r="V6">
        <v>13474.030839895</v>
      </c>
      <c r="W6">
        <v>8850.5461805831892</v>
      </c>
      <c r="X6">
        <v>4794.3680421422296</v>
      </c>
      <c r="Y6">
        <v>3438.2184953677902</v>
      </c>
      <c r="AA6" t="s">
        <v>9</v>
      </c>
      <c r="AB6">
        <v>14654.412461345</v>
      </c>
      <c r="AC6">
        <v>9200.6898258105302</v>
      </c>
      <c r="AD6">
        <v>9275.8231597476897</v>
      </c>
      <c r="AE6">
        <v>6335.9108096636101</v>
      </c>
      <c r="AG6" t="s">
        <v>9</v>
      </c>
      <c r="AH6">
        <v>9651.7882277429599</v>
      </c>
      <c r="AI6">
        <v>14483.2267004409</v>
      </c>
      <c r="AJ6">
        <v>10079.544726501201</v>
      </c>
      <c r="AK6">
        <v>7585.2349093707298</v>
      </c>
    </row>
    <row r="7" spans="1:37" x14ac:dyDescent="0.25">
      <c r="A7" t="s">
        <v>10</v>
      </c>
      <c r="B7">
        <v>5157.9504094251297</v>
      </c>
      <c r="C7">
        <v>4965.5938151965902</v>
      </c>
      <c r="D7" t="s">
        <v>6</v>
      </c>
      <c r="E7" t="s">
        <v>6</v>
      </c>
      <c r="G7" t="s">
        <v>10</v>
      </c>
      <c r="H7">
        <v>9306.2760845850498</v>
      </c>
      <c r="I7">
        <v>9033.7477144003897</v>
      </c>
      <c r="J7">
        <v>11121.4116951087</v>
      </c>
      <c r="K7">
        <v>1656.88438133874</v>
      </c>
      <c r="M7" t="s">
        <v>10</v>
      </c>
      <c r="N7">
        <v>3755.17426470588</v>
      </c>
      <c r="O7">
        <v>5661.3276606239997</v>
      </c>
      <c r="P7">
        <v>5525.57255188416</v>
      </c>
      <c r="Q7">
        <v>843.048030469742</v>
      </c>
      <c r="S7" s="4"/>
      <c r="U7" t="s">
        <v>10</v>
      </c>
      <c r="V7">
        <v>5157.9504094251297</v>
      </c>
      <c r="W7">
        <v>4965.5938151965902</v>
      </c>
      <c r="X7" t="s">
        <v>6</v>
      </c>
      <c r="Y7" t="s">
        <v>6</v>
      </c>
      <c r="AA7" t="s">
        <v>10</v>
      </c>
      <c r="AB7">
        <v>9306.2760845850498</v>
      </c>
      <c r="AC7">
        <v>9033.7477144003897</v>
      </c>
      <c r="AD7">
        <v>11121.4116951087</v>
      </c>
      <c r="AE7">
        <v>1656.88438133874</v>
      </c>
      <c r="AG7" t="s">
        <v>10</v>
      </c>
      <c r="AI7">
        <v>5661.3276606239997</v>
      </c>
      <c r="AJ7">
        <v>5525.57255188416</v>
      </c>
    </row>
    <row r="8" spans="1:37" x14ac:dyDescent="0.25">
      <c r="A8" t="s">
        <v>11</v>
      </c>
      <c r="B8">
        <v>1639.9818606700301</v>
      </c>
      <c r="C8">
        <v>1152.5747099632699</v>
      </c>
      <c r="D8">
        <v>6047.3008521770698</v>
      </c>
      <c r="E8" t="s">
        <v>6</v>
      </c>
      <c r="G8" t="s">
        <v>11</v>
      </c>
      <c r="H8">
        <v>9849.92029411765</v>
      </c>
      <c r="I8">
        <v>3834.5272150353899</v>
      </c>
      <c r="J8">
        <v>5977.2257800511497</v>
      </c>
      <c r="K8">
        <v>5322.6842535005699</v>
      </c>
      <c r="M8" t="s">
        <v>11</v>
      </c>
      <c r="N8">
        <v>11466.427027539499</v>
      </c>
      <c r="O8">
        <v>11587.138872043701</v>
      </c>
      <c r="P8">
        <v>3776.9454377142101</v>
      </c>
      <c r="Q8">
        <v>7386.0004262574603</v>
      </c>
      <c r="S8" s="4"/>
      <c r="U8" t="s">
        <v>11</v>
      </c>
      <c r="V8">
        <v>1639.9818606700301</v>
      </c>
      <c r="W8">
        <v>1152.5747099632699</v>
      </c>
      <c r="X8">
        <v>6047.3008521770698</v>
      </c>
      <c r="Y8" t="s">
        <v>6</v>
      </c>
      <c r="AA8" t="s">
        <v>11</v>
      </c>
      <c r="AB8">
        <v>9849.92029411765</v>
      </c>
      <c r="AC8">
        <v>3834.5272150353899</v>
      </c>
      <c r="AD8">
        <v>5977.2257800511497</v>
      </c>
      <c r="AE8">
        <v>5322.6842535005699</v>
      </c>
      <c r="AG8" t="s">
        <v>11</v>
      </c>
      <c r="AH8">
        <v>11466.427027539499</v>
      </c>
      <c r="AI8">
        <v>11587.138872043701</v>
      </c>
      <c r="AJ8">
        <v>3776.9454377142101</v>
      </c>
      <c r="AK8">
        <v>7386.0004262574603</v>
      </c>
    </row>
    <row r="9" spans="1:37" x14ac:dyDescent="0.25">
      <c r="A9" t="s">
        <v>12</v>
      </c>
      <c r="B9">
        <v>6501.3872549019597</v>
      </c>
      <c r="C9">
        <v>2402.3371848739498</v>
      </c>
      <c r="D9" t="s">
        <v>6</v>
      </c>
      <c r="E9">
        <v>1739.9186383615399</v>
      </c>
      <c r="G9" t="s">
        <v>12</v>
      </c>
      <c r="H9">
        <v>7348.7316270981401</v>
      </c>
      <c r="I9">
        <v>7825.6667483872898</v>
      </c>
      <c r="J9">
        <v>4407.8250898138403</v>
      </c>
      <c r="K9">
        <v>888.08643582577895</v>
      </c>
      <c r="M9" t="s">
        <v>12</v>
      </c>
      <c r="N9">
        <v>9971.3139503507791</v>
      </c>
      <c r="O9">
        <v>7136.9263240179798</v>
      </c>
      <c r="P9">
        <v>7605.9048683831797</v>
      </c>
      <c r="Q9">
        <v>4423.0319917440702</v>
      </c>
      <c r="S9" s="4"/>
      <c r="U9" t="s">
        <v>12</v>
      </c>
      <c r="V9">
        <v>6501.3872549019597</v>
      </c>
      <c r="W9">
        <v>2402.3371848739498</v>
      </c>
      <c r="X9" t="s">
        <v>6</v>
      </c>
      <c r="Y9">
        <v>1739.9186383615399</v>
      </c>
      <c r="AA9" t="s">
        <v>12</v>
      </c>
      <c r="AB9">
        <v>7348.7316270981401</v>
      </c>
      <c r="AC9">
        <v>7825.6667483872898</v>
      </c>
      <c r="AD9">
        <v>4407.8250898138403</v>
      </c>
      <c r="AE9">
        <v>888.08643582577895</v>
      </c>
      <c r="AG9" t="s">
        <v>12</v>
      </c>
      <c r="AH9">
        <v>9971.3139503507791</v>
      </c>
      <c r="AI9">
        <v>7136.9263240179798</v>
      </c>
      <c r="AJ9">
        <v>7605.9048683831797</v>
      </c>
      <c r="AK9">
        <v>4423.0319917440702</v>
      </c>
    </row>
    <row r="10" spans="1:37" x14ac:dyDescent="0.25">
      <c r="A10" t="s">
        <v>13</v>
      </c>
      <c r="B10">
        <v>969.526061057334</v>
      </c>
      <c r="C10">
        <v>7605.1072281310999</v>
      </c>
      <c r="D10">
        <v>6976.0605980939899</v>
      </c>
      <c r="E10">
        <v>1687.7960394385</v>
      </c>
      <c r="G10" t="s">
        <v>13</v>
      </c>
      <c r="H10">
        <v>9529.4819821856508</v>
      </c>
      <c r="I10">
        <v>7069.8476340237103</v>
      </c>
      <c r="J10">
        <v>4856.5186121323504</v>
      </c>
      <c r="K10">
        <v>3805.5200037859099</v>
      </c>
      <c r="M10" t="s">
        <v>13</v>
      </c>
      <c r="N10">
        <v>10888.5138797092</v>
      </c>
      <c r="O10">
        <v>6018.8094051303096</v>
      </c>
      <c r="P10">
        <v>7866.47865694951</v>
      </c>
      <c r="Q10">
        <v>7238.3610781278403</v>
      </c>
      <c r="S10" s="4"/>
      <c r="U10" t="s">
        <v>13</v>
      </c>
      <c r="V10">
        <v>969.526061057334</v>
      </c>
      <c r="W10">
        <v>7605.1072281310999</v>
      </c>
      <c r="X10">
        <v>6976.0605980939899</v>
      </c>
      <c r="Y10">
        <v>1687.7960394385</v>
      </c>
      <c r="AA10" t="s">
        <v>13</v>
      </c>
      <c r="AB10">
        <v>9529.4819821856508</v>
      </c>
      <c r="AC10">
        <v>7069.8476340237103</v>
      </c>
      <c r="AD10">
        <v>4856.5186121323504</v>
      </c>
      <c r="AE10">
        <v>3805.5200037859099</v>
      </c>
      <c r="AG10" t="s">
        <v>13</v>
      </c>
      <c r="AH10">
        <v>10888.5138797092</v>
      </c>
      <c r="AI10">
        <v>6018.8094051303096</v>
      </c>
      <c r="AJ10">
        <v>7866.47865694951</v>
      </c>
      <c r="AK10">
        <v>7238.3610781278403</v>
      </c>
    </row>
    <row r="11" spans="1:37" x14ac:dyDescent="0.25">
      <c r="A11" t="s">
        <v>5</v>
      </c>
      <c r="G11" t="s">
        <v>5</v>
      </c>
      <c r="M11" t="s">
        <v>5</v>
      </c>
      <c r="S11" s="4"/>
      <c r="U11" t="s">
        <v>5</v>
      </c>
      <c r="AA11" t="s">
        <v>5</v>
      </c>
      <c r="AG11" t="s">
        <v>5</v>
      </c>
    </row>
    <row r="12" spans="1:37" x14ac:dyDescent="0.25">
      <c r="A12" t="s">
        <v>7</v>
      </c>
      <c r="G12" t="s">
        <v>7</v>
      </c>
      <c r="M12" t="s">
        <v>7</v>
      </c>
      <c r="S12" s="4"/>
      <c r="U12" t="s">
        <v>7</v>
      </c>
      <c r="AA12" t="s">
        <v>7</v>
      </c>
      <c r="AG12" t="s">
        <v>7</v>
      </c>
    </row>
    <row r="13" spans="1:37" x14ac:dyDescent="0.25">
      <c r="A13" t="s">
        <v>8</v>
      </c>
      <c r="G13" t="s">
        <v>8</v>
      </c>
      <c r="M13" t="s">
        <v>8</v>
      </c>
      <c r="S13" s="4"/>
      <c r="U13" t="s">
        <v>8</v>
      </c>
      <c r="AA13" t="s">
        <v>8</v>
      </c>
      <c r="AG13" t="s">
        <v>8</v>
      </c>
    </row>
    <row r="14" spans="1:37" x14ac:dyDescent="0.25">
      <c r="A14" t="s">
        <v>9</v>
      </c>
      <c r="G14" t="s">
        <v>9</v>
      </c>
      <c r="M14" t="s">
        <v>9</v>
      </c>
      <c r="S14" s="4"/>
      <c r="U14" t="s">
        <v>9</v>
      </c>
      <c r="AA14" t="s">
        <v>9</v>
      </c>
      <c r="AG14" t="s">
        <v>9</v>
      </c>
    </row>
    <row r="15" spans="1:37" x14ac:dyDescent="0.25">
      <c r="A15" t="s">
        <v>10</v>
      </c>
      <c r="G15" t="s">
        <v>10</v>
      </c>
      <c r="M15" t="s">
        <v>10</v>
      </c>
      <c r="S15" s="4"/>
      <c r="U15" t="s">
        <v>10</v>
      </c>
      <c r="AA15" t="s">
        <v>10</v>
      </c>
      <c r="AG15" t="s">
        <v>10</v>
      </c>
    </row>
    <row r="16" spans="1:37" x14ac:dyDescent="0.25">
      <c r="A16" t="s">
        <v>11</v>
      </c>
      <c r="G16" t="s">
        <v>11</v>
      </c>
      <c r="M16" t="s">
        <v>11</v>
      </c>
      <c r="S16" s="4"/>
      <c r="U16" t="s">
        <v>11</v>
      </c>
      <c r="AA16" t="s">
        <v>11</v>
      </c>
      <c r="AG16" t="s">
        <v>11</v>
      </c>
    </row>
    <row r="17" spans="1:37" x14ac:dyDescent="0.25">
      <c r="A17" t="s">
        <v>12</v>
      </c>
      <c r="G17" t="s">
        <v>12</v>
      </c>
      <c r="M17" t="s">
        <v>12</v>
      </c>
      <c r="S17" s="4"/>
      <c r="U17" t="s">
        <v>12</v>
      </c>
      <c r="AA17" t="s">
        <v>12</v>
      </c>
      <c r="AG17" t="s">
        <v>12</v>
      </c>
    </row>
    <row r="18" spans="1:37" x14ac:dyDescent="0.25">
      <c r="A18" t="s">
        <v>13</v>
      </c>
      <c r="G18" t="s">
        <v>13</v>
      </c>
      <c r="M18" t="s">
        <v>13</v>
      </c>
      <c r="S18" s="4"/>
      <c r="U18" t="s">
        <v>13</v>
      </c>
      <c r="AA18" t="s">
        <v>13</v>
      </c>
      <c r="AG18" t="s">
        <v>13</v>
      </c>
    </row>
    <row r="19" spans="1:3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  <c r="S19" s="4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</row>
    <row r="20" spans="1:37" x14ac:dyDescent="0.25">
      <c r="A20" t="s">
        <v>14</v>
      </c>
      <c r="B20">
        <f>COUNT(B3:B18)</f>
        <v>8</v>
      </c>
      <c r="C20">
        <f t="shared" ref="C20:E20" si="0">COUNT(C3:C18)</f>
        <v>8</v>
      </c>
      <c r="D20">
        <f t="shared" si="0"/>
        <v>6</v>
      </c>
      <c r="E20">
        <f t="shared" si="0"/>
        <v>5</v>
      </c>
      <c r="G20" t="s">
        <v>14</v>
      </c>
      <c r="H20">
        <f>COUNT(H3:H18)</f>
        <v>8</v>
      </c>
      <c r="I20">
        <f t="shared" ref="I20:K20" si="1">COUNT(I3:I18)</f>
        <v>8</v>
      </c>
      <c r="J20">
        <f t="shared" si="1"/>
        <v>8</v>
      </c>
      <c r="K20">
        <f t="shared" si="1"/>
        <v>8</v>
      </c>
      <c r="M20" t="s">
        <v>14</v>
      </c>
      <c r="N20">
        <f>COUNT(N3:N18)</f>
        <v>8</v>
      </c>
      <c r="O20">
        <f t="shared" ref="O20:Q20" si="2">COUNT(O3:O18)</f>
        <v>8</v>
      </c>
      <c r="P20">
        <f t="shared" si="2"/>
        <v>8</v>
      </c>
      <c r="Q20">
        <f t="shared" si="2"/>
        <v>8</v>
      </c>
      <c r="S20" s="4"/>
      <c r="U20" t="s">
        <v>14</v>
      </c>
      <c r="V20">
        <f>COUNT(V3:V18)</f>
        <v>8</v>
      </c>
      <c r="W20">
        <f t="shared" ref="W20:Y20" si="3">COUNT(W3:W18)</f>
        <v>8</v>
      </c>
      <c r="X20">
        <f t="shared" si="3"/>
        <v>6</v>
      </c>
      <c r="Y20">
        <f t="shared" si="3"/>
        <v>5</v>
      </c>
      <c r="AA20" t="s">
        <v>14</v>
      </c>
      <c r="AB20">
        <f>COUNT(AB3:AB18)</f>
        <v>8</v>
      </c>
      <c r="AC20">
        <f t="shared" ref="AC20:AE20" si="4">COUNT(AC3:AC18)</f>
        <v>7</v>
      </c>
      <c r="AD20">
        <f t="shared" si="4"/>
        <v>8</v>
      </c>
      <c r="AE20">
        <f t="shared" si="4"/>
        <v>8</v>
      </c>
      <c r="AG20" t="s">
        <v>14</v>
      </c>
      <c r="AH20">
        <f>COUNT(AH3:AH18)</f>
        <v>7</v>
      </c>
      <c r="AI20">
        <f t="shared" ref="AI20:AK20" si="5">COUNT(AI3:AI18)</f>
        <v>8</v>
      </c>
      <c r="AJ20">
        <f t="shared" si="5"/>
        <v>8</v>
      </c>
      <c r="AK20">
        <f t="shared" si="5"/>
        <v>7</v>
      </c>
    </row>
    <row r="21" spans="1:37" x14ac:dyDescent="0.25">
      <c r="A21" t="s">
        <v>15</v>
      </c>
      <c r="B21">
        <f>MAX(B3:B18)</f>
        <v>13474.030839895</v>
      </c>
      <c r="C21">
        <f t="shared" ref="C21:E21" si="6">MAX(C3:C18)</f>
        <v>10631.466092349499</v>
      </c>
      <c r="D21">
        <f t="shared" si="6"/>
        <v>9276.2166715932599</v>
      </c>
      <c r="E21">
        <f t="shared" si="6"/>
        <v>11480.847500690399</v>
      </c>
      <c r="G21" t="s">
        <v>15</v>
      </c>
      <c r="H21">
        <f>MAX(H3:H18)</f>
        <v>15252.005973289601</v>
      </c>
      <c r="I21">
        <f t="shared" ref="I21:K21" si="7">MAX(I3:I18)</f>
        <v>15432.8519393644</v>
      </c>
      <c r="J21">
        <f t="shared" si="7"/>
        <v>12826.5208300827</v>
      </c>
      <c r="K21">
        <f t="shared" si="7"/>
        <v>6354.4068509649396</v>
      </c>
      <c r="M21" t="s">
        <v>15</v>
      </c>
      <c r="N21">
        <f>MAX(N3:N18)</f>
        <v>14658.622907905599</v>
      </c>
      <c r="O21">
        <f t="shared" ref="O21:Q21" si="8">MAX(O3:O18)</f>
        <v>14852.1056673322</v>
      </c>
      <c r="P21">
        <f t="shared" si="8"/>
        <v>13454.8258408415</v>
      </c>
      <c r="Q21">
        <f t="shared" si="8"/>
        <v>7585.2349093707298</v>
      </c>
      <c r="S21" s="4"/>
      <c r="U21" t="s">
        <v>15</v>
      </c>
      <c r="V21">
        <f>MAX(V3:V18)</f>
        <v>13474.030839895</v>
      </c>
      <c r="W21">
        <f t="shared" ref="W21:Y21" si="9">MAX(W3:W18)</f>
        <v>10631.466092349499</v>
      </c>
      <c r="X21">
        <f t="shared" si="9"/>
        <v>9276.2166715932599</v>
      </c>
      <c r="Y21">
        <f t="shared" si="9"/>
        <v>11480.847500690399</v>
      </c>
      <c r="AA21" t="s">
        <v>15</v>
      </c>
      <c r="AB21">
        <f>MAX(AB3:AB18)</f>
        <v>15252.005973289601</v>
      </c>
      <c r="AC21">
        <f t="shared" ref="AC21:AE21" si="10">MAX(AC3:AC18)</f>
        <v>9840.6837882865602</v>
      </c>
      <c r="AD21">
        <f t="shared" si="10"/>
        <v>12826.5208300827</v>
      </c>
      <c r="AE21">
        <f t="shared" si="10"/>
        <v>6354.4068509649396</v>
      </c>
      <c r="AG21" t="s">
        <v>15</v>
      </c>
      <c r="AH21">
        <f>MAX(AH3:AH18)</f>
        <v>14658.622907905599</v>
      </c>
      <c r="AI21">
        <f t="shared" ref="AI21:AK21" si="11">MAX(AI3:AI18)</f>
        <v>14852.1056673322</v>
      </c>
      <c r="AJ21">
        <f t="shared" si="11"/>
        <v>13454.8258408415</v>
      </c>
      <c r="AK21">
        <f t="shared" si="11"/>
        <v>7585.2349093707298</v>
      </c>
    </row>
    <row r="22" spans="1:37" x14ac:dyDescent="0.25">
      <c r="A22" t="s">
        <v>16</v>
      </c>
      <c r="B22">
        <f>MIN(B3:B18)</f>
        <v>969.526061057334</v>
      </c>
      <c r="C22">
        <f t="shared" ref="C22:E22" si="12">MIN(C3:C18)</f>
        <v>1152.5747099632699</v>
      </c>
      <c r="D22">
        <f t="shared" si="12"/>
        <v>3087.9434188397699</v>
      </c>
      <c r="E22">
        <f t="shared" si="12"/>
        <v>1687.7960394385</v>
      </c>
      <c r="G22" t="s">
        <v>16</v>
      </c>
      <c r="H22">
        <f>MIN(H3:H18)</f>
        <v>7348.7316270981401</v>
      </c>
      <c r="I22">
        <f t="shared" ref="I22:K22" si="13">MIN(I3:I18)</f>
        <v>3834.5272150353899</v>
      </c>
      <c r="J22">
        <f t="shared" si="13"/>
        <v>4407.8250898138403</v>
      </c>
      <c r="K22">
        <f t="shared" si="13"/>
        <v>888.08643582577895</v>
      </c>
      <c r="M22" t="s">
        <v>16</v>
      </c>
      <c r="N22">
        <f>MIN(N3:N18)</f>
        <v>3755.17426470588</v>
      </c>
      <c r="O22">
        <f t="shared" ref="O22:Q22" si="14">MIN(O3:O18)</f>
        <v>5661.3276606239997</v>
      </c>
      <c r="P22">
        <f t="shared" si="14"/>
        <v>3776.9454377142101</v>
      </c>
      <c r="Q22">
        <f t="shared" si="14"/>
        <v>843.048030469742</v>
      </c>
      <c r="S22" s="4"/>
      <c r="U22" t="s">
        <v>16</v>
      </c>
      <c r="V22">
        <f>MIN(V3:V18)</f>
        <v>969.526061057334</v>
      </c>
      <c r="W22">
        <f t="shared" ref="W22:Y22" si="15">MIN(W3:W18)</f>
        <v>1152.5747099632699</v>
      </c>
      <c r="X22">
        <f t="shared" si="15"/>
        <v>3087.9434188397699</v>
      </c>
      <c r="Y22">
        <f t="shared" si="15"/>
        <v>1687.7960394385</v>
      </c>
      <c r="AA22" t="s">
        <v>16</v>
      </c>
      <c r="AB22">
        <f>MIN(AB3:AB18)</f>
        <v>7348.7316270981401</v>
      </c>
      <c r="AC22">
        <f t="shared" ref="AC22:AE22" si="16">MIN(AC3:AC18)</f>
        <v>3834.5272150353899</v>
      </c>
      <c r="AD22">
        <f t="shared" si="16"/>
        <v>4407.8250898138403</v>
      </c>
      <c r="AE22">
        <f t="shared" si="16"/>
        <v>888.08643582577895</v>
      </c>
      <c r="AG22" t="s">
        <v>16</v>
      </c>
      <c r="AH22">
        <f>MIN(AH3:AH18)</f>
        <v>9651.7882277429599</v>
      </c>
      <c r="AI22">
        <f t="shared" ref="AI22:AK22" si="17">MIN(AI3:AI18)</f>
        <v>5661.3276606239997</v>
      </c>
      <c r="AJ22">
        <f t="shared" si="17"/>
        <v>3776.9454377142101</v>
      </c>
      <c r="AK22">
        <f t="shared" si="17"/>
        <v>4423.0319917440702</v>
      </c>
    </row>
    <row r="23" spans="1:37" x14ac:dyDescent="0.25">
      <c r="A23" t="s">
        <v>17</v>
      </c>
      <c r="B23">
        <f>AVERAGE(B3:B18)</f>
        <v>7506.1000306042315</v>
      </c>
      <c r="C23">
        <f t="shared" ref="C23:E23" si="18">AVERAGE(C3:C18)</f>
        <v>6393.7905650803332</v>
      </c>
      <c r="D23">
        <f t="shared" si="18"/>
        <v>5564.8766224000647</v>
      </c>
      <c r="E23">
        <f t="shared" si="18"/>
        <v>5600.2071016071541</v>
      </c>
      <c r="G23" t="s">
        <v>17</v>
      </c>
      <c r="H23">
        <f>AVERAGE(H3:H18)</f>
        <v>11813.557490499585</v>
      </c>
      <c r="I23">
        <f t="shared" ref="I23:K23" si="19">AVERAGE(I3:I18)</f>
        <v>8734.8980575523783</v>
      </c>
      <c r="J23">
        <f t="shared" si="19"/>
        <v>8140.1385818238759</v>
      </c>
      <c r="K23">
        <f t="shared" si="19"/>
        <v>4338.0218002818228</v>
      </c>
      <c r="M23" t="s">
        <v>17</v>
      </c>
      <c r="N23">
        <f>AVERAGE(N3:N18)</f>
        <v>10307.266736543515</v>
      </c>
      <c r="O23">
        <f t="shared" ref="O23:Q23" si="20">AVERAGE(O3:O18)</f>
        <v>10789.259149096548</v>
      </c>
      <c r="P23">
        <f t="shared" si="20"/>
        <v>8668.7096455137325</v>
      </c>
      <c r="Q23">
        <f t="shared" si="20"/>
        <v>5878.0429611701966</v>
      </c>
      <c r="S23" s="4"/>
      <c r="U23" t="s">
        <v>17</v>
      </c>
      <c r="V23">
        <f>AVERAGE(V3:V18)</f>
        <v>7506.1000306042315</v>
      </c>
      <c r="W23">
        <f t="shared" ref="W23:Y23" si="21">AVERAGE(W3:W18)</f>
        <v>6393.7905650803332</v>
      </c>
      <c r="X23">
        <f t="shared" si="21"/>
        <v>5564.8766224000647</v>
      </c>
      <c r="Y23">
        <f t="shared" si="21"/>
        <v>5600.2071016071541</v>
      </c>
      <c r="AA23" t="s">
        <v>17</v>
      </c>
      <c r="AB23">
        <f>AVERAGE(AB3:AB18)</f>
        <v>11813.557490499585</v>
      </c>
      <c r="AC23">
        <f t="shared" ref="AC23:AE23" si="22">AVERAGE(AC3:AC18)</f>
        <v>7778.047503007806</v>
      </c>
      <c r="AD23">
        <f t="shared" si="22"/>
        <v>8140.1385818238759</v>
      </c>
      <c r="AE23">
        <f t="shared" si="22"/>
        <v>4338.0218002818228</v>
      </c>
      <c r="AG23" t="s">
        <v>17</v>
      </c>
      <c r="AH23">
        <f>AVERAGE(AH3:AH18)</f>
        <v>11243.279946806035</v>
      </c>
      <c r="AI23">
        <f t="shared" ref="AI23:AK23" si="23">AVERAGE(AI3:AI18)</f>
        <v>10789.259149096548</v>
      </c>
      <c r="AJ23">
        <f t="shared" si="23"/>
        <v>8668.7096455137325</v>
      </c>
      <c r="AK23">
        <f t="shared" si="23"/>
        <v>6597.327951270262</v>
      </c>
    </row>
    <row r="24" spans="1:37" x14ac:dyDescent="0.25">
      <c r="A24" t="s">
        <v>18</v>
      </c>
      <c r="B24">
        <f>STDEV(B3:B18)</f>
        <v>4666.7295860090335</v>
      </c>
      <c r="C24">
        <f t="shared" ref="C24:E24" si="24">STDEV(C3:C18)</f>
        <v>3332.0485737245604</v>
      </c>
      <c r="D24">
        <f t="shared" si="24"/>
        <v>2378.4422060965758</v>
      </c>
      <c r="E24">
        <f t="shared" si="24"/>
        <v>4634.1184866607782</v>
      </c>
      <c r="G24" t="s">
        <v>18</v>
      </c>
      <c r="H24">
        <f>STDEV(H3:H18)</f>
        <v>3121.4259228044766</v>
      </c>
      <c r="I24">
        <f t="shared" ref="I24:K24" si="25">STDEV(I3:I18)</f>
        <v>3277.6427113782393</v>
      </c>
      <c r="J24">
        <f t="shared" si="25"/>
        <v>3042.9446194462894</v>
      </c>
      <c r="K24">
        <f t="shared" si="25"/>
        <v>2118.6007916783883</v>
      </c>
      <c r="M24" t="s">
        <v>18</v>
      </c>
      <c r="N24">
        <f>STDEV(N3:N18)</f>
        <v>3061.6603897192936</v>
      </c>
      <c r="O24">
        <f t="shared" ref="O24:Q24" si="26">STDEV(O3:O18)</f>
        <v>3909.4907845742086</v>
      </c>
      <c r="P24">
        <f t="shared" si="26"/>
        <v>3138.173082587618</v>
      </c>
      <c r="Q24">
        <f t="shared" si="26"/>
        <v>2347.8662166194763</v>
      </c>
      <c r="S24" s="4"/>
      <c r="U24" t="s">
        <v>18</v>
      </c>
      <c r="V24">
        <f>STDEV(V3:V18)</f>
        <v>4666.7295860090335</v>
      </c>
      <c r="W24">
        <f t="shared" ref="W24:Y24" si="27">STDEV(W3:W18)</f>
        <v>3332.0485737245604</v>
      </c>
      <c r="X24">
        <f t="shared" si="27"/>
        <v>2378.4422060965758</v>
      </c>
      <c r="Y24">
        <f t="shared" si="27"/>
        <v>4634.1184866607782</v>
      </c>
      <c r="AA24" t="s">
        <v>18</v>
      </c>
      <c r="AB24">
        <f>STDEV(AB3:AB18)</f>
        <v>3121.4259228044766</v>
      </c>
      <c r="AC24">
        <f t="shared" ref="AC24:AE24" si="28">STDEV(AC3:AC18)</f>
        <v>1997.0421926418012</v>
      </c>
      <c r="AD24">
        <f t="shared" si="28"/>
        <v>3042.9446194462894</v>
      </c>
      <c r="AE24">
        <f t="shared" si="28"/>
        <v>2118.6007916783883</v>
      </c>
      <c r="AG24" t="s">
        <v>18</v>
      </c>
      <c r="AH24">
        <f>STDEV(AH3:AH18)</f>
        <v>1661.0031871241638</v>
      </c>
      <c r="AI24">
        <f t="shared" ref="AI24:AK24" si="29">STDEV(AI3:AI18)</f>
        <v>3909.4907845742086</v>
      </c>
      <c r="AJ24">
        <f t="shared" si="29"/>
        <v>3138.173082587618</v>
      </c>
      <c r="AK24">
        <f t="shared" si="29"/>
        <v>1265.8699358504002</v>
      </c>
    </row>
    <row r="25" spans="1:37" x14ac:dyDescent="0.25">
      <c r="A25" t="s">
        <v>19</v>
      </c>
      <c r="B25">
        <f>B23+2*B24</f>
        <v>16839.559202622298</v>
      </c>
      <c r="C25">
        <f t="shared" ref="C25:E25" si="30">C23+2*C24</f>
        <v>13057.887712529453</v>
      </c>
      <c r="D25">
        <f t="shared" si="30"/>
        <v>10321.761034593215</v>
      </c>
      <c r="E25">
        <f t="shared" si="30"/>
        <v>14868.44407492871</v>
      </c>
      <c r="G25" t="s">
        <v>19</v>
      </c>
      <c r="H25">
        <f>H23+2*H24</f>
        <v>18056.40933610854</v>
      </c>
      <c r="I25">
        <f t="shared" ref="I25:K25" si="31">I23+2*I24</f>
        <v>15290.183480308857</v>
      </c>
      <c r="J25">
        <f t="shared" si="31"/>
        <v>14226.027820716456</v>
      </c>
      <c r="K25">
        <f t="shared" si="31"/>
        <v>8575.2233836386004</v>
      </c>
      <c r="M25" t="s">
        <v>19</v>
      </c>
      <c r="N25">
        <f>N23+2*N24</f>
        <v>16430.587515982101</v>
      </c>
      <c r="O25">
        <f t="shared" ref="O25:Q25" si="32">O23+2*O24</f>
        <v>18608.240718244964</v>
      </c>
      <c r="P25">
        <f t="shared" si="32"/>
        <v>14945.055810688969</v>
      </c>
      <c r="Q25">
        <f t="shared" si="32"/>
        <v>10573.775394409149</v>
      </c>
      <c r="S25" s="4"/>
      <c r="U25" t="s">
        <v>19</v>
      </c>
      <c r="V25">
        <f>V23+2*V24</f>
        <v>16839.559202622298</v>
      </c>
      <c r="W25">
        <f t="shared" ref="W25:Y25" si="33">W23+2*W24</f>
        <v>13057.887712529453</v>
      </c>
      <c r="X25">
        <f t="shared" si="33"/>
        <v>10321.761034593215</v>
      </c>
      <c r="Y25">
        <f t="shared" si="33"/>
        <v>14868.44407492871</v>
      </c>
      <c r="AA25" t="s">
        <v>19</v>
      </c>
      <c r="AB25">
        <f>AB23+2*AB24</f>
        <v>18056.40933610854</v>
      </c>
      <c r="AC25">
        <f t="shared" ref="AC25:AE25" si="34">AC23+2*AC24</f>
        <v>11772.131888291409</v>
      </c>
      <c r="AD25">
        <f t="shared" si="34"/>
        <v>14226.027820716456</v>
      </c>
      <c r="AE25">
        <f t="shared" si="34"/>
        <v>8575.2233836386004</v>
      </c>
      <c r="AG25" t="s">
        <v>19</v>
      </c>
      <c r="AH25">
        <f>AH23+2*AH24</f>
        <v>14565.286321054362</v>
      </c>
      <c r="AI25">
        <f t="shared" ref="AI25:AK25" si="35">AI23+2*AI24</f>
        <v>18608.240718244964</v>
      </c>
      <c r="AJ25">
        <f t="shared" si="35"/>
        <v>14945.055810688969</v>
      </c>
      <c r="AK25">
        <f t="shared" si="35"/>
        <v>9129.0678229710629</v>
      </c>
    </row>
    <row r="26" spans="1:37" x14ac:dyDescent="0.25">
      <c r="A26" t="s">
        <v>20</v>
      </c>
      <c r="B26">
        <f>B23-2*B24</f>
        <v>-1827.3591414138355</v>
      </c>
      <c r="C26">
        <f t="shared" ref="C26:E26" si="36">C23-2*C24</f>
        <v>-270.30658236878753</v>
      </c>
      <c r="D26">
        <f t="shared" si="36"/>
        <v>807.99221020691311</v>
      </c>
      <c r="E26">
        <f t="shared" si="36"/>
        <v>-3668.0298717144024</v>
      </c>
      <c r="G26" t="s">
        <v>20</v>
      </c>
      <c r="H26">
        <f>H23-2*H24</f>
        <v>5570.7056448906314</v>
      </c>
      <c r="I26">
        <f t="shared" ref="I26:K26" si="37">I23-2*I24</f>
        <v>2179.6126347958998</v>
      </c>
      <c r="J26">
        <f t="shared" si="37"/>
        <v>2054.2493429312972</v>
      </c>
      <c r="K26">
        <f t="shared" si="37"/>
        <v>100.82021692504622</v>
      </c>
      <c r="M26" t="s">
        <v>20</v>
      </c>
      <c r="N26">
        <f>N23-2*N24</f>
        <v>4183.9459571049283</v>
      </c>
      <c r="O26">
        <f t="shared" ref="O26:Q26" si="38">O23-2*O24</f>
        <v>2970.2775799481306</v>
      </c>
      <c r="P26">
        <f t="shared" si="38"/>
        <v>2392.3634803384966</v>
      </c>
      <c r="Q26">
        <f t="shared" si="38"/>
        <v>1182.310527931244</v>
      </c>
      <c r="S26" s="4"/>
      <c r="U26" t="s">
        <v>20</v>
      </c>
      <c r="V26">
        <f>V23-2*V24</f>
        <v>-1827.3591414138355</v>
      </c>
      <c r="W26">
        <f t="shared" ref="W26:Y26" si="39">W23-2*W24</f>
        <v>-270.30658236878753</v>
      </c>
      <c r="X26">
        <f t="shared" si="39"/>
        <v>807.99221020691311</v>
      </c>
      <c r="Y26">
        <f t="shared" si="39"/>
        <v>-3668.0298717144024</v>
      </c>
      <c r="AA26" t="s">
        <v>20</v>
      </c>
      <c r="AB26">
        <f>AB23-2*AB24</f>
        <v>5570.7056448906314</v>
      </c>
      <c r="AC26">
        <f t="shared" ref="AC26:AE26" si="40">AC23-2*AC24</f>
        <v>3783.9631177242036</v>
      </c>
      <c r="AD26">
        <f t="shared" si="40"/>
        <v>2054.2493429312972</v>
      </c>
      <c r="AE26">
        <f t="shared" si="40"/>
        <v>100.82021692504622</v>
      </c>
      <c r="AG26" t="s">
        <v>20</v>
      </c>
      <c r="AH26">
        <f>AH23-2*AH24</f>
        <v>7921.2735725577077</v>
      </c>
      <c r="AI26">
        <f t="shared" ref="AI26:AK26" si="41">AI23-2*AI24</f>
        <v>2970.2775799481306</v>
      </c>
      <c r="AJ26">
        <f t="shared" si="41"/>
        <v>2392.3634803384966</v>
      </c>
      <c r="AK26">
        <f t="shared" si="41"/>
        <v>4065.5880795694616</v>
      </c>
    </row>
    <row r="27" spans="1:37" x14ac:dyDescent="0.25">
      <c r="A27" t="s">
        <v>21</v>
      </c>
      <c r="B27">
        <f>VAR(B3:B18)</f>
        <v>21778365.028932042</v>
      </c>
      <c r="C27">
        <f t="shared" ref="C27:E27" si="42">VAR(C3:C18)</f>
        <v>11102547.697659876</v>
      </c>
      <c r="D27">
        <f t="shared" si="42"/>
        <v>5656987.3277415456</v>
      </c>
      <c r="E27">
        <f t="shared" si="42"/>
        <v>21475054.148411177</v>
      </c>
      <c r="G27" t="s">
        <v>21</v>
      </c>
      <c r="H27">
        <f>VAR(H3:H18)</f>
        <v>9743299.7915557791</v>
      </c>
      <c r="I27">
        <f t="shared" ref="I27:K27" si="43">VAR(I3:I18)</f>
        <v>10742941.743450897</v>
      </c>
      <c r="J27">
        <f t="shared" si="43"/>
        <v>9259511.9570171237</v>
      </c>
      <c r="K27">
        <f t="shared" si="43"/>
        <v>4488469.3145002937</v>
      </c>
      <c r="M27" t="s">
        <v>21</v>
      </c>
      <c r="N27">
        <f>VAR(N3:N18)</f>
        <v>9373764.3419760969</v>
      </c>
      <c r="O27">
        <f t="shared" ref="O27:Q27" si="44">VAR(O3:O18)</f>
        <v>15284118.19467066</v>
      </c>
      <c r="P27">
        <f t="shared" si="44"/>
        <v>9848130.2962774727</v>
      </c>
      <c r="Q27">
        <f t="shared" si="44"/>
        <v>5512475.7711430537</v>
      </c>
      <c r="S27" s="4"/>
      <c r="U27" t="s">
        <v>21</v>
      </c>
      <c r="V27">
        <f>VAR(V3:V18)</f>
        <v>21778365.028932042</v>
      </c>
      <c r="W27">
        <f t="shared" ref="W27:Y27" si="45">VAR(W3:W18)</f>
        <v>11102547.697659876</v>
      </c>
      <c r="X27">
        <f t="shared" si="45"/>
        <v>5656987.3277415456</v>
      </c>
      <c r="Y27">
        <f t="shared" si="45"/>
        <v>21475054.148411177</v>
      </c>
      <c r="AA27" t="s">
        <v>21</v>
      </c>
      <c r="AB27">
        <f>VAR(AB3:AB18)</f>
        <v>9743299.7915557791</v>
      </c>
      <c r="AC27">
        <f t="shared" ref="AC27:AE27" si="46">VAR(AC3:AC18)</f>
        <v>3988177.5191915729</v>
      </c>
      <c r="AD27">
        <f t="shared" si="46"/>
        <v>9259511.9570171237</v>
      </c>
      <c r="AE27">
        <f t="shared" si="46"/>
        <v>4488469.3145002937</v>
      </c>
      <c r="AG27" t="s">
        <v>21</v>
      </c>
      <c r="AH27">
        <f>VAR(AH3:AH18)</f>
        <v>2758931.5876366296</v>
      </c>
      <c r="AI27">
        <f t="shared" ref="AI27:AK27" si="47">VAR(AI3:AI18)</f>
        <v>15284118.19467066</v>
      </c>
      <c r="AJ27">
        <f t="shared" si="47"/>
        <v>9848130.2962774727</v>
      </c>
      <c r="AK27">
        <f t="shared" si="47"/>
        <v>1602426.6944898963</v>
      </c>
    </row>
    <row r="28" spans="1:37" x14ac:dyDescent="0.25">
      <c r="S28" s="4"/>
    </row>
    <row r="29" spans="1:37" x14ac:dyDescent="0.25">
      <c r="A29" t="s">
        <v>22</v>
      </c>
      <c r="G29" t="s">
        <v>23</v>
      </c>
      <c r="H29">
        <f>AVERAGE(H3:H10)</f>
        <v>11813.557490499585</v>
      </c>
      <c r="I29">
        <f t="shared" ref="I29:K29" si="48">AVERAGE(I3:I10)</f>
        <v>8734.8980575523783</v>
      </c>
      <c r="J29">
        <f t="shared" si="48"/>
        <v>8140.1385818238759</v>
      </c>
      <c r="K29">
        <f t="shared" si="48"/>
        <v>4338.0218002818228</v>
      </c>
      <c r="M29" t="s">
        <v>23</v>
      </c>
      <c r="N29">
        <f>AVERAGE(N3:N10)</f>
        <v>10307.266736543515</v>
      </c>
      <c r="O29">
        <f t="shared" ref="O29:Q29" si="49">AVERAGE(O3:O10)</f>
        <v>10789.259149096548</v>
      </c>
      <c r="P29">
        <f t="shared" si="49"/>
        <v>8668.7096455137325</v>
      </c>
      <c r="Q29">
        <f t="shared" si="49"/>
        <v>5878.0429611701966</v>
      </c>
      <c r="S29" s="4"/>
      <c r="U29" t="s">
        <v>22</v>
      </c>
      <c r="AA29" t="s">
        <v>23</v>
      </c>
      <c r="AB29">
        <f>AVERAGE(AB3:AB10)</f>
        <v>11813.557490499585</v>
      </c>
      <c r="AC29">
        <f t="shared" ref="AC29:AE29" si="50">AVERAGE(AC3:AC10)</f>
        <v>7778.047503007806</v>
      </c>
      <c r="AD29">
        <f t="shared" si="50"/>
        <v>8140.1385818238759</v>
      </c>
      <c r="AE29">
        <f t="shared" si="50"/>
        <v>4338.0218002818228</v>
      </c>
      <c r="AG29" t="s">
        <v>23</v>
      </c>
      <c r="AH29">
        <f>AVERAGE(AH3:AH10)</f>
        <v>11243.279946806035</v>
      </c>
      <c r="AI29">
        <f t="shared" ref="AI29:AK29" si="51">AVERAGE(AI3:AI10)</f>
        <v>10789.259149096548</v>
      </c>
      <c r="AJ29">
        <f t="shared" si="51"/>
        <v>8668.7096455137325</v>
      </c>
      <c r="AK29">
        <f t="shared" si="51"/>
        <v>6597.327951270262</v>
      </c>
    </row>
    <row r="30" spans="1:37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52">AVERAGE(I11:I18)</f>
        <v>#DIV/0!</v>
      </c>
      <c r="J30" t="e">
        <f t="shared" si="52"/>
        <v>#DIV/0!</v>
      </c>
      <c r="K30" t="e">
        <f t="shared" si="52"/>
        <v>#DIV/0!</v>
      </c>
      <c r="M30" t="s">
        <v>24</v>
      </c>
      <c r="N30" t="e">
        <f>AVERAGE(N11:N18)</f>
        <v>#DIV/0!</v>
      </c>
      <c r="O30" t="e">
        <f t="shared" ref="O30:Q30" si="53">AVERAGE(O11:O18)</f>
        <v>#DIV/0!</v>
      </c>
      <c r="P30" t="e">
        <f t="shared" si="53"/>
        <v>#DIV/0!</v>
      </c>
      <c r="Q30" t="e">
        <f t="shared" si="53"/>
        <v>#DIV/0!</v>
      </c>
      <c r="S30" s="4"/>
      <c r="U30" t="s">
        <v>1</v>
      </c>
      <c r="V30" t="e">
        <f>TTEST(V11:V18,AB11:AB18,2,3)</f>
        <v>#DIV/0!</v>
      </c>
      <c r="AA30" t="s">
        <v>24</v>
      </c>
      <c r="AB30" t="e">
        <f>AVERAGE(AB11:AB18)</f>
        <v>#DIV/0!</v>
      </c>
      <c r="AC30" t="e">
        <f t="shared" ref="AC30:AE30" si="54">AVERAGE(AC11:AC18)</f>
        <v>#DIV/0!</v>
      </c>
      <c r="AD30" t="e">
        <f t="shared" si="54"/>
        <v>#DIV/0!</v>
      </c>
      <c r="AE30" t="e">
        <f t="shared" si="54"/>
        <v>#DIV/0!</v>
      </c>
      <c r="AG30" t="s">
        <v>24</v>
      </c>
      <c r="AH30" t="e">
        <f>AVERAGE(AH11:AH18)</f>
        <v>#DIV/0!</v>
      </c>
      <c r="AI30" t="e">
        <f t="shared" ref="AI30:AK30" si="55">AVERAGE(AI11:AI18)</f>
        <v>#DIV/0!</v>
      </c>
      <c r="AJ30" t="e">
        <f t="shared" si="55"/>
        <v>#DIV/0!</v>
      </c>
      <c r="AK30" t="e">
        <f t="shared" si="55"/>
        <v>#DIV/0!</v>
      </c>
    </row>
    <row r="31" spans="1:37" x14ac:dyDescent="0.25">
      <c r="A31" t="s">
        <v>2</v>
      </c>
      <c r="B31" t="e">
        <f>TTEST(C11:C18,I11:I18,2,3)</f>
        <v>#DIV/0!</v>
      </c>
      <c r="S31" s="4"/>
      <c r="U31" t="s">
        <v>2</v>
      </c>
      <c r="V31" t="e">
        <f>TTEST(W11:W18,AC11:AC18,2,3)</f>
        <v>#DIV/0!</v>
      </c>
    </row>
    <row r="32" spans="1:37" x14ac:dyDescent="0.25">
      <c r="A32" t="s">
        <v>3</v>
      </c>
      <c r="B32" t="e">
        <f>TTEST(D11:D18,J11:J18,2,3)</f>
        <v>#DIV/0!</v>
      </c>
      <c r="S32" s="4"/>
      <c r="U32" t="s">
        <v>3</v>
      </c>
      <c r="V32" t="e">
        <f>TTEST(X11:X18,AD11:AD18,2,3)</f>
        <v>#DIV/0!</v>
      </c>
    </row>
    <row r="33" spans="1:37" x14ac:dyDescent="0.25">
      <c r="A33" t="s">
        <v>4</v>
      </c>
      <c r="B33" t="e">
        <f>TTEST(E11:E18,K11:K18,2,3)</f>
        <v>#DIV/0!</v>
      </c>
      <c r="S33" s="4"/>
      <c r="U33" t="s">
        <v>4</v>
      </c>
      <c r="V33" t="e">
        <f>TTEST(Y11:Y18,AE11:AE18,2,3)</f>
        <v>#DIV/0!</v>
      </c>
    </row>
    <row r="34" spans="1:37" x14ac:dyDescent="0.25">
      <c r="S34" s="4"/>
    </row>
    <row r="35" spans="1:37" x14ac:dyDescent="0.25">
      <c r="A35" t="s">
        <v>25</v>
      </c>
      <c r="S35" s="5" t="s">
        <v>28</v>
      </c>
      <c r="U35" t="s">
        <v>25</v>
      </c>
    </row>
    <row r="36" spans="1:37" x14ac:dyDescent="0.25">
      <c r="A36" s="1" t="s">
        <v>29</v>
      </c>
      <c r="B36" s="1" t="s">
        <v>1</v>
      </c>
      <c r="C36" s="1" t="s">
        <v>2</v>
      </c>
      <c r="D36" s="1" t="s">
        <v>3</v>
      </c>
      <c r="E36" s="1" t="s">
        <v>4</v>
      </c>
      <c r="G36" s="1" t="s">
        <v>30</v>
      </c>
      <c r="H36" s="1" t="s">
        <v>1</v>
      </c>
      <c r="I36" s="1" t="s">
        <v>2</v>
      </c>
      <c r="J36" s="1" t="s">
        <v>3</v>
      </c>
      <c r="K36" s="1" t="s">
        <v>4</v>
      </c>
      <c r="M36" s="1" t="s">
        <v>31</v>
      </c>
      <c r="N36" s="1" t="s">
        <v>1</v>
      </c>
      <c r="O36" s="1" t="s">
        <v>2</v>
      </c>
      <c r="P36" s="1" t="s">
        <v>3</v>
      </c>
      <c r="Q36" s="1" t="s">
        <v>4</v>
      </c>
      <c r="R36" s="1"/>
      <c r="S36" s="4"/>
      <c r="U36" s="1" t="s">
        <v>29</v>
      </c>
      <c r="V36" s="1" t="s">
        <v>1</v>
      </c>
      <c r="W36" s="1" t="s">
        <v>2</v>
      </c>
      <c r="X36" s="1" t="s">
        <v>3</v>
      </c>
      <c r="Y36" s="1" t="s">
        <v>4</v>
      </c>
      <c r="AA36" s="1" t="s">
        <v>30</v>
      </c>
      <c r="AB36" s="1" t="s">
        <v>1</v>
      </c>
      <c r="AC36" s="1" t="s">
        <v>2</v>
      </c>
      <c r="AD36" s="1" t="s">
        <v>3</v>
      </c>
      <c r="AE36" s="1" t="s">
        <v>4</v>
      </c>
      <c r="AG36" s="1" t="s">
        <v>31</v>
      </c>
      <c r="AH36" s="1" t="s">
        <v>1</v>
      </c>
      <c r="AI36" s="1" t="s">
        <v>2</v>
      </c>
      <c r="AJ36" s="1" t="s">
        <v>3</v>
      </c>
      <c r="AK36" s="1" t="s">
        <v>4</v>
      </c>
    </row>
    <row r="37" spans="1:37" x14ac:dyDescent="0.25">
      <c r="A37" t="s">
        <v>5</v>
      </c>
      <c r="B37" s="3">
        <f>-((B3-$B$23)/$B$23)*100</f>
        <v>-38.639285789716538</v>
      </c>
      <c r="C37" s="3">
        <f t="shared" ref="C37:E44" si="56">-((C3-$B$23)/$B$23)*100</f>
        <v>12.836835661615837</v>
      </c>
      <c r="D37" s="3">
        <f t="shared" si="56"/>
        <v>58.860881066739601</v>
      </c>
      <c r="E37" s="3">
        <f t="shared" si="56"/>
        <v>-28.618787317178672</v>
      </c>
      <c r="G37" t="s">
        <v>5</v>
      </c>
      <c r="H37" s="3">
        <f>-((H3-$H$29)/$H$29)*100</f>
        <v>-15.518849257115566</v>
      </c>
      <c r="I37" s="3">
        <f t="shared" ref="I37:K37" si="57">-((I3-$H$29)/$H$29)*100</f>
        <v>16.700081273567267</v>
      </c>
      <c r="J37" s="3">
        <f t="shared" si="57"/>
        <v>40.239020413412717</v>
      </c>
      <c r="K37" s="3">
        <f t="shared" si="57"/>
        <v>48.585583448181524</v>
      </c>
      <c r="M37" t="s">
        <v>5</v>
      </c>
      <c r="N37" s="3">
        <f>-((N3-$N$29)/$N$29)*100</f>
        <v>-42.216392401437815</v>
      </c>
      <c r="O37" s="3">
        <f>-((O3-$N$29)/$N$29)*100</f>
        <v>-21.00721047488479</v>
      </c>
      <c r="P37" s="3">
        <f>-((P3-$N$29)/$N$29)*100</f>
        <v>-10.748125960555969</v>
      </c>
      <c r="Q37" s="3">
        <f>-((Q3-$N$29)/$N$29)*100</f>
        <v>34.052119978334154</v>
      </c>
      <c r="R37" s="3"/>
      <c r="S37" s="4"/>
      <c r="U37" t="s">
        <v>5</v>
      </c>
      <c r="V37" s="3">
        <f>-((V3-$V$23)/$V$23)*100</f>
        <v>-38.639285789716538</v>
      </c>
      <c r="W37" s="3">
        <f t="shared" ref="W37:Y37" si="58">-((W3-$V$23)/$V$23)*100</f>
        <v>12.836835661615837</v>
      </c>
      <c r="X37" s="3">
        <f t="shared" si="58"/>
        <v>58.860881066739601</v>
      </c>
      <c r="Y37" s="3">
        <f t="shared" si="58"/>
        <v>-28.618787317178672</v>
      </c>
      <c r="AA37" t="s">
        <v>5</v>
      </c>
      <c r="AB37" s="3">
        <f>-((AB3-$AB$29)/$AB$29)*100</f>
        <v>-15.518849257115566</v>
      </c>
      <c r="AC37" s="3">
        <f t="shared" ref="AC37:AE37" si="59">-((AC3-$AB$29)/$AB$29)*100</f>
        <v>16.700081273567267</v>
      </c>
      <c r="AD37" s="3">
        <f t="shared" si="59"/>
        <v>40.239020413412717</v>
      </c>
      <c r="AE37" s="3">
        <f t="shared" si="59"/>
        <v>48.585583448181524</v>
      </c>
      <c r="AG37" t="s">
        <v>5</v>
      </c>
      <c r="AH37" s="3">
        <f>-((AH3-$AH$29)/$AH$29)*100</f>
        <v>-30.376749287202326</v>
      </c>
      <c r="AI37" s="3">
        <f t="shared" ref="AI37:AK37" si="60">-((AI3-$AH$29)/$AH$29)*100</f>
        <v>-10.933250911716112</v>
      </c>
      <c r="AJ37" s="3">
        <f t="shared" si="60"/>
        <v>-1.5282444489917368</v>
      </c>
      <c r="AK37" s="3">
        <f t="shared" si="60"/>
        <v>39.542340552858093</v>
      </c>
    </row>
    <row r="38" spans="1:37" x14ac:dyDescent="0.25">
      <c r="A38" t="s">
        <v>7</v>
      </c>
      <c r="B38" s="3">
        <f t="shared" ref="B38:B44" si="61">-((B4-$B$23)/$B$23)*100</f>
        <v>-55.492579895664754</v>
      </c>
      <c r="C38" s="3">
        <f t="shared" si="56"/>
        <v>-19.904410649607335</v>
      </c>
      <c r="D38" s="3">
        <f t="shared" si="56"/>
        <v>57.26981870109875</v>
      </c>
      <c r="E38" s="3"/>
      <c r="G38" t="s">
        <v>7</v>
      </c>
      <c r="H38" s="3">
        <f t="shared" ref="H38:K44" si="62">-((H4-$H$29)/$H$29)*100</f>
        <v>-29.105952932088432</v>
      </c>
      <c r="I38" s="3">
        <f t="shared" si="62"/>
        <v>35.318640458170471</v>
      </c>
      <c r="J38" s="3">
        <f t="shared" si="62"/>
        <v>18.772259626075023</v>
      </c>
      <c r="K38" s="3">
        <f t="shared" si="62"/>
        <v>46.210894930886589</v>
      </c>
      <c r="M38" t="s">
        <v>7</v>
      </c>
      <c r="N38" s="3">
        <f t="shared" ref="N38:Q44" si="63">-((N4-$N$29)/$N$29)*100</f>
        <v>-11.767109114366553</v>
      </c>
      <c r="O38" s="3">
        <f t="shared" si="63"/>
        <v>-44.093541449503334</v>
      </c>
      <c r="P38" s="3">
        <f t="shared" si="63"/>
        <v>6.6163651394336558</v>
      </c>
      <c r="Q38" s="3">
        <f t="shared" si="63"/>
        <v>26.789115200475422</v>
      </c>
      <c r="R38" s="3"/>
      <c r="S38" s="4"/>
      <c r="U38" t="s">
        <v>7</v>
      </c>
      <c r="V38" s="3">
        <f t="shared" ref="V38:Y44" si="64">-((V4-$V$23)/$V$23)*100</f>
        <v>-55.492579895664754</v>
      </c>
      <c r="W38" s="3">
        <f t="shared" si="64"/>
        <v>-19.904410649607335</v>
      </c>
      <c r="X38" s="3">
        <f t="shared" si="64"/>
        <v>57.26981870109875</v>
      </c>
      <c r="Y38" s="3"/>
      <c r="AA38" t="s">
        <v>7</v>
      </c>
      <c r="AB38" s="3">
        <f t="shared" ref="AB38:AE39" si="65">-((AB4-$AB$29)/$AB$29)*100</f>
        <v>-29.105952932088432</v>
      </c>
      <c r="AC38" s="3">
        <f t="shared" si="65"/>
        <v>35.318640458170471</v>
      </c>
      <c r="AD38" s="3">
        <f t="shared" si="65"/>
        <v>18.772259626075023</v>
      </c>
      <c r="AE38" s="3">
        <f t="shared" si="65"/>
        <v>46.210894930886589</v>
      </c>
      <c r="AG38" t="s">
        <v>7</v>
      </c>
      <c r="AH38" s="3">
        <f t="shared" ref="AH38:AK44" si="66">-((AH4-$AH$29)/$AH$29)*100</f>
        <v>-2.4623963349237137</v>
      </c>
      <c r="AI38" s="3">
        <f t="shared" si="66"/>
        <v>-32.097623981615364</v>
      </c>
      <c r="AJ38" s="3">
        <f t="shared" si="66"/>
        <v>14.390637083685331</v>
      </c>
      <c r="AK38" s="3">
        <f t="shared" si="66"/>
        <v>32.883987482547283</v>
      </c>
    </row>
    <row r="39" spans="1:37" x14ac:dyDescent="0.25">
      <c r="A39" t="s">
        <v>8</v>
      </c>
      <c r="B39" s="3">
        <f t="shared" si="61"/>
        <v>-36.263728393636278</v>
      </c>
      <c r="C39" s="3">
        <f t="shared" si="56"/>
        <v>-41.637682005334</v>
      </c>
      <c r="D39" s="3">
        <f t="shared" si="56"/>
        <v>-23.582374785465472</v>
      </c>
      <c r="E39" s="3">
        <f t="shared" si="56"/>
        <v>-52.953563819828354</v>
      </c>
      <c r="G39" t="s">
        <v>8</v>
      </c>
      <c r="H39" s="3">
        <f t="shared" si="62"/>
        <v>-26.301885304421663</v>
      </c>
      <c r="I39" s="3">
        <f t="shared" si="62"/>
        <v>-30.636787028593528</v>
      </c>
      <c r="J39" s="3">
        <f t="shared" si="62"/>
        <v>-8.5745834004510169</v>
      </c>
      <c r="K39" s="3">
        <f t="shared" si="62"/>
        <v>63.882090446909224</v>
      </c>
      <c r="M39" t="s">
        <v>8</v>
      </c>
      <c r="N39" s="3">
        <f t="shared" si="63"/>
        <v>-2.3177127730896059</v>
      </c>
      <c r="O39" s="3">
        <f t="shared" si="63"/>
        <v>-36.81612176668407</v>
      </c>
      <c r="P39" s="3">
        <f t="shared" si="63"/>
        <v>-30.537281946324224</v>
      </c>
      <c r="Q39" s="3">
        <f t="shared" si="63"/>
        <v>49.499684940356111</v>
      </c>
      <c r="R39" s="3"/>
      <c r="S39" s="4"/>
      <c r="U39" t="s">
        <v>8</v>
      </c>
      <c r="V39" s="3">
        <f t="shared" si="64"/>
        <v>-36.263728393636278</v>
      </c>
      <c r="W39" s="3">
        <f t="shared" si="64"/>
        <v>-41.637682005334</v>
      </c>
      <c r="X39" s="3">
        <f t="shared" si="64"/>
        <v>-23.582374785465472</v>
      </c>
      <c r="Y39" s="3">
        <f t="shared" si="64"/>
        <v>-52.953563819828354</v>
      </c>
      <c r="AA39" t="s">
        <v>8</v>
      </c>
      <c r="AB39" s="3">
        <f>-((AB5-$AB$29)/$AB$29)*100</f>
        <v>-26.301885304421663</v>
      </c>
      <c r="AC39" s="3"/>
      <c r="AD39" s="3">
        <f t="shared" si="65"/>
        <v>-8.5745834004510169</v>
      </c>
      <c r="AE39" s="3">
        <f t="shared" si="65"/>
        <v>63.882090446909224</v>
      </c>
      <c r="AG39" t="s">
        <v>8</v>
      </c>
      <c r="AH39" s="3">
        <f t="shared" si="66"/>
        <v>6.2003292264484662</v>
      </c>
      <c r="AI39" s="3">
        <f t="shared" si="66"/>
        <v>-25.426056060201223</v>
      </c>
      <c r="AJ39" s="3">
        <f t="shared" si="66"/>
        <v>-19.669935325800694</v>
      </c>
      <c r="AK39" s="3">
        <f t="shared" si="66"/>
        <v>53.703881779880149</v>
      </c>
    </row>
    <row r="40" spans="1:37" x14ac:dyDescent="0.25">
      <c r="A40" t="s">
        <v>9</v>
      </c>
      <c r="B40" s="3">
        <f t="shared" si="61"/>
        <v>-79.507744167517544</v>
      </c>
      <c r="C40" s="3">
        <f t="shared" si="56"/>
        <v>-17.911380670352344</v>
      </c>
      <c r="D40" s="3">
        <f t="shared" si="56"/>
        <v>36.127043037071154</v>
      </c>
      <c r="E40" s="3">
        <f t="shared" si="56"/>
        <v>54.194342183699654</v>
      </c>
      <c r="G40" t="s">
        <v>9</v>
      </c>
      <c r="H40" s="3">
        <f t="shared" si="62"/>
        <v>-24.04741309406603</v>
      </c>
      <c r="I40" s="3">
        <f t="shared" si="62"/>
        <v>22.117534593540615</v>
      </c>
      <c r="J40" s="3">
        <f t="shared" si="62"/>
        <v>21.481542141668424</v>
      </c>
      <c r="K40" s="3">
        <f t="shared" si="62"/>
        <v>46.367461158428149</v>
      </c>
      <c r="M40" t="s">
        <v>9</v>
      </c>
      <c r="N40" s="3">
        <f t="shared" si="63"/>
        <v>6.3593824197506574</v>
      </c>
      <c r="O40" s="3">
        <f t="shared" si="63"/>
        <v>-40.514717146999629</v>
      </c>
      <c r="P40" s="3">
        <f t="shared" si="63"/>
        <v>2.2093345972598741</v>
      </c>
      <c r="Q40" s="3">
        <f t="shared" si="63"/>
        <v>26.408861793806686</v>
      </c>
      <c r="R40" s="3"/>
      <c r="S40" s="4"/>
      <c r="U40" t="s">
        <v>9</v>
      </c>
      <c r="V40" s="3">
        <f t="shared" si="64"/>
        <v>-79.507744167517544</v>
      </c>
      <c r="W40" s="3">
        <f t="shared" si="64"/>
        <v>-17.911380670352344</v>
      </c>
      <c r="X40" s="3">
        <f t="shared" si="64"/>
        <v>36.127043037071154</v>
      </c>
      <c r="Y40" s="3">
        <f t="shared" si="64"/>
        <v>54.194342183699654</v>
      </c>
      <c r="AA40" t="s">
        <v>9</v>
      </c>
      <c r="AB40" s="3">
        <f t="shared" ref="AB40:AE44" si="67">-((AB6-$AB$29)/$AB$29)*100</f>
        <v>-24.04741309406603</v>
      </c>
      <c r="AC40" s="3">
        <f t="shared" si="67"/>
        <v>22.117534593540615</v>
      </c>
      <c r="AD40" s="3">
        <f t="shared" si="67"/>
        <v>21.481542141668424</v>
      </c>
      <c r="AE40" s="3">
        <f t="shared" si="67"/>
        <v>46.367461158428149</v>
      </c>
      <c r="AG40" t="s">
        <v>9</v>
      </c>
      <c r="AH40" s="3">
        <f t="shared" si="66"/>
        <v>14.15504840751726</v>
      </c>
      <c r="AI40" s="3">
        <f t="shared" si="66"/>
        <v>-28.816740034612963</v>
      </c>
      <c r="AJ40" s="3">
        <f t="shared" si="66"/>
        <v>10.350495814483612</v>
      </c>
      <c r="AK40" s="3">
        <f t="shared" si="66"/>
        <v>32.535390515420495</v>
      </c>
    </row>
    <row r="41" spans="1:37" x14ac:dyDescent="0.25">
      <c r="A41" t="s">
        <v>10</v>
      </c>
      <c r="B41" s="3">
        <f t="shared" si="61"/>
        <v>31.283217804254054</v>
      </c>
      <c r="C41" s="3">
        <f t="shared" si="56"/>
        <v>33.845888078354506</v>
      </c>
      <c r="D41" s="3"/>
      <c r="E41" s="3"/>
      <c r="G41" t="s">
        <v>10</v>
      </c>
      <c r="H41" s="3">
        <f t="shared" si="62"/>
        <v>21.223762680554781</v>
      </c>
      <c r="I41" s="3">
        <f t="shared" si="62"/>
        <v>23.530674636617352</v>
      </c>
      <c r="J41" s="3">
        <f t="shared" si="62"/>
        <v>5.8589107975942527</v>
      </c>
      <c r="K41" s="3">
        <f t="shared" si="62"/>
        <v>85.974721139917435</v>
      </c>
      <c r="M41" t="s">
        <v>10</v>
      </c>
      <c r="N41" s="3">
        <f t="shared" si="63"/>
        <v>63.567700723294209</v>
      </c>
      <c r="O41" s="3">
        <f t="shared" si="63"/>
        <v>45.074404249651792</v>
      </c>
      <c r="P41" s="3">
        <f t="shared" si="63"/>
        <v>46.391485802014572</v>
      </c>
      <c r="Q41" s="3">
        <f t="shared" si="63"/>
        <v>91.820838132763285</v>
      </c>
      <c r="R41" s="3"/>
      <c r="S41" s="4"/>
      <c r="U41" t="s">
        <v>10</v>
      </c>
      <c r="V41" s="3">
        <f t="shared" si="64"/>
        <v>31.283217804254054</v>
      </c>
      <c r="W41" s="3">
        <f t="shared" si="64"/>
        <v>33.845888078354506</v>
      </c>
      <c r="X41" s="3"/>
      <c r="Y41" s="3"/>
      <c r="AA41" t="s">
        <v>10</v>
      </c>
      <c r="AB41" s="3">
        <f t="shared" si="67"/>
        <v>21.223762680554781</v>
      </c>
      <c r="AC41" s="3">
        <f t="shared" si="67"/>
        <v>23.530674636617352</v>
      </c>
      <c r="AD41" s="3">
        <f t="shared" si="67"/>
        <v>5.8589107975942527</v>
      </c>
      <c r="AE41" s="3">
        <f t="shared" si="67"/>
        <v>85.974721139917435</v>
      </c>
      <c r="AG41" t="s">
        <v>10</v>
      </c>
      <c r="AH41" s="3"/>
      <c r="AI41" s="3">
        <f t="shared" si="66"/>
        <v>49.647009703496202</v>
      </c>
      <c r="AJ41" s="3">
        <f t="shared" si="66"/>
        <v>50.854443027064789</v>
      </c>
      <c r="AK41" s="3"/>
    </row>
    <row r="42" spans="1:37" x14ac:dyDescent="0.25">
      <c r="A42" t="s">
        <v>11</v>
      </c>
      <c r="B42" s="3">
        <f t="shared" si="61"/>
        <v>78.151345519198827</v>
      </c>
      <c r="C42" s="3">
        <f t="shared" si="56"/>
        <v>84.6448261378887</v>
      </c>
      <c r="D42" s="3">
        <f t="shared" si="56"/>
        <v>19.434848622843763</v>
      </c>
      <c r="E42" s="3"/>
      <c r="G42" t="s">
        <v>11</v>
      </c>
      <c r="H42" s="3">
        <f t="shared" si="62"/>
        <v>16.621895631024643</v>
      </c>
      <c r="I42" s="3">
        <f t="shared" si="62"/>
        <v>67.541299747183686</v>
      </c>
      <c r="J42" s="3">
        <f t="shared" si="62"/>
        <v>49.403676370492036</v>
      </c>
      <c r="K42" s="3">
        <f t="shared" si="62"/>
        <v>54.944272647921245</v>
      </c>
      <c r="M42" t="s">
        <v>11</v>
      </c>
      <c r="N42" s="3">
        <f t="shared" si="63"/>
        <v>-11.246049225506914</v>
      </c>
      <c r="O42" s="3">
        <f t="shared" si="63"/>
        <v>-12.417182636425913</v>
      </c>
      <c r="P42" s="3">
        <f t="shared" si="63"/>
        <v>63.356479130171536</v>
      </c>
      <c r="Q42" s="3">
        <f t="shared" si="63"/>
        <v>28.341813450203635</v>
      </c>
      <c r="R42" s="3"/>
      <c r="S42" s="4"/>
      <c r="U42" t="s">
        <v>11</v>
      </c>
      <c r="V42" s="3">
        <f t="shared" si="64"/>
        <v>78.151345519198827</v>
      </c>
      <c r="W42" s="3">
        <f t="shared" si="64"/>
        <v>84.6448261378887</v>
      </c>
      <c r="X42" s="3">
        <f t="shared" si="64"/>
        <v>19.434848622843763</v>
      </c>
      <c r="Y42" s="3"/>
      <c r="AA42" t="s">
        <v>11</v>
      </c>
      <c r="AB42" s="3">
        <f t="shared" si="67"/>
        <v>16.621895631024643</v>
      </c>
      <c r="AC42" s="3">
        <f t="shared" si="67"/>
        <v>67.541299747183686</v>
      </c>
      <c r="AD42" s="3">
        <f t="shared" si="67"/>
        <v>49.403676370492036</v>
      </c>
      <c r="AE42" s="3">
        <f t="shared" si="67"/>
        <v>54.944272647921245</v>
      </c>
      <c r="AG42" t="s">
        <v>11</v>
      </c>
      <c r="AH42" s="3">
        <f t="shared" si="66"/>
        <v>-1.9847151524218301</v>
      </c>
      <c r="AI42" s="3">
        <f t="shared" si="66"/>
        <v>-3.0583506491390766</v>
      </c>
      <c r="AJ42" s="3">
        <f t="shared" si="66"/>
        <v>66.407085338232136</v>
      </c>
      <c r="AK42" s="3">
        <f t="shared" si="66"/>
        <v>34.307422200621637</v>
      </c>
    </row>
    <row r="43" spans="1:37" x14ac:dyDescent="0.25">
      <c r="A43" t="s">
        <v>12</v>
      </c>
      <c r="B43" s="3">
        <f t="shared" si="61"/>
        <v>13.385283590756966</v>
      </c>
      <c r="C43" s="3">
        <f t="shared" si="56"/>
        <v>67.994868505894871</v>
      </c>
      <c r="D43" s="3"/>
      <c r="E43" s="3">
        <f t="shared" si="56"/>
        <v>76.819938033499952</v>
      </c>
      <c r="G43" t="s">
        <v>12</v>
      </c>
      <c r="H43" s="3">
        <f t="shared" si="62"/>
        <v>37.794084186681616</v>
      </c>
      <c r="I43" s="3">
        <f t="shared" si="62"/>
        <v>33.75689960724651</v>
      </c>
      <c r="J43" s="3">
        <f t="shared" si="62"/>
        <v>62.688418849625982</v>
      </c>
      <c r="K43" s="3">
        <f t="shared" si="62"/>
        <v>92.482480941579411</v>
      </c>
      <c r="M43" t="s">
        <v>12</v>
      </c>
      <c r="N43" s="3">
        <f t="shared" si="63"/>
        <v>3.2593780172744049</v>
      </c>
      <c r="O43" s="3">
        <f t="shared" si="63"/>
        <v>30.758303763357265</v>
      </c>
      <c r="P43" s="3">
        <f t="shared" si="63"/>
        <v>26.208324061148947</v>
      </c>
      <c r="Q43" s="3">
        <f t="shared" si="63"/>
        <v>57.088216451577836</v>
      </c>
      <c r="R43" s="3"/>
      <c r="S43" s="4"/>
      <c r="U43" t="s">
        <v>12</v>
      </c>
      <c r="V43" s="3">
        <f t="shared" si="64"/>
        <v>13.385283590756966</v>
      </c>
      <c r="W43" s="3">
        <f t="shared" si="64"/>
        <v>67.994868505894871</v>
      </c>
      <c r="X43" s="3"/>
      <c r="Y43" s="3">
        <f t="shared" si="64"/>
        <v>76.819938033499952</v>
      </c>
      <c r="AA43" t="s">
        <v>12</v>
      </c>
      <c r="AB43" s="3">
        <f t="shared" si="67"/>
        <v>37.794084186681616</v>
      </c>
      <c r="AC43" s="3">
        <f t="shared" si="67"/>
        <v>33.75689960724651</v>
      </c>
      <c r="AD43" s="3">
        <f t="shared" si="67"/>
        <v>62.688418849625982</v>
      </c>
      <c r="AE43" s="3">
        <f t="shared" si="67"/>
        <v>92.482480941579411</v>
      </c>
      <c r="AG43" t="s">
        <v>12</v>
      </c>
      <c r="AH43" s="3">
        <f t="shared" si="66"/>
        <v>11.313122171405087</v>
      </c>
      <c r="AI43" s="3">
        <f t="shared" si="66"/>
        <v>36.52273751268266</v>
      </c>
      <c r="AJ43" s="3">
        <f t="shared" si="66"/>
        <v>32.351547730127919</v>
      </c>
      <c r="AK43" s="3">
        <f t="shared" si="66"/>
        <v>60.66066118899267</v>
      </c>
    </row>
    <row r="44" spans="1:37" x14ac:dyDescent="0.25">
      <c r="A44" t="s">
        <v>13</v>
      </c>
      <c r="B44" s="3">
        <f t="shared" si="61"/>
        <v>87.083491332325224</v>
      </c>
      <c r="C44" s="3">
        <f t="shared" si="56"/>
        <v>-1.3190231561422239</v>
      </c>
      <c r="D44" s="3">
        <f t="shared" si="56"/>
        <v>7.0614490927264404</v>
      </c>
      <c r="E44" s="3">
        <f t="shared" si="56"/>
        <v>77.514341235036341</v>
      </c>
      <c r="G44" t="s">
        <v>13</v>
      </c>
      <c r="H44" s="3">
        <f t="shared" si="62"/>
        <v>19.334358089430541</v>
      </c>
      <c r="I44" s="3">
        <f t="shared" si="62"/>
        <v>40.154795541400176</v>
      </c>
      <c r="J44" s="3">
        <f t="shared" si="62"/>
        <v>58.890295188067242</v>
      </c>
      <c r="K44" s="3">
        <f t="shared" si="62"/>
        <v>67.786841458669045</v>
      </c>
      <c r="M44" t="s">
        <v>13</v>
      </c>
      <c r="N44" s="3">
        <f t="shared" si="63"/>
        <v>-5.6391976459183297</v>
      </c>
      <c r="O44" s="3">
        <f t="shared" si="63"/>
        <v>41.606154580329765</v>
      </c>
      <c r="P44" s="3">
        <f t="shared" si="63"/>
        <v>23.680265020603418</v>
      </c>
      <c r="Q44" s="3">
        <f t="shared" si="63"/>
        <v>29.774194622664972</v>
      </c>
      <c r="R44" s="3"/>
      <c r="S44" s="4"/>
      <c r="U44" t="s">
        <v>13</v>
      </c>
      <c r="V44" s="3">
        <f t="shared" si="64"/>
        <v>87.083491332325224</v>
      </c>
      <c r="W44" s="3">
        <f t="shared" si="64"/>
        <v>-1.3190231561422239</v>
      </c>
      <c r="X44" s="3">
        <f t="shared" si="64"/>
        <v>7.0614490927264404</v>
      </c>
      <c r="Y44" s="3">
        <f t="shared" si="64"/>
        <v>77.514341235036341</v>
      </c>
      <c r="AA44" t="s">
        <v>13</v>
      </c>
      <c r="AB44" s="3">
        <f t="shared" si="67"/>
        <v>19.334358089430541</v>
      </c>
      <c r="AC44" s="3">
        <f t="shared" si="67"/>
        <v>40.154795541400176</v>
      </c>
      <c r="AD44" s="3">
        <f t="shared" si="67"/>
        <v>58.890295188067242</v>
      </c>
      <c r="AE44" s="3">
        <f t="shared" si="67"/>
        <v>67.786841458669045</v>
      </c>
      <c r="AG44" t="s">
        <v>13</v>
      </c>
      <c r="AH44" s="3">
        <f t="shared" si="66"/>
        <v>3.1553609691771083</v>
      </c>
      <c r="AI44" s="3">
        <f t="shared" si="66"/>
        <v>46.467494951594446</v>
      </c>
      <c r="AJ44" s="3">
        <f t="shared" si="66"/>
        <v>30.033951887996874</v>
      </c>
      <c r="AK44" s="3">
        <f t="shared" si="66"/>
        <v>35.620556346779416</v>
      </c>
    </row>
    <row r="45" spans="1:37" x14ac:dyDescent="0.25">
      <c r="A45" t="s">
        <v>5</v>
      </c>
      <c r="B45" s="3"/>
      <c r="C45" s="3"/>
      <c r="D45" s="3"/>
      <c r="E45" s="3"/>
      <c r="G45" t="s">
        <v>5</v>
      </c>
      <c r="H45" s="3"/>
      <c r="I45" s="3"/>
      <c r="J45" s="3"/>
      <c r="K45" s="3"/>
      <c r="M45" t="s">
        <v>5</v>
      </c>
      <c r="N45" s="3"/>
      <c r="O45" s="3"/>
      <c r="P45" s="3"/>
      <c r="Q45" s="3"/>
      <c r="S45" s="4"/>
      <c r="U45" t="s">
        <v>5</v>
      </c>
      <c r="V45" s="3"/>
      <c r="W45" s="3"/>
      <c r="X45" s="3"/>
      <c r="Y45" s="3"/>
      <c r="AA45" t="s">
        <v>5</v>
      </c>
      <c r="AB45" s="3"/>
      <c r="AC45" s="3"/>
      <c r="AD45" s="3"/>
      <c r="AE45" s="3"/>
      <c r="AG45" t="s">
        <v>5</v>
      </c>
      <c r="AH45" s="3"/>
      <c r="AI45" s="3"/>
      <c r="AJ45" s="3"/>
      <c r="AK45" s="3"/>
    </row>
    <row r="46" spans="1:37" x14ac:dyDescent="0.25">
      <c r="A46" t="s">
        <v>7</v>
      </c>
      <c r="B46" s="3"/>
      <c r="C46" s="3"/>
      <c r="D46" s="3"/>
      <c r="E46" s="3"/>
      <c r="G46" t="s">
        <v>7</v>
      </c>
      <c r="H46" s="3"/>
      <c r="I46" s="3"/>
      <c r="J46" s="3"/>
      <c r="K46" s="3"/>
      <c r="M46" t="s">
        <v>7</v>
      </c>
      <c r="N46" s="3"/>
      <c r="O46" s="3"/>
      <c r="P46" s="3"/>
      <c r="Q46" s="3"/>
      <c r="S46" s="4"/>
      <c r="U46" t="s">
        <v>7</v>
      </c>
      <c r="V46" s="3"/>
      <c r="W46" s="3"/>
      <c r="X46" s="3"/>
      <c r="Y46" s="3"/>
      <c r="AA46" t="s">
        <v>7</v>
      </c>
      <c r="AB46" s="3"/>
      <c r="AC46" s="3"/>
      <c r="AD46" s="3"/>
      <c r="AE46" s="3"/>
      <c r="AG46" t="s">
        <v>7</v>
      </c>
      <c r="AH46" s="3"/>
      <c r="AI46" s="3"/>
      <c r="AJ46" s="3"/>
      <c r="AK46" s="3"/>
    </row>
    <row r="47" spans="1:37" x14ac:dyDescent="0.25">
      <c r="A47" t="s">
        <v>8</v>
      </c>
      <c r="B47" s="3"/>
      <c r="C47" s="3"/>
      <c r="D47" s="3"/>
      <c r="E47" s="3"/>
      <c r="G47" t="s">
        <v>8</v>
      </c>
      <c r="H47" s="3"/>
      <c r="I47" s="3"/>
      <c r="J47" s="3"/>
      <c r="K47" s="3"/>
      <c r="M47" t="s">
        <v>8</v>
      </c>
      <c r="N47" s="3"/>
      <c r="O47" s="3"/>
      <c r="P47" s="3"/>
      <c r="Q47" s="3"/>
      <c r="S47" s="4"/>
      <c r="U47" t="s">
        <v>8</v>
      </c>
      <c r="V47" s="3"/>
      <c r="W47" s="3"/>
      <c r="X47" s="3"/>
      <c r="Y47" s="3"/>
      <c r="AA47" t="s">
        <v>8</v>
      </c>
      <c r="AB47" s="3"/>
      <c r="AC47" s="3"/>
      <c r="AD47" s="3"/>
      <c r="AE47" s="3"/>
      <c r="AG47" t="s">
        <v>8</v>
      </c>
      <c r="AH47" s="3"/>
      <c r="AI47" s="3"/>
      <c r="AJ47" s="3"/>
      <c r="AK47" s="3"/>
    </row>
    <row r="48" spans="1:37" x14ac:dyDescent="0.25">
      <c r="A48" t="s">
        <v>9</v>
      </c>
      <c r="B48" s="3"/>
      <c r="C48" s="3"/>
      <c r="D48" s="3"/>
      <c r="E48" s="3"/>
      <c r="G48" t="s">
        <v>9</v>
      </c>
      <c r="H48" s="3"/>
      <c r="I48" s="3"/>
      <c r="J48" s="3"/>
      <c r="K48" s="3"/>
      <c r="M48" t="s">
        <v>9</v>
      </c>
      <c r="N48" s="3"/>
      <c r="O48" s="3"/>
      <c r="P48" s="3"/>
      <c r="Q48" s="3"/>
      <c r="S48" s="4"/>
      <c r="U48" t="s">
        <v>9</v>
      </c>
      <c r="V48" s="3"/>
      <c r="W48" s="3"/>
      <c r="X48" s="3"/>
      <c r="Y48" s="3"/>
      <c r="AA48" t="s">
        <v>9</v>
      </c>
      <c r="AB48" s="3"/>
      <c r="AC48" s="3"/>
      <c r="AD48" s="3"/>
      <c r="AE48" s="3"/>
      <c r="AG48" t="s">
        <v>9</v>
      </c>
      <c r="AH48" s="3"/>
      <c r="AI48" s="3"/>
      <c r="AJ48" s="3"/>
      <c r="AK48" s="3"/>
    </row>
    <row r="49" spans="1:37" x14ac:dyDescent="0.25">
      <c r="A49" t="s">
        <v>10</v>
      </c>
      <c r="B49" s="3"/>
      <c r="C49" s="3"/>
      <c r="D49" s="3"/>
      <c r="E49" s="3"/>
      <c r="G49" t="s">
        <v>10</v>
      </c>
      <c r="H49" s="3"/>
      <c r="I49" s="3"/>
      <c r="J49" s="3"/>
      <c r="K49" s="3"/>
      <c r="M49" t="s">
        <v>10</v>
      </c>
      <c r="N49" s="3"/>
      <c r="O49" s="3"/>
      <c r="P49" s="3"/>
      <c r="Q49" s="3"/>
      <c r="S49" s="4"/>
      <c r="U49" t="s">
        <v>10</v>
      </c>
      <c r="V49" s="3"/>
      <c r="W49" s="3"/>
      <c r="X49" s="3"/>
      <c r="Y49" s="3"/>
      <c r="AA49" t="s">
        <v>10</v>
      </c>
      <c r="AB49" s="3"/>
      <c r="AC49" s="3"/>
      <c r="AD49" s="3"/>
      <c r="AE49" s="3"/>
      <c r="AG49" t="s">
        <v>10</v>
      </c>
      <c r="AH49" s="3"/>
      <c r="AI49" s="3"/>
      <c r="AJ49" s="3"/>
      <c r="AK49" s="3"/>
    </row>
    <row r="50" spans="1:37" x14ac:dyDescent="0.25">
      <c r="A50" t="s">
        <v>11</v>
      </c>
      <c r="B50" s="3"/>
      <c r="C50" s="3"/>
      <c r="D50" s="3"/>
      <c r="E50" s="3"/>
      <c r="G50" t="s">
        <v>11</v>
      </c>
      <c r="H50" s="3"/>
      <c r="I50" s="3"/>
      <c r="J50" s="3"/>
      <c r="K50" s="3"/>
      <c r="M50" t="s">
        <v>11</v>
      </c>
      <c r="N50" s="3"/>
      <c r="O50" s="3"/>
      <c r="P50" s="3"/>
      <c r="Q50" s="3"/>
      <c r="S50" s="4"/>
      <c r="U50" t="s">
        <v>11</v>
      </c>
      <c r="V50" s="3"/>
      <c r="W50" s="3"/>
      <c r="X50" s="3"/>
      <c r="Y50" s="3"/>
      <c r="AA50" t="s">
        <v>11</v>
      </c>
      <c r="AB50" s="3"/>
      <c r="AC50" s="3"/>
      <c r="AD50" s="3"/>
      <c r="AE50" s="3"/>
      <c r="AG50" t="s">
        <v>11</v>
      </c>
      <c r="AH50" s="3"/>
      <c r="AI50" s="3"/>
      <c r="AJ50" s="3"/>
      <c r="AK50" s="3"/>
    </row>
    <row r="51" spans="1:37" x14ac:dyDescent="0.25">
      <c r="A51" t="s">
        <v>12</v>
      </c>
      <c r="B51" s="3"/>
      <c r="C51" s="3"/>
      <c r="D51" s="3"/>
      <c r="E51" s="3"/>
      <c r="G51" t="s">
        <v>12</v>
      </c>
      <c r="H51" s="3"/>
      <c r="I51" s="3"/>
      <c r="J51" s="3"/>
      <c r="K51" s="3"/>
      <c r="M51" t="s">
        <v>12</v>
      </c>
      <c r="N51" s="3"/>
      <c r="O51" s="3"/>
      <c r="P51" s="3"/>
      <c r="Q51" s="3"/>
      <c r="S51" s="4"/>
      <c r="U51" t="s">
        <v>12</v>
      </c>
      <c r="V51" s="3"/>
      <c r="W51" s="3"/>
      <c r="X51" s="3"/>
      <c r="Y51" s="3"/>
      <c r="AA51" t="s">
        <v>12</v>
      </c>
      <c r="AB51" s="3"/>
      <c r="AC51" s="3"/>
      <c r="AD51" s="3"/>
      <c r="AE51" s="3"/>
      <c r="AG51" t="s">
        <v>12</v>
      </c>
      <c r="AH51" s="3"/>
      <c r="AI51" s="3"/>
      <c r="AJ51" s="3"/>
      <c r="AK51" s="3"/>
    </row>
    <row r="52" spans="1:37" x14ac:dyDescent="0.25">
      <c r="A52" t="s">
        <v>13</v>
      </c>
      <c r="B52" s="3"/>
      <c r="C52" s="3"/>
      <c r="D52" s="3"/>
      <c r="E52" s="3"/>
      <c r="G52" t="s">
        <v>13</v>
      </c>
      <c r="H52" s="3"/>
      <c r="I52" s="3"/>
      <c r="J52" s="3"/>
      <c r="K52" s="3"/>
      <c r="M52" t="s">
        <v>13</v>
      </c>
      <c r="N52" s="3"/>
      <c r="O52" s="3"/>
      <c r="P52" s="3"/>
      <c r="Q52" s="3"/>
      <c r="S52" s="4"/>
      <c r="U52" t="s">
        <v>13</v>
      </c>
      <c r="V52" s="3"/>
      <c r="W52" s="3"/>
      <c r="X52" s="3"/>
      <c r="Y52" s="3"/>
      <c r="AA52" t="s">
        <v>13</v>
      </c>
      <c r="AB52" s="3"/>
      <c r="AC52" s="3"/>
      <c r="AD52" s="3"/>
      <c r="AE52" s="3"/>
      <c r="AG52" t="s">
        <v>13</v>
      </c>
      <c r="AH52" s="3"/>
      <c r="AI52" s="3"/>
      <c r="AJ52" s="3"/>
      <c r="AK52" s="3"/>
    </row>
    <row r="53" spans="1:37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  <c r="S53" s="4"/>
      <c r="U53" s="2"/>
      <c r="V53" s="2"/>
      <c r="W53" s="2"/>
      <c r="X53" s="2"/>
      <c r="Y53" s="2"/>
      <c r="AA53" s="2"/>
      <c r="AB53" s="2"/>
      <c r="AC53" s="2"/>
      <c r="AD53" s="2"/>
      <c r="AE53" s="2"/>
      <c r="AG53" s="2"/>
      <c r="AH53" s="2"/>
      <c r="AI53" s="2"/>
      <c r="AJ53" s="2"/>
      <c r="AK53" s="2"/>
    </row>
    <row r="54" spans="1:37" x14ac:dyDescent="0.25">
      <c r="A54" t="s">
        <v>14</v>
      </c>
      <c r="B54">
        <f>COUNT(B37:B52)</f>
        <v>8</v>
      </c>
      <c r="C54">
        <f t="shared" ref="C54:E54" si="68">COUNT(C37:C52)</f>
        <v>8</v>
      </c>
      <c r="D54">
        <f t="shared" si="68"/>
        <v>6</v>
      </c>
      <c r="E54">
        <f t="shared" si="68"/>
        <v>5</v>
      </c>
      <c r="G54" t="s">
        <v>14</v>
      </c>
      <c r="H54">
        <f>COUNT(H37:H52)</f>
        <v>8</v>
      </c>
      <c r="I54">
        <f t="shared" ref="I54:K54" si="69">COUNT(I37:I52)</f>
        <v>8</v>
      </c>
      <c r="J54">
        <f t="shared" si="69"/>
        <v>8</v>
      </c>
      <c r="K54">
        <f t="shared" si="69"/>
        <v>8</v>
      </c>
      <c r="M54" t="s">
        <v>14</v>
      </c>
      <c r="N54">
        <f>COUNT(N37:N52)</f>
        <v>8</v>
      </c>
      <c r="O54">
        <f t="shared" ref="O54:Q54" si="70">COUNT(O37:O52)</f>
        <v>8</v>
      </c>
      <c r="P54">
        <f t="shared" si="70"/>
        <v>8</v>
      </c>
      <c r="Q54">
        <f t="shared" si="70"/>
        <v>8</v>
      </c>
      <c r="S54" s="4"/>
      <c r="U54" t="s">
        <v>14</v>
      </c>
      <c r="V54">
        <f>COUNT(V37:V52)</f>
        <v>8</v>
      </c>
      <c r="W54">
        <f t="shared" ref="W54:Y54" si="71">COUNT(W37:W52)</f>
        <v>8</v>
      </c>
      <c r="X54">
        <f t="shared" si="71"/>
        <v>6</v>
      </c>
      <c r="Y54">
        <f t="shared" si="71"/>
        <v>5</v>
      </c>
      <c r="AA54" t="s">
        <v>14</v>
      </c>
      <c r="AB54">
        <f>COUNT(AB37:AB52)</f>
        <v>8</v>
      </c>
      <c r="AC54">
        <f t="shared" ref="AC54:AE54" si="72">COUNT(AC37:AC52)</f>
        <v>7</v>
      </c>
      <c r="AD54">
        <f t="shared" si="72"/>
        <v>8</v>
      </c>
      <c r="AE54">
        <f t="shared" si="72"/>
        <v>8</v>
      </c>
      <c r="AG54" t="s">
        <v>14</v>
      </c>
      <c r="AH54">
        <f>COUNT(AH37:AH52)</f>
        <v>7</v>
      </c>
      <c r="AI54">
        <f t="shared" ref="AI54:AK54" si="73">COUNT(AI37:AI52)</f>
        <v>8</v>
      </c>
      <c r="AJ54">
        <f t="shared" si="73"/>
        <v>8</v>
      </c>
      <c r="AK54">
        <f t="shared" si="73"/>
        <v>7</v>
      </c>
    </row>
    <row r="55" spans="1:37" x14ac:dyDescent="0.25">
      <c r="A55" t="s">
        <v>15</v>
      </c>
      <c r="B55">
        <f>MAX(B37:B52)</f>
        <v>87.083491332325224</v>
      </c>
      <c r="C55">
        <f t="shared" ref="C55:E55" si="74">MAX(C37:C52)</f>
        <v>84.6448261378887</v>
      </c>
      <c r="D55">
        <f t="shared" si="74"/>
        <v>58.860881066739601</v>
      </c>
      <c r="E55">
        <f t="shared" si="74"/>
        <v>77.514341235036341</v>
      </c>
      <c r="G55" t="s">
        <v>15</v>
      </c>
      <c r="H55">
        <f>MAX(H37:H52)</f>
        <v>37.794084186681616</v>
      </c>
      <c r="I55">
        <f t="shared" ref="I55:K55" si="75">MAX(I37:I52)</f>
        <v>67.541299747183686</v>
      </c>
      <c r="J55">
        <f t="shared" si="75"/>
        <v>62.688418849625982</v>
      </c>
      <c r="K55">
        <f t="shared" si="75"/>
        <v>92.482480941579411</v>
      </c>
      <c r="M55" t="s">
        <v>15</v>
      </c>
      <c r="N55">
        <f>MAX(N37:N52)</f>
        <v>63.567700723294209</v>
      </c>
      <c r="O55">
        <f t="shared" ref="O55:Q55" si="76">MAX(O37:O52)</f>
        <v>45.074404249651792</v>
      </c>
      <c r="P55">
        <f t="shared" si="76"/>
        <v>63.356479130171536</v>
      </c>
      <c r="Q55">
        <f t="shared" si="76"/>
        <v>91.820838132763285</v>
      </c>
      <c r="S55" s="4"/>
      <c r="U55" t="s">
        <v>15</v>
      </c>
      <c r="V55">
        <f>MAX(V37:V52)</f>
        <v>87.083491332325224</v>
      </c>
      <c r="W55">
        <f t="shared" ref="W55:Y55" si="77">MAX(W37:W52)</f>
        <v>84.6448261378887</v>
      </c>
      <c r="X55">
        <f t="shared" si="77"/>
        <v>58.860881066739601</v>
      </c>
      <c r="Y55">
        <f t="shared" si="77"/>
        <v>77.514341235036341</v>
      </c>
      <c r="AA55" t="s">
        <v>15</v>
      </c>
      <c r="AB55">
        <f>MAX(AB37:AB52)</f>
        <v>37.794084186681616</v>
      </c>
      <c r="AC55">
        <f t="shared" ref="AC55:AE55" si="78">MAX(AC37:AC52)</f>
        <v>67.541299747183686</v>
      </c>
      <c r="AD55">
        <f t="shared" si="78"/>
        <v>62.688418849625982</v>
      </c>
      <c r="AE55">
        <f t="shared" si="78"/>
        <v>92.482480941579411</v>
      </c>
      <c r="AG55" t="s">
        <v>15</v>
      </c>
      <c r="AH55">
        <f>MAX(AH37:AH52)</f>
        <v>14.15504840751726</v>
      </c>
      <c r="AI55">
        <f t="shared" ref="AI55:AK55" si="79">MAX(AI37:AI52)</f>
        <v>49.647009703496202</v>
      </c>
      <c r="AJ55">
        <f t="shared" si="79"/>
        <v>66.407085338232136</v>
      </c>
      <c r="AK55">
        <f t="shared" si="79"/>
        <v>60.66066118899267</v>
      </c>
    </row>
    <row r="56" spans="1:37" x14ac:dyDescent="0.25">
      <c r="A56" t="s">
        <v>16</v>
      </c>
      <c r="B56">
        <f>MIN(B37:B52)</f>
        <v>-79.507744167517544</v>
      </c>
      <c r="C56">
        <f t="shared" ref="C56:E56" si="80">MIN(C37:C52)</f>
        <v>-41.637682005334</v>
      </c>
      <c r="D56">
        <f t="shared" si="80"/>
        <v>-23.582374785465472</v>
      </c>
      <c r="E56">
        <f t="shared" si="80"/>
        <v>-52.953563819828354</v>
      </c>
      <c r="G56" t="s">
        <v>16</v>
      </c>
      <c r="H56">
        <f>MIN(H37:H52)</f>
        <v>-29.105952932088432</v>
      </c>
      <c r="I56">
        <f t="shared" ref="I56:K56" si="81">MIN(I37:I52)</f>
        <v>-30.636787028593528</v>
      </c>
      <c r="J56">
        <f t="shared" si="81"/>
        <v>-8.5745834004510169</v>
      </c>
      <c r="K56">
        <f t="shared" si="81"/>
        <v>46.210894930886589</v>
      </c>
      <c r="M56" t="s">
        <v>16</v>
      </c>
      <c r="N56">
        <f>MIN(N37:N52)</f>
        <v>-42.216392401437815</v>
      </c>
      <c r="O56">
        <f t="shared" ref="O56:Q56" si="82">MIN(O37:O52)</f>
        <v>-44.093541449503334</v>
      </c>
      <c r="P56">
        <f t="shared" si="82"/>
        <v>-30.537281946324224</v>
      </c>
      <c r="Q56">
        <f t="shared" si="82"/>
        <v>26.408861793806686</v>
      </c>
      <c r="S56" s="4"/>
      <c r="U56" t="s">
        <v>16</v>
      </c>
      <c r="V56">
        <f>MIN(V37:V52)</f>
        <v>-79.507744167517544</v>
      </c>
      <c r="W56">
        <f t="shared" ref="W56:Y56" si="83">MIN(W37:W52)</f>
        <v>-41.637682005334</v>
      </c>
      <c r="X56">
        <f t="shared" si="83"/>
        <v>-23.582374785465472</v>
      </c>
      <c r="Y56">
        <f t="shared" si="83"/>
        <v>-52.953563819828354</v>
      </c>
      <c r="AA56" t="s">
        <v>16</v>
      </c>
      <c r="AB56">
        <f>MIN(AB37:AB52)</f>
        <v>-29.105952932088432</v>
      </c>
      <c r="AC56">
        <f t="shared" ref="AC56:AE56" si="84">MIN(AC37:AC52)</f>
        <v>16.700081273567267</v>
      </c>
      <c r="AD56">
        <f t="shared" si="84"/>
        <v>-8.5745834004510169</v>
      </c>
      <c r="AE56">
        <f t="shared" si="84"/>
        <v>46.210894930886589</v>
      </c>
      <c r="AG56" t="s">
        <v>16</v>
      </c>
      <c r="AH56">
        <f>MIN(AH37:AH52)</f>
        <v>-30.376749287202326</v>
      </c>
      <c r="AI56">
        <f t="shared" ref="AI56:AK56" si="85">MIN(AI37:AI52)</f>
        <v>-32.097623981615364</v>
      </c>
      <c r="AJ56">
        <f t="shared" si="85"/>
        <v>-19.669935325800694</v>
      </c>
      <c r="AK56">
        <f t="shared" si="85"/>
        <v>32.535390515420495</v>
      </c>
    </row>
    <row r="57" spans="1:37" x14ac:dyDescent="0.25">
      <c r="A57" t="s">
        <v>17</v>
      </c>
      <c r="B57">
        <f>AVERAGE(B37:B52)</f>
        <v>0</v>
      </c>
      <c r="C57">
        <f t="shared" ref="C57:E57" si="86">AVERAGE(C37:C52)</f>
        <v>14.818740237789752</v>
      </c>
      <c r="D57">
        <f t="shared" si="86"/>
        <v>25.861944289169035</v>
      </c>
      <c r="E57">
        <f t="shared" si="86"/>
        <v>25.391254063045785</v>
      </c>
      <c r="G57" t="s">
        <v>17</v>
      </c>
      <c r="H57">
        <f>AVERAGE(H37:H52)</f>
        <v>-1.3766765505351941E-14</v>
      </c>
      <c r="I57">
        <f t="shared" ref="I57:K57" si="87">AVERAGE(I37:I52)</f>
        <v>26.060392353641568</v>
      </c>
      <c r="J57">
        <f t="shared" si="87"/>
        <v>31.09494249831058</v>
      </c>
      <c r="K57">
        <f t="shared" si="87"/>
        <v>63.279293271561571</v>
      </c>
      <c r="M57" t="s">
        <v>17</v>
      </c>
      <c r="N57">
        <f>AVERAGE(N37:N52)</f>
        <v>6.9944050551384862E-15</v>
      </c>
      <c r="O57">
        <f t="shared" ref="O57:Q57" si="88">AVERAGE(O37:O52)</f>
        <v>-4.6762388601448643</v>
      </c>
      <c r="P57">
        <f t="shared" si="88"/>
        <v>15.897105730468974</v>
      </c>
      <c r="Q57">
        <f t="shared" si="88"/>
        <v>42.971855571272762</v>
      </c>
      <c r="S57" s="4"/>
      <c r="U57" t="s">
        <v>17</v>
      </c>
      <c r="V57">
        <f>AVERAGE(V37:V52)</f>
        <v>0</v>
      </c>
      <c r="W57">
        <f t="shared" ref="W57:Y57" si="89">AVERAGE(W37:W52)</f>
        <v>14.818740237789752</v>
      </c>
      <c r="X57">
        <f t="shared" si="89"/>
        <v>25.861944289169035</v>
      </c>
      <c r="Y57">
        <f t="shared" si="89"/>
        <v>25.391254063045785</v>
      </c>
      <c r="AA57" t="s">
        <v>17</v>
      </c>
      <c r="AB57">
        <f>AVERAGE(AB37:AB52)</f>
        <v>-1.3766765505351941E-14</v>
      </c>
      <c r="AC57">
        <f t="shared" ref="AC57:AE57" si="90">AVERAGE(AC37:AC52)</f>
        <v>34.159989408246581</v>
      </c>
      <c r="AD57">
        <f t="shared" si="90"/>
        <v>31.09494249831058</v>
      </c>
      <c r="AE57">
        <f t="shared" si="90"/>
        <v>63.279293271561571</v>
      </c>
      <c r="AG57" t="s">
        <v>17</v>
      </c>
      <c r="AH57">
        <f>AVERAGE(AH37:AH52)</f>
        <v>7.6129578831439303E-15</v>
      </c>
      <c r="AI57">
        <f t="shared" ref="AI57:AK57" si="91">AVERAGE(AI37:AI52)</f>
        <v>4.038152566311072</v>
      </c>
      <c r="AJ57">
        <f t="shared" si="91"/>
        <v>22.898747638349779</v>
      </c>
      <c r="AK57">
        <f t="shared" si="91"/>
        <v>41.322034295299957</v>
      </c>
    </row>
    <row r="58" spans="1:37" x14ac:dyDescent="0.25">
      <c r="A58" t="s">
        <v>18</v>
      </c>
      <c r="B58">
        <f>STDEV(B37:B52)</f>
        <v>62.172493931357401</v>
      </c>
      <c r="C58">
        <f t="shared" ref="C58:E58" si="92">STDEV(C37:C52)</f>
        <v>44.391209284967807</v>
      </c>
      <c r="D58">
        <f t="shared" si="92"/>
        <v>31.686790695555317</v>
      </c>
      <c r="E58">
        <f t="shared" si="92"/>
        <v>61.738032637006256</v>
      </c>
      <c r="G58" t="s">
        <v>18</v>
      </c>
      <c r="H58">
        <f>STDEV(H37:H52)</f>
        <v>26.42240430382391</v>
      </c>
      <c r="I58">
        <f t="shared" ref="I58:K58" si="93">STDEV(I37:I52)</f>
        <v>27.744756090738107</v>
      </c>
      <c r="J58">
        <f t="shared" si="93"/>
        <v>25.758071790765939</v>
      </c>
      <c r="K58">
        <f t="shared" si="93"/>
        <v>17.933639323989976</v>
      </c>
      <c r="M58" t="s">
        <v>18</v>
      </c>
      <c r="N58">
        <f>STDEV(N37:N52)</f>
        <v>29.703901800313822</v>
      </c>
      <c r="O58">
        <f t="shared" ref="O58:Q58" si="94">STDEV(O37:O52)</f>
        <v>37.929461655566222</v>
      </c>
      <c r="P58">
        <f t="shared" si="94"/>
        <v>30.446219767084283</v>
      </c>
      <c r="Q58">
        <f t="shared" si="94"/>
        <v>22.778747039652355</v>
      </c>
      <c r="S58" s="4"/>
      <c r="U58" t="s">
        <v>18</v>
      </c>
      <c r="V58">
        <f>STDEV(V37:V52)</f>
        <v>62.172493931357401</v>
      </c>
      <c r="W58">
        <f t="shared" ref="W58:Y58" si="95">STDEV(W37:W52)</f>
        <v>44.391209284967807</v>
      </c>
      <c r="X58">
        <f t="shared" si="95"/>
        <v>31.686790695555317</v>
      </c>
      <c r="Y58">
        <f t="shared" si="95"/>
        <v>61.738032637006256</v>
      </c>
      <c r="AA58" t="s">
        <v>18</v>
      </c>
      <c r="AB58">
        <f>STDEV(AB37:AB52)</f>
        <v>26.42240430382391</v>
      </c>
      <c r="AC58">
        <f t="shared" ref="AC58:AE58" si="96">STDEV(AC37:AC52)</f>
        <v>16.904663935887324</v>
      </c>
      <c r="AD58">
        <f t="shared" si="96"/>
        <v>25.758071790765939</v>
      </c>
      <c r="AE58">
        <f t="shared" si="96"/>
        <v>17.933639323989976</v>
      </c>
      <c r="AG58" t="s">
        <v>18</v>
      </c>
      <c r="AH58">
        <f>STDEV(AH37:AH52)</f>
        <v>14.77329742728694</v>
      </c>
      <c r="AI58">
        <f t="shared" ref="AI58:AK58" si="97">STDEV(AI37:AI52)</f>
        <v>34.771799715658631</v>
      </c>
      <c r="AJ58">
        <f t="shared" si="97"/>
        <v>27.911544473097464</v>
      </c>
      <c r="AK58">
        <f t="shared" si="97"/>
        <v>11.258902578602136</v>
      </c>
    </row>
    <row r="59" spans="1:37" x14ac:dyDescent="0.25">
      <c r="A59" t="s">
        <v>19</v>
      </c>
      <c r="B59">
        <f>B57+2*B58</f>
        <v>124.3449878627148</v>
      </c>
      <c r="C59">
        <f t="shared" ref="C59:E59" si="98">C57+2*C58</f>
        <v>103.60115880772537</v>
      </c>
      <c r="D59">
        <f t="shared" si="98"/>
        <v>89.235525680279665</v>
      </c>
      <c r="E59">
        <f t="shared" si="98"/>
        <v>148.86731933705829</v>
      </c>
      <c r="G59" t="s">
        <v>19</v>
      </c>
      <c r="H59">
        <f>H57+2*H58</f>
        <v>52.844808607647806</v>
      </c>
      <c r="I59">
        <f t="shared" ref="I59:K59" si="99">I57+2*I58</f>
        <v>81.549904535117776</v>
      </c>
      <c r="J59">
        <f t="shared" si="99"/>
        <v>82.611086079842465</v>
      </c>
      <c r="K59">
        <f t="shared" si="99"/>
        <v>99.146571919541515</v>
      </c>
      <c r="M59" t="s">
        <v>19</v>
      </c>
      <c r="N59">
        <f>N57+2*N58</f>
        <v>59.407803600627652</v>
      </c>
      <c r="O59">
        <f t="shared" ref="O59:Q59" si="100">O57+2*O58</f>
        <v>71.18268445098758</v>
      </c>
      <c r="P59">
        <f t="shared" si="100"/>
        <v>76.789545264637539</v>
      </c>
      <c r="Q59">
        <f t="shared" si="100"/>
        <v>88.529349650577473</v>
      </c>
      <c r="S59" s="4"/>
      <c r="U59" t="s">
        <v>19</v>
      </c>
      <c r="V59">
        <f>V57+2*V58</f>
        <v>124.3449878627148</v>
      </c>
      <c r="W59">
        <f t="shared" ref="W59:Y59" si="101">W57+2*W58</f>
        <v>103.60115880772537</v>
      </c>
      <c r="X59">
        <f t="shared" si="101"/>
        <v>89.235525680279665</v>
      </c>
      <c r="Y59">
        <f t="shared" si="101"/>
        <v>148.86731933705829</v>
      </c>
      <c r="AA59" t="s">
        <v>19</v>
      </c>
      <c r="AB59">
        <f>AB57+2*AB58</f>
        <v>52.844808607647806</v>
      </c>
      <c r="AC59">
        <f t="shared" ref="AC59:AE59" si="102">AC57+2*AC58</f>
        <v>67.96931728002123</v>
      </c>
      <c r="AD59">
        <f t="shared" si="102"/>
        <v>82.611086079842465</v>
      </c>
      <c r="AE59">
        <f t="shared" si="102"/>
        <v>99.146571919541515</v>
      </c>
      <c r="AG59" t="s">
        <v>19</v>
      </c>
      <c r="AH59">
        <f>AH57+2*AH58</f>
        <v>29.546594854573886</v>
      </c>
      <c r="AI59">
        <f t="shared" ref="AI59:AK59" si="103">AI57+2*AI58</f>
        <v>73.581751997628331</v>
      </c>
      <c r="AJ59">
        <f t="shared" si="103"/>
        <v>78.721836584544704</v>
      </c>
      <c r="AK59">
        <f t="shared" si="103"/>
        <v>63.839839452504229</v>
      </c>
    </row>
    <row r="60" spans="1:37" x14ac:dyDescent="0.25">
      <c r="A60" t="s">
        <v>20</v>
      </c>
      <c r="B60">
        <f>B57-2*B58</f>
        <v>-124.3449878627148</v>
      </c>
      <c r="C60">
        <f t="shared" ref="C60:E60" si="104">C57-2*C58</f>
        <v>-73.963678332145861</v>
      </c>
      <c r="D60">
        <f t="shared" si="104"/>
        <v>-37.511637101941602</v>
      </c>
      <c r="E60">
        <f t="shared" si="104"/>
        <v>-98.084811210966734</v>
      </c>
      <c r="G60" t="s">
        <v>20</v>
      </c>
      <c r="H60">
        <f>H57-2*H58</f>
        <v>-52.844808607647835</v>
      </c>
      <c r="I60">
        <f t="shared" ref="I60:K60" si="105">I57-2*I58</f>
        <v>-29.429119827834647</v>
      </c>
      <c r="J60">
        <f t="shared" si="105"/>
        <v>-20.421201083221298</v>
      </c>
      <c r="K60">
        <f t="shared" si="105"/>
        <v>27.412014623581619</v>
      </c>
      <c r="M60" t="s">
        <v>20</v>
      </c>
      <c r="N60">
        <f>N57-2*N58</f>
        <v>-59.407803600627638</v>
      </c>
      <c r="O60">
        <f t="shared" ref="O60:Q60" si="106">O57-2*O58</f>
        <v>-80.535162171277307</v>
      </c>
      <c r="P60">
        <f t="shared" si="106"/>
        <v>-44.995333803699594</v>
      </c>
      <c r="Q60">
        <f t="shared" si="106"/>
        <v>-2.5856385080319484</v>
      </c>
      <c r="S60" s="4"/>
      <c r="U60" t="s">
        <v>20</v>
      </c>
      <c r="V60">
        <f>V57-2*V58</f>
        <v>-124.3449878627148</v>
      </c>
      <c r="W60">
        <f t="shared" ref="W60:Y60" si="107">W57-2*W58</f>
        <v>-73.963678332145861</v>
      </c>
      <c r="X60">
        <f t="shared" si="107"/>
        <v>-37.511637101941602</v>
      </c>
      <c r="Y60">
        <f t="shared" si="107"/>
        <v>-98.084811210966734</v>
      </c>
      <c r="AA60" t="s">
        <v>20</v>
      </c>
      <c r="AB60">
        <f>AB57-2*AB58</f>
        <v>-52.844808607647835</v>
      </c>
      <c r="AC60">
        <f t="shared" ref="AC60:AE60" si="108">AC57-2*AC58</f>
        <v>0.35066153647193232</v>
      </c>
      <c r="AD60">
        <f t="shared" si="108"/>
        <v>-20.421201083221298</v>
      </c>
      <c r="AE60">
        <f t="shared" si="108"/>
        <v>27.412014623581619</v>
      </c>
      <c r="AG60" t="s">
        <v>20</v>
      </c>
      <c r="AH60">
        <f>AH57-2*AH58</f>
        <v>-29.546594854573872</v>
      </c>
      <c r="AI60">
        <f t="shared" ref="AI60:AK60" si="109">AI57-2*AI58</f>
        <v>-65.505446865006192</v>
      </c>
      <c r="AJ60">
        <f t="shared" si="109"/>
        <v>-32.924341307845154</v>
      </c>
      <c r="AK60">
        <f t="shared" si="109"/>
        <v>18.804229138095685</v>
      </c>
    </row>
    <row r="61" spans="1:37" x14ac:dyDescent="0.25">
      <c r="A61" t="s">
        <v>21</v>
      </c>
      <c r="B61">
        <f>VAR(B37:B52)</f>
        <v>3865.4190016446732</v>
      </c>
      <c r="C61">
        <f t="shared" ref="C61:E61" si="110">VAR(C37:C52)</f>
        <v>1970.5794617818121</v>
      </c>
      <c r="D61">
        <f t="shared" si="110"/>
        <v>1004.052704583931</v>
      </c>
      <c r="E61">
        <f t="shared" si="110"/>
        <v>3811.58467388805</v>
      </c>
      <c r="G61" t="s">
        <v>21</v>
      </c>
      <c r="H61">
        <f>VAR(H37:H52)</f>
        <v>698.14344919473228</v>
      </c>
      <c r="I61">
        <f t="shared" ref="I61:K61" si="111">VAR(I37:I52)</f>
        <v>769.77149053454923</v>
      </c>
      <c r="J61">
        <f t="shared" si="111"/>
        <v>663.47826237825211</v>
      </c>
      <c r="K61">
        <f t="shared" si="111"/>
        <v>321.61541940295967</v>
      </c>
      <c r="M61" t="s">
        <v>21</v>
      </c>
      <c r="N61">
        <f>VAR(N37:N52)</f>
        <v>882.32178216268676</v>
      </c>
      <c r="O61">
        <f t="shared" ref="O61:Q61" si="112">VAR(O37:O52)</f>
        <v>1438.6440614810685</v>
      </c>
      <c r="P61">
        <f t="shared" si="112"/>
        <v>926.97229810559372</v>
      </c>
      <c r="Q61">
        <f t="shared" si="112"/>
        <v>518.8713166964709</v>
      </c>
      <c r="S61" s="4"/>
      <c r="U61" t="s">
        <v>21</v>
      </c>
      <c r="V61">
        <f>VAR(V37:V52)</f>
        <v>3865.4190016446732</v>
      </c>
      <c r="W61">
        <f t="shared" ref="W61:Y61" si="113">VAR(W37:W52)</f>
        <v>1970.5794617818121</v>
      </c>
      <c r="X61">
        <f t="shared" si="113"/>
        <v>1004.052704583931</v>
      </c>
      <c r="Y61">
        <f t="shared" si="113"/>
        <v>3811.58467388805</v>
      </c>
      <c r="AA61" t="s">
        <v>21</v>
      </c>
      <c r="AB61">
        <f>VAR(AB37:AB52)</f>
        <v>698.14344919473228</v>
      </c>
      <c r="AC61">
        <f t="shared" ref="AC61:AE61" si="114">VAR(AC37:AC52)</f>
        <v>285.76766278528947</v>
      </c>
      <c r="AD61">
        <f t="shared" si="114"/>
        <v>663.47826237825211</v>
      </c>
      <c r="AE61">
        <f t="shared" si="114"/>
        <v>321.61541940295967</v>
      </c>
      <c r="AG61" t="s">
        <v>21</v>
      </c>
      <c r="AH61">
        <f>VAR(AH37:AH52)</f>
        <v>218.25031687508292</v>
      </c>
      <c r="AI61">
        <f t="shared" ref="AI61:AK61" si="115">VAR(AI37:AI52)</f>
        <v>1209.0780554658775</v>
      </c>
      <c r="AJ61">
        <f t="shared" si="115"/>
        <v>779.05431487369754</v>
      </c>
      <c r="AK61">
        <f t="shared" si="115"/>
        <v>126.76288727445383</v>
      </c>
    </row>
    <row r="62" spans="1:37" x14ac:dyDescent="0.25">
      <c r="S62" s="4"/>
    </row>
    <row r="63" spans="1:37" x14ac:dyDescent="0.25">
      <c r="A63" t="s">
        <v>22</v>
      </c>
      <c r="S63" s="4"/>
      <c r="U63" t="s">
        <v>22</v>
      </c>
    </row>
    <row r="64" spans="1:37" x14ac:dyDescent="0.25">
      <c r="A64" t="s">
        <v>1</v>
      </c>
      <c r="B64" t="e">
        <f>TTEST(B45:B52,H45:H52,2,3)</f>
        <v>#DIV/0!</v>
      </c>
      <c r="S64" s="4"/>
      <c r="U64" t="s">
        <v>1</v>
      </c>
      <c r="V64" t="e">
        <f>TTEST(V45:V52,AB45:AB52,2,3)</f>
        <v>#DIV/0!</v>
      </c>
    </row>
    <row r="65" spans="1:37" x14ac:dyDescent="0.25">
      <c r="A65" t="s">
        <v>2</v>
      </c>
      <c r="B65" t="e">
        <f>TTEST(C45:C52,I45:I52,2,3)</f>
        <v>#DIV/0!</v>
      </c>
      <c r="S65" s="4"/>
      <c r="U65" t="s">
        <v>2</v>
      </c>
      <c r="V65" t="e">
        <f>TTEST(W45:W52,AC45:AC52,2,3)</f>
        <v>#DIV/0!</v>
      </c>
    </row>
    <row r="66" spans="1:37" x14ac:dyDescent="0.25">
      <c r="A66" t="s">
        <v>3</v>
      </c>
      <c r="B66" t="e">
        <f>TTEST(D45:D52,J45:J52,2,3)</f>
        <v>#DIV/0!</v>
      </c>
      <c r="S66" s="4"/>
      <c r="U66" t="s">
        <v>3</v>
      </c>
      <c r="V66" t="e">
        <f>TTEST(X45:X52,AD45:AD52,2,3)</f>
        <v>#DIV/0!</v>
      </c>
    </row>
    <row r="67" spans="1:37" x14ac:dyDescent="0.25">
      <c r="A67" t="s">
        <v>4</v>
      </c>
      <c r="B67" t="e">
        <f>TTEST(E45:E52,K45:K52,2,3)</f>
        <v>#DIV/0!</v>
      </c>
      <c r="S67" s="4"/>
      <c r="U67" t="s">
        <v>4</v>
      </c>
      <c r="V67" t="e">
        <f>TTEST(Y45:Y52,AE45:AE52,2,3)</f>
        <v>#DIV/0!</v>
      </c>
    </row>
    <row r="68" spans="1:37" x14ac:dyDescent="0.25">
      <c r="S68" s="4"/>
    </row>
    <row r="69" spans="1:37" x14ac:dyDescent="0.25">
      <c r="A69" t="s">
        <v>26</v>
      </c>
      <c r="S69" s="4"/>
      <c r="U69" t="s">
        <v>26</v>
      </c>
    </row>
    <row r="70" spans="1:37" x14ac:dyDescent="0.25">
      <c r="A70" s="1" t="s">
        <v>29</v>
      </c>
      <c r="B70" s="1" t="s">
        <v>1</v>
      </c>
      <c r="C70" s="1" t="s">
        <v>2</v>
      </c>
      <c r="D70" s="1" t="s">
        <v>3</v>
      </c>
      <c r="E70" s="1" t="s">
        <v>4</v>
      </c>
      <c r="G70" s="1" t="s">
        <v>30</v>
      </c>
      <c r="H70" s="1" t="s">
        <v>1</v>
      </c>
      <c r="I70" s="1" t="s">
        <v>2</v>
      </c>
      <c r="J70" s="1" t="s">
        <v>3</v>
      </c>
      <c r="K70" s="1" t="s">
        <v>4</v>
      </c>
      <c r="M70" s="1" t="s">
        <v>31</v>
      </c>
      <c r="N70" s="1" t="s">
        <v>1</v>
      </c>
      <c r="O70" s="1" t="s">
        <v>2</v>
      </c>
      <c r="P70" s="1" t="s">
        <v>3</v>
      </c>
      <c r="Q70" s="1" t="s">
        <v>4</v>
      </c>
      <c r="R70" s="1"/>
      <c r="S70" s="4"/>
      <c r="U70" s="1" t="s">
        <v>29</v>
      </c>
      <c r="V70" s="1" t="s">
        <v>1</v>
      </c>
      <c r="W70" s="1" t="s">
        <v>2</v>
      </c>
      <c r="X70" s="1" t="s">
        <v>3</v>
      </c>
      <c r="Y70" s="1" t="s">
        <v>4</v>
      </c>
      <c r="AA70" s="1" t="s">
        <v>30</v>
      </c>
      <c r="AB70" s="1" t="s">
        <v>1</v>
      </c>
      <c r="AC70" s="1" t="s">
        <v>2</v>
      </c>
      <c r="AD70" s="1" t="s">
        <v>3</v>
      </c>
      <c r="AE70" s="1" t="s">
        <v>4</v>
      </c>
      <c r="AG70" s="1" t="s">
        <v>31</v>
      </c>
      <c r="AH70" s="1" t="s">
        <v>1</v>
      </c>
      <c r="AI70" s="1" t="s">
        <v>2</v>
      </c>
      <c r="AJ70" s="1" t="s">
        <v>3</v>
      </c>
      <c r="AK70" s="1" t="s">
        <v>4</v>
      </c>
    </row>
    <row r="71" spans="1:37" x14ac:dyDescent="0.25">
      <c r="A71" t="s">
        <v>5</v>
      </c>
      <c r="B71" s="3"/>
      <c r="C71" s="3">
        <f>-((C3-B$23)/B$23)*100</f>
        <v>12.836835661615837</v>
      </c>
      <c r="D71" s="3">
        <f t="shared" ref="D71:E78" si="116">-((D3-C$23)/C$23)*100</f>
        <v>51.704026157744934</v>
      </c>
      <c r="E71" s="3">
        <f t="shared" si="116"/>
        <v>-73.485514401463504</v>
      </c>
      <c r="G71" t="s">
        <v>5</v>
      </c>
      <c r="H71" s="3"/>
      <c r="I71" s="3">
        <f>-((I3-H$23)/H$23)*100</f>
        <v>16.700081273567267</v>
      </c>
      <c r="J71" s="3">
        <f>-((J3-I$23)/I$23)*100</f>
        <v>19.175957935272383</v>
      </c>
      <c r="K71" s="3">
        <f>-((K3-J$23)/J$23)*100</f>
        <v>25.383682394346891</v>
      </c>
      <c r="M71" t="s">
        <v>5</v>
      </c>
      <c r="N71" s="3"/>
      <c r="O71" s="3">
        <f>-((O3-N$23)/N$23)*100</f>
        <v>-21.00721047488479</v>
      </c>
      <c r="P71" s="3">
        <f t="shared" ref="P71:Q78" si="117">-((P3-O$23)/O$23)*100</f>
        <v>-5.8006355277281223</v>
      </c>
      <c r="Q71" s="3">
        <f t="shared" si="117"/>
        <v>21.586670001727164</v>
      </c>
      <c r="R71" s="3"/>
      <c r="S71" s="4"/>
      <c r="U71" t="s">
        <v>5</v>
      </c>
      <c r="V71" s="3"/>
      <c r="W71" s="3">
        <f>-((W3-V$23)/V$23)*100</f>
        <v>12.836835661615837</v>
      </c>
      <c r="X71" s="3">
        <f t="shared" ref="X71:X74" si="118">-((X3-W$23)/W$23)*100</f>
        <v>51.704026157744934</v>
      </c>
      <c r="Y71" s="3">
        <f t="shared" ref="Y71" si="119">-((Y3-X$23)/X$23)*100</f>
        <v>-73.485514401463504</v>
      </c>
      <c r="AA71" t="s">
        <v>5</v>
      </c>
      <c r="AB71" s="3"/>
      <c r="AC71" s="3">
        <f>-((AC3-AB$23)/AB$23)*100</f>
        <v>16.700081273567267</v>
      </c>
      <c r="AD71" s="3">
        <f>-((AD3-AC$23)/AC$23)*100</f>
        <v>9.233034670756183</v>
      </c>
      <c r="AE71" s="3">
        <f>-((AE3-AD$23)/AD$23)*100</f>
        <v>25.383682394346891</v>
      </c>
      <c r="AG71" t="s">
        <v>5</v>
      </c>
      <c r="AH71" s="3"/>
      <c r="AI71" s="3">
        <f>-((AI3-AH$23)/AH$23)*100</f>
        <v>-10.933250911716112</v>
      </c>
      <c r="AJ71" s="3">
        <f t="shared" ref="AJ71:AJ78" si="120">-((AJ3-AI$23)/AI$23)*100</f>
        <v>-5.8006355277281223</v>
      </c>
      <c r="AK71" s="3">
        <f t="shared" ref="AK71:AK78" si="121">-((AK3-AJ$23)/AJ$23)*100</f>
        <v>21.586670001727164</v>
      </c>
    </row>
    <row r="72" spans="1:37" x14ac:dyDescent="0.25">
      <c r="A72" t="s">
        <v>7</v>
      </c>
      <c r="B72" s="3"/>
      <c r="C72" s="3">
        <f t="shared" ref="C72:C78" si="122">-((C4-B$23)/B$23)*100</f>
        <v>-19.904410649607335</v>
      </c>
      <c r="D72" s="3">
        <f t="shared" si="116"/>
        <v>49.836171221010709</v>
      </c>
      <c r="E72" s="3"/>
      <c r="G72" t="s">
        <v>7</v>
      </c>
      <c r="H72" s="3"/>
      <c r="I72" s="3">
        <f t="shared" ref="I72:K78" si="123">-((I4-H$23)/H$23)*100</f>
        <v>35.318640458170471</v>
      </c>
      <c r="J72" s="3">
        <f t="shared" si="123"/>
        <v>-9.8568723307602113</v>
      </c>
      <c r="K72" s="3">
        <f t="shared" si="123"/>
        <v>21.937362772254254</v>
      </c>
      <c r="M72" t="s">
        <v>7</v>
      </c>
      <c r="N72" s="3"/>
      <c r="O72" s="3">
        <f t="shared" ref="O72:O78" si="124">-((O4-N$23)/N$23)*100</f>
        <v>-44.093541449503334</v>
      </c>
      <c r="P72" s="3">
        <f t="shared" si="117"/>
        <v>10.78812548344067</v>
      </c>
      <c r="Q72" s="3">
        <f t="shared" si="117"/>
        <v>12.950814076742681</v>
      </c>
      <c r="R72" s="3"/>
      <c r="S72" s="4"/>
      <c r="U72" t="s">
        <v>7</v>
      </c>
      <c r="V72" s="3"/>
      <c r="W72" s="3">
        <f t="shared" ref="W72:W78" si="125">-((W4-V$23)/V$23)*100</f>
        <v>-19.904410649607335</v>
      </c>
      <c r="X72" s="3">
        <f t="shared" si="118"/>
        <v>49.836171221010709</v>
      </c>
      <c r="Y72" s="3"/>
      <c r="AA72" t="s">
        <v>7</v>
      </c>
      <c r="AB72" s="3"/>
      <c r="AC72" s="3">
        <f t="shared" ref="AC72:AE72" si="126">-((AC4-AB$23)/AB$23)*100</f>
        <v>35.318640458170471</v>
      </c>
      <c r="AD72" s="3">
        <f t="shared" si="126"/>
        <v>-23.371396273892614</v>
      </c>
      <c r="AE72" s="3">
        <f t="shared" si="126"/>
        <v>21.937362772254254</v>
      </c>
      <c r="AG72" t="s">
        <v>7</v>
      </c>
      <c r="AH72" s="3"/>
      <c r="AI72" s="3">
        <f t="shared" ref="AI72:AI78" si="127">-((AI4-AH$23)/AH$23)*100</f>
        <v>-32.097623981615364</v>
      </c>
      <c r="AJ72" s="3">
        <f t="shared" si="120"/>
        <v>10.78812548344067</v>
      </c>
      <c r="AK72" s="3">
        <f t="shared" si="121"/>
        <v>12.950814076742681</v>
      </c>
    </row>
    <row r="73" spans="1:37" x14ac:dyDescent="0.25">
      <c r="A73" t="s">
        <v>8</v>
      </c>
      <c r="B73" s="3"/>
      <c r="C73" s="3">
        <f t="shared" si="122"/>
        <v>-41.637682005334</v>
      </c>
      <c r="D73" s="3">
        <f t="shared" si="116"/>
        <v>-45.081647219652261</v>
      </c>
      <c r="E73" s="3">
        <f t="shared" si="116"/>
        <v>-106.30911122947498</v>
      </c>
      <c r="G73" t="s">
        <v>8</v>
      </c>
      <c r="H73" s="3"/>
      <c r="I73" s="3">
        <f t="shared" si="123"/>
        <v>-30.636787028593528</v>
      </c>
      <c r="J73" s="3">
        <f t="shared" si="123"/>
        <v>-46.842249853077767</v>
      </c>
      <c r="K73" s="3">
        <f t="shared" si="123"/>
        <v>47.583079003736067</v>
      </c>
      <c r="M73" t="s">
        <v>8</v>
      </c>
      <c r="N73" s="3"/>
      <c r="O73" s="3">
        <f t="shared" si="124"/>
        <v>-36.81612176668407</v>
      </c>
      <c r="P73" s="3">
        <f t="shared" si="117"/>
        <v>-24.705743507589741</v>
      </c>
      <c r="Q73" s="3">
        <f t="shared" si="117"/>
        <v>39.954129405105085</v>
      </c>
      <c r="R73" s="3"/>
      <c r="S73" s="4"/>
      <c r="U73" t="s">
        <v>8</v>
      </c>
      <c r="V73" s="3"/>
      <c r="W73" s="3">
        <f t="shared" si="125"/>
        <v>-41.637682005334</v>
      </c>
      <c r="X73" s="3">
        <f t="shared" si="118"/>
        <v>-45.081647219652261</v>
      </c>
      <c r="Y73" s="3">
        <f t="shared" ref="Y73:Y74" si="128">-((Y5-X$23)/X$23)*100</f>
        <v>-106.30911122947498</v>
      </c>
      <c r="AA73" t="s">
        <v>8</v>
      </c>
      <c r="AB73" s="3"/>
      <c r="AC73" s="3"/>
      <c r="AD73" s="3">
        <f t="shared" ref="AD73:AE73" si="129">-((AD5-AC$23)/AC$23)*100</f>
        <v>-64.906691880226063</v>
      </c>
      <c r="AE73" s="3">
        <f t="shared" si="129"/>
        <v>47.583079003736067</v>
      </c>
      <c r="AG73" t="s">
        <v>8</v>
      </c>
      <c r="AH73" s="3"/>
      <c r="AI73" s="3">
        <f t="shared" si="127"/>
        <v>-25.426056060201223</v>
      </c>
      <c r="AJ73" s="3">
        <f t="shared" si="120"/>
        <v>-24.705743507589741</v>
      </c>
      <c r="AK73" s="3">
        <f t="shared" si="121"/>
        <v>39.954129405105085</v>
      </c>
    </row>
    <row r="74" spans="1:37" x14ac:dyDescent="0.25">
      <c r="A74" t="s">
        <v>9</v>
      </c>
      <c r="B74" s="3"/>
      <c r="C74" s="3">
        <f t="shared" si="122"/>
        <v>-17.911380670352344</v>
      </c>
      <c r="D74" s="3">
        <f t="shared" si="116"/>
        <v>25.01524731938116</v>
      </c>
      <c r="E74" s="3">
        <f t="shared" si="116"/>
        <v>38.21572824223859</v>
      </c>
      <c r="G74" t="s">
        <v>9</v>
      </c>
      <c r="H74" s="3"/>
      <c r="I74" s="3">
        <f t="shared" si="123"/>
        <v>22.117534593540615</v>
      </c>
      <c r="J74" s="3">
        <f t="shared" si="123"/>
        <v>-6.1926893551735969</v>
      </c>
      <c r="K74" s="3">
        <f t="shared" si="123"/>
        <v>22.164582998487617</v>
      </c>
      <c r="M74" t="s">
        <v>9</v>
      </c>
      <c r="N74" s="3"/>
      <c r="O74" s="3">
        <f t="shared" si="124"/>
        <v>-40.514717146999629</v>
      </c>
      <c r="P74" s="3">
        <f t="shared" si="117"/>
        <v>6.5779717846037267</v>
      </c>
      <c r="Q74" s="3">
        <f t="shared" si="117"/>
        <v>12.498685276691983</v>
      </c>
      <c r="R74" s="3"/>
      <c r="S74" s="4"/>
      <c r="U74" t="s">
        <v>9</v>
      </c>
      <c r="V74" s="3"/>
      <c r="W74" s="3">
        <f t="shared" si="125"/>
        <v>-17.911380670352344</v>
      </c>
      <c r="X74" s="3">
        <f t="shared" si="118"/>
        <v>25.01524731938116</v>
      </c>
      <c r="Y74" s="3">
        <f t="shared" si="128"/>
        <v>38.21572824223859</v>
      </c>
      <c r="AA74" t="s">
        <v>9</v>
      </c>
      <c r="AB74" s="3"/>
      <c r="AC74" s="3">
        <f t="shared" ref="AC74:AE74" si="130">-((AC6-AB$23)/AB$23)*100</f>
        <v>22.117534593540615</v>
      </c>
      <c r="AD74" s="3">
        <f t="shared" si="130"/>
        <v>-19.256447793108581</v>
      </c>
      <c r="AE74" s="3">
        <f t="shared" si="130"/>
        <v>22.164582998487617</v>
      </c>
      <c r="AG74" t="s">
        <v>9</v>
      </c>
      <c r="AH74" s="3"/>
      <c r="AI74" s="3">
        <f t="shared" si="127"/>
        <v>-28.816740034612963</v>
      </c>
      <c r="AJ74" s="3">
        <f t="shared" si="120"/>
        <v>6.5779717846037267</v>
      </c>
      <c r="AK74" s="3">
        <f t="shared" si="121"/>
        <v>12.498685276691983</v>
      </c>
    </row>
    <row r="75" spans="1:37" x14ac:dyDescent="0.25">
      <c r="A75" t="s">
        <v>10</v>
      </c>
      <c r="B75" s="3"/>
      <c r="C75" s="3">
        <f t="shared" si="122"/>
        <v>33.845888078354506</v>
      </c>
      <c r="D75" s="3"/>
      <c r="E75" s="3"/>
      <c r="G75" t="s">
        <v>10</v>
      </c>
      <c r="H75" s="3"/>
      <c r="I75" s="3">
        <f t="shared" si="123"/>
        <v>23.530674636617352</v>
      </c>
      <c r="J75" s="3">
        <f t="shared" si="123"/>
        <v>-27.321596907394831</v>
      </c>
      <c r="K75" s="3">
        <f t="shared" si="123"/>
        <v>79.645501551553437</v>
      </c>
      <c r="M75" t="s">
        <v>10</v>
      </c>
      <c r="N75" s="3"/>
      <c r="O75" s="3">
        <f t="shared" si="124"/>
        <v>45.074404249651792</v>
      </c>
      <c r="P75" s="3">
        <f t="shared" si="117"/>
        <v>48.786358029533005</v>
      </c>
      <c r="Q75" s="3">
        <f t="shared" si="117"/>
        <v>90.274815226900117</v>
      </c>
      <c r="R75" s="3"/>
      <c r="S75" s="4"/>
      <c r="U75" t="s">
        <v>10</v>
      </c>
      <c r="V75" s="3"/>
      <c r="W75" s="3">
        <f t="shared" si="125"/>
        <v>33.845888078354506</v>
      </c>
      <c r="X75" s="3"/>
      <c r="Y75" s="3"/>
      <c r="AA75" t="s">
        <v>10</v>
      </c>
      <c r="AB75" s="3"/>
      <c r="AC75" s="3">
        <f t="shared" ref="AC75:AE75" si="131">-((AC7-AB$23)/AB$23)*100</f>
        <v>23.530674636617352</v>
      </c>
      <c r="AD75" s="3">
        <f t="shared" si="131"/>
        <v>-42.984620379446127</v>
      </c>
      <c r="AE75" s="3">
        <f t="shared" si="131"/>
        <v>79.645501551553437</v>
      </c>
      <c r="AG75" t="s">
        <v>10</v>
      </c>
      <c r="AH75" s="3"/>
      <c r="AI75" s="3">
        <f t="shared" si="127"/>
        <v>49.647009703496202</v>
      </c>
      <c r="AJ75" s="3">
        <f t="shared" si="120"/>
        <v>48.786358029533005</v>
      </c>
      <c r="AK75" s="3"/>
    </row>
    <row r="76" spans="1:37" x14ac:dyDescent="0.25">
      <c r="A76" t="s">
        <v>11</v>
      </c>
      <c r="B76" s="3"/>
      <c r="C76" s="3">
        <f t="shared" si="122"/>
        <v>84.6448261378887</v>
      </c>
      <c r="D76" s="3">
        <f t="shared" si="116"/>
        <v>5.4191595638996342</v>
      </c>
      <c r="E76" s="3"/>
      <c r="G76" t="s">
        <v>11</v>
      </c>
      <c r="H76" s="3"/>
      <c r="I76" s="3">
        <f t="shared" si="123"/>
        <v>67.541299747183686</v>
      </c>
      <c r="J76" s="3">
        <f t="shared" si="123"/>
        <v>31.570743691929941</v>
      </c>
      <c r="K76" s="3">
        <f t="shared" si="123"/>
        <v>34.611871775922872</v>
      </c>
      <c r="M76" t="s">
        <v>11</v>
      </c>
      <c r="N76" s="3"/>
      <c r="O76" s="3">
        <f t="shared" si="124"/>
        <v>-12.417182636425913</v>
      </c>
      <c r="P76" s="3">
        <f t="shared" si="117"/>
        <v>64.993468174962899</v>
      </c>
      <c r="Q76" s="3">
        <f t="shared" si="117"/>
        <v>14.79700291865359</v>
      </c>
      <c r="R76" s="3"/>
      <c r="S76" s="4"/>
      <c r="U76" t="s">
        <v>11</v>
      </c>
      <c r="V76" s="3"/>
      <c r="W76" s="3">
        <f t="shared" si="125"/>
        <v>84.6448261378887</v>
      </c>
      <c r="X76" s="3">
        <f t="shared" ref="X76" si="132">-((X8-W$23)/W$23)*100</f>
        <v>5.4191595638996342</v>
      </c>
      <c r="Y76" s="3"/>
      <c r="AA76" t="s">
        <v>11</v>
      </c>
      <c r="AB76" s="3"/>
      <c r="AC76" s="3">
        <f t="shared" ref="AC76:AE76" si="133">-((AC8-AB$23)/AB$23)*100</f>
        <v>67.541299747183686</v>
      </c>
      <c r="AD76" s="3">
        <f t="shared" si="133"/>
        <v>23.152619243586138</v>
      </c>
      <c r="AE76" s="3">
        <f t="shared" si="133"/>
        <v>34.611871775922872</v>
      </c>
      <c r="AG76" t="s">
        <v>11</v>
      </c>
      <c r="AH76" s="3"/>
      <c r="AI76" s="3">
        <f t="shared" si="127"/>
        <v>-3.0583506491390766</v>
      </c>
      <c r="AJ76" s="3">
        <f t="shared" si="120"/>
        <v>64.993468174962899</v>
      </c>
      <c r="AK76" s="3">
        <f t="shared" si="121"/>
        <v>14.79700291865359</v>
      </c>
    </row>
    <row r="77" spans="1:37" x14ac:dyDescent="0.25">
      <c r="A77" t="s">
        <v>12</v>
      </c>
      <c r="B77" s="3"/>
      <c r="C77" s="3">
        <f t="shared" si="122"/>
        <v>67.994868505894871</v>
      </c>
      <c r="D77" s="3"/>
      <c r="E77" s="3">
        <f t="shared" si="116"/>
        <v>68.733922485218841</v>
      </c>
      <c r="G77" t="s">
        <v>12</v>
      </c>
      <c r="H77" s="3"/>
      <c r="I77" s="3">
        <f t="shared" si="123"/>
        <v>33.75689960724651</v>
      </c>
      <c r="J77" s="3">
        <f t="shared" si="123"/>
        <v>49.537761508244031</v>
      </c>
      <c r="K77" s="3">
        <f t="shared" si="123"/>
        <v>89.090032965669792</v>
      </c>
      <c r="M77" t="s">
        <v>12</v>
      </c>
      <c r="N77" s="3"/>
      <c r="O77" s="3">
        <f t="shared" si="124"/>
        <v>30.758303763357265</v>
      </c>
      <c r="P77" s="3">
        <f t="shared" si="117"/>
        <v>29.50484585385022</v>
      </c>
      <c r="Q77" s="3">
        <f t="shared" si="117"/>
        <v>48.977043036236694</v>
      </c>
      <c r="R77" s="3"/>
      <c r="S77" s="4"/>
      <c r="U77" t="s">
        <v>12</v>
      </c>
      <c r="V77" s="3"/>
      <c r="W77" s="3">
        <f t="shared" si="125"/>
        <v>67.994868505894871</v>
      </c>
      <c r="X77" s="3"/>
      <c r="Y77" s="3">
        <f t="shared" ref="Y77:Y78" si="134">-((Y9-X$23)/X$23)*100</f>
        <v>68.733922485218841</v>
      </c>
      <c r="AA77" t="s">
        <v>12</v>
      </c>
      <c r="AB77" s="3"/>
      <c r="AC77" s="3">
        <f t="shared" ref="AC77:AE77" si="135">-((AC9-AB$23)/AB$23)*100</f>
        <v>33.75689960724651</v>
      </c>
      <c r="AD77" s="3">
        <f t="shared" si="135"/>
        <v>43.329928390006437</v>
      </c>
      <c r="AE77" s="3">
        <f t="shared" si="135"/>
        <v>89.090032965669792</v>
      </c>
      <c r="AG77" t="s">
        <v>12</v>
      </c>
      <c r="AH77" s="3"/>
      <c r="AI77" s="3">
        <f t="shared" si="127"/>
        <v>36.52273751268266</v>
      </c>
      <c r="AJ77" s="3">
        <f t="shared" si="120"/>
        <v>29.50484585385022</v>
      </c>
      <c r="AK77" s="3">
        <f t="shared" si="121"/>
        <v>48.977043036236694</v>
      </c>
    </row>
    <row r="78" spans="1:37" x14ac:dyDescent="0.25">
      <c r="A78" t="s">
        <v>13</v>
      </c>
      <c r="B78" s="3"/>
      <c r="C78" s="3">
        <f t="shared" si="122"/>
        <v>-1.3190231561422239</v>
      </c>
      <c r="D78" s="3">
        <f t="shared" si="116"/>
        <v>-9.1068049084016405</v>
      </c>
      <c r="E78" s="3">
        <f t="shared" si="116"/>
        <v>69.67055778658802</v>
      </c>
      <c r="G78" t="s">
        <v>13</v>
      </c>
      <c r="H78" s="3"/>
      <c r="I78" s="3">
        <f t="shared" si="123"/>
        <v>40.154795541400176</v>
      </c>
      <c r="J78" s="3">
        <f t="shared" si="123"/>
        <v>44.400969763656242</v>
      </c>
      <c r="K78" s="3">
        <f t="shared" si="123"/>
        <v>53.249935912844784</v>
      </c>
      <c r="M78" t="s">
        <v>13</v>
      </c>
      <c r="N78" s="3"/>
      <c r="O78" s="3">
        <f t="shared" si="124"/>
        <v>41.606154580329765</v>
      </c>
      <c r="P78" s="3">
        <f t="shared" si="117"/>
        <v>27.089723694251798</v>
      </c>
      <c r="Q78" s="3">
        <f t="shared" si="117"/>
        <v>16.500132382748937</v>
      </c>
      <c r="R78" s="3"/>
      <c r="S78" s="4"/>
      <c r="U78" t="s">
        <v>13</v>
      </c>
      <c r="V78" s="3"/>
      <c r="W78" s="3">
        <f t="shared" si="125"/>
        <v>-1.3190231561422239</v>
      </c>
      <c r="X78" s="3">
        <f t="shared" ref="X78" si="136">-((X10-W$23)/W$23)*100</f>
        <v>-9.1068049084016405</v>
      </c>
      <c r="Y78" s="3">
        <f t="shared" si="134"/>
        <v>69.67055778658802</v>
      </c>
      <c r="AA78" t="s">
        <v>13</v>
      </c>
      <c r="AB78" s="3"/>
      <c r="AC78" s="3">
        <f t="shared" ref="AC78:AE78" si="137">-((AC10-AB$23)/AB$23)*100</f>
        <v>40.154795541400176</v>
      </c>
      <c r="AD78" s="3">
        <f t="shared" si="137"/>
        <v>37.561211727566423</v>
      </c>
      <c r="AE78" s="3">
        <f t="shared" si="137"/>
        <v>53.249935912844784</v>
      </c>
      <c r="AG78" t="s">
        <v>13</v>
      </c>
      <c r="AH78" s="3"/>
      <c r="AI78" s="3">
        <f t="shared" si="127"/>
        <v>46.467494951594446</v>
      </c>
      <c r="AJ78" s="3">
        <f t="shared" si="120"/>
        <v>27.089723694251798</v>
      </c>
      <c r="AK78" s="3">
        <f t="shared" si="121"/>
        <v>16.500132382748937</v>
      </c>
    </row>
    <row r="79" spans="1:37" x14ac:dyDescent="0.25">
      <c r="A79" t="s">
        <v>5</v>
      </c>
      <c r="C79" s="3"/>
      <c r="D79" s="3"/>
      <c r="E79" s="3"/>
      <c r="G79" t="s">
        <v>5</v>
      </c>
      <c r="I79" s="3"/>
      <c r="J79" s="3"/>
      <c r="K79" s="3"/>
      <c r="M79" t="s">
        <v>5</v>
      </c>
      <c r="O79" s="3"/>
      <c r="P79" s="3"/>
      <c r="Q79" s="3"/>
      <c r="S79" s="4"/>
      <c r="U79" t="s">
        <v>5</v>
      </c>
      <c r="W79" s="3"/>
      <c r="X79" s="3"/>
      <c r="Y79" s="3"/>
      <c r="AA79" t="s">
        <v>5</v>
      </c>
      <c r="AC79" s="3"/>
      <c r="AD79" s="3"/>
      <c r="AE79" s="3"/>
      <c r="AG79" t="s">
        <v>5</v>
      </c>
      <c r="AI79" s="3"/>
      <c r="AJ79" s="3"/>
      <c r="AK79" s="3"/>
    </row>
    <row r="80" spans="1:37" x14ac:dyDescent="0.25">
      <c r="A80" t="s">
        <v>7</v>
      </c>
      <c r="C80" s="3"/>
      <c r="D80" s="3"/>
      <c r="E80" s="3"/>
      <c r="G80" t="s">
        <v>7</v>
      </c>
      <c r="I80" s="3"/>
      <c r="J80" s="3"/>
      <c r="K80" s="3"/>
      <c r="M80" t="s">
        <v>7</v>
      </c>
      <c r="O80" s="3"/>
      <c r="P80" s="3"/>
      <c r="Q80" s="3"/>
      <c r="S80" s="4"/>
      <c r="U80" t="s">
        <v>7</v>
      </c>
      <c r="W80" s="3"/>
      <c r="X80" s="3"/>
      <c r="Y80" s="3"/>
      <c r="AA80" t="s">
        <v>7</v>
      </c>
      <c r="AC80" s="3"/>
      <c r="AD80" s="3"/>
      <c r="AE80" s="3"/>
      <c r="AG80" t="s">
        <v>7</v>
      </c>
      <c r="AI80" s="3"/>
      <c r="AJ80" s="3"/>
      <c r="AK80" s="3"/>
    </row>
    <row r="81" spans="1:37" x14ac:dyDescent="0.25">
      <c r="A81" t="s">
        <v>8</v>
      </c>
      <c r="C81" s="3"/>
      <c r="D81" s="3"/>
      <c r="E81" s="3"/>
      <c r="G81" t="s">
        <v>8</v>
      </c>
      <c r="I81" s="3"/>
      <c r="J81" s="3"/>
      <c r="K81" s="3"/>
      <c r="M81" t="s">
        <v>8</v>
      </c>
      <c r="O81" s="3"/>
      <c r="P81" s="3"/>
      <c r="Q81" s="3"/>
      <c r="S81" s="4"/>
      <c r="U81" t="s">
        <v>8</v>
      </c>
      <c r="W81" s="3"/>
      <c r="X81" s="3"/>
      <c r="Y81" s="3"/>
      <c r="AA81" t="s">
        <v>8</v>
      </c>
      <c r="AC81" s="3"/>
      <c r="AD81" s="3"/>
      <c r="AE81" s="3"/>
      <c r="AG81" t="s">
        <v>8</v>
      </c>
      <c r="AI81" s="3"/>
      <c r="AJ81" s="3"/>
      <c r="AK81" s="3"/>
    </row>
    <row r="82" spans="1:37" x14ac:dyDescent="0.25">
      <c r="A82" t="s">
        <v>9</v>
      </c>
      <c r="C82" s="3"/>
      <c r="D82" s="3"/>
      <c r="E82" s="3"/>
      <c r="G82" t="s">
        <v>9</v>
      </c>
      <c r="I82" s="3"/>
      <c r="J82" s="3"/>
      <c r="K82" s="3"/>
      <c r="M82" t="s">
        <v>9</v>
      </c>
      <c r="O82" s="3"/>
      <c r="P82" s="3"/>
      <c r="Q82" s="3"/>
      <c r="S82" s="4"/>
      <c r="U82" t="s">
        <v>9</v>
      </c>
      <c r="W82" s="3"/>
      <c r="X82" s="3"/>
      <c r="Y82" s="3"/>
      <c r="AA82" t="s">
        <v>9</v>
      </c>
      <c r="AC82" s="3"/>
      <c r="AD82" s="3"/>
      <c r="AE82" s="3"/>
      <c r="AG82" t="s">
        <v>9</v>
      </c>
      <c r="AI82" s="3"/>
      <c r="AJ82" s="3"/>
      <c r="AK82" s="3"/>
    </row>
    <row r="83" spans="1:37" x14ac:dyDescent="0.25">
      <c r="A83" t="s">
        <v>10</v>
      </c>
      <c r="C83" s="3"/>
      <c r="D83" s="3"/>
      <c r="E83" s="3"/>
      <c r="G83" t="s">
        <v>10</v>
      </c>
      <c r="I83" s="3"/>
      <c r="J83" s="3"/>
      <c r="K83" s="3"/>
      <c r="M83" t="s">
        <v>10</v>
      </c>
      <c r="O83" s="3"/>
      <c r="P83" s="3"/>
      <c r="Q83" s="3"/>
      <c r="S83" s="4"/>
      <c r="U83" t="s">
        <v>10</v>
      </c>
      <c r="W83" s="3"/>
      <c r="X83" s="3"/>
      <c r="Y83" s="3"/>
      <c r="AA83" t="s">
        <v>10</v>
      </c>
      <c r="AC83" s="3"/>
      <c r="AD83" s="3"/>
      <c r="AE83" s="3"/>
      <c r="AG83" t="s">
        <v>10</v>
      </c>
      <c r="AI83" s="3"/>
      <c r="AJ83" s="3"/>
      <c r="AK83" s="3"/>
    </row>
    <row r="84" spans="1:37" x14ac:dyDescent="0.25">
      <c r="A84" t="s">
        <v>11</v>
      </c>
      <c r="C84" s="3"/>
      <c r="D84" s="3"/>
      <c r="E84" s="3"/>
      <c r="G84" t="s">
        <v>11</v>
      </c>
      <c r="I84" s="3"/>
      <c r="J84" s="3"/>
      <c r="K84" s="3"/>
      <c r="M84" t="s">
        <v>11</v>
      </c>
      <c r="O84" s="3"/>
      <c r="P84" s="3"/>
      <c r="Q84" s="3"/>
      <c r="S84" s="4"/>
      <c r="U84" t="s">
        <v>11</v>
      </c>
      <c r="W84" s="3"/>
      <c r="X84" s="3"/>
      <c r="Y84" s="3"/>
      <c r="AA84" t="s">
        <v>11</v>
      </c>
      <c r="AC84" s="3"/>
      <c r="AD84" s="3"/>
      <c r="AE84" s="3"/>
      <c r="AG84" t="s">
        <v>11</v>
      </c>
      <c r="AI84" s="3"/>
      <c r="AJ84" s="3"/>
      <c r="AK84" s="3"/>
    </row>
    <row r="85" spans="1:37" x14ac:dyDescent="0.25">
      <c r="A85" t="s">
        <v>12</v>
      </c>
      <c r="C85" s="3"/>
      <c r="D85" s="3"/>
      <c r="E85" s="3"/>
      <c r="G85" t="s">
        <v>12</v>
      </c>
      <c r="I85" s="3"/>
      <c r="J85" s="3"/>
      <c r="K85" s="3"/>
      <c r="M85" t="s">
        <v>12</v>
      </c>
      <c r="O85" s="3"/>
      <c r="P85" s="3"/>
      <c r="Q85" s="3"/>
      <c r="S85" s="4"/>
      <c r="U85" t="s">
        <v>12</v>
      </c>
      <c r="W85" s="3"/>
      <c r="X85" s="3"/>
      <c r="Y85" s="3"/>
      <c r="AA85" t="s">
        <v>12</v>
      </c>
      <c r="AC85" s="3"/>
      <c r="AD85" s="3"/>
      <c r="AE85" s="3"/>
      <c r="AG85" t="s">
        <v>12</v>
      </c>
      <c r="AI85" s="3"/>
      <c r="AJ85" s="3"/>
      <c r="AK85" s="3"/>
    </row>
    <row r="86" spans="1:37" x14ac:dyDescent="0.25">
      <c r="A86" t="s">
        <v>13</v>
      </c>
      <c r="C86" s="3"/>
      <c r="D86" s="3"/>
      <c r="E86" s="3"/>
      <c r="G86" t="s">
        <v>13</v>
      </c>
      <c r="I86" s="3"/>
      <c r="J86" s="3"/>
      <c r="K86" s="3"/>
      <c r="M86" t="s">
        <v>13</v>
      </c>
      <c r="O86" s="3"/>
      <c r="P86" s="3"/>
      <c r="Q86" s="3"/>
      <c r="S86" s="4"/>
      <c r="U86" t="s">
        <v>13</v>
      </c>
      <c r="W86" s="3"/>
      <c r="X86" s="3"/>
      <c r="Y86" s="3"/>
      <c r="AA86" t="s">
        <v>13</v>
      </c>
      <c r="AC86" s="3"/>
      <c r="AD86" s="3"/>
      <c r="AE86" s="3"/>
      <c r="AG86" t="s">
        <v>13</v>
      </c>
      <c r="AI86" s="3"/>
      <c r="AJ86" s="3"/>
      <c r="AK86" s="3"/>
    </row>
    <row r="87" spans="1:37" x14ac:dyDescent="0.25">
      <c r="A87" s="2"/>
      <c r="B87" s="2"/>
      <c r="C87" s="2"/>
      <c r="D87" s="2"/>
      <c r="E87" s="2"/>
      <c r="G87" s="2"/>
      <c r="H87" s="2"/>
      <c r="I87" s="2"/>
      <c r="J87" s="2"/>
      <c r="K87" s="2"/>
      <c r="M87" s="2"/>
      <c r="N87" s="2"/>
      <c r="O87" s="2"/>
      <c r="P87" s="2"/>
      <c r="Q87" s="2"/>
      <c r="S87" s="4"/>
      <c r="U87" s="2"/>
      <c r="V87" s="2"/>
      <c r="W87" s="2"/>
      <c r="X87" s="2"/>
      <c r="Y87" s="2"/>
      <c r="AA87" s="2"/>
      <c r="AB87" s="2"/>
      <c r="AC87" s="2"/>
      <c r="AD87" s="2"/>
      <c r="AE87" s="2"/>
      <c r="AG87" s="2"/>
      <c r="AH87" s="2"/>
      <c r="AI87" s="2"/>
      <c r="AJ87" s="2"/>
      <c r="AK87" s="2"/>
    </row>
    <row r="88" spans="1:37" x14ac:dyDescent="0.25">
      <c r="A88" t="s">
        <v>14</v>
      </c>
      <c r="B88">
        <f>COUNT(B71:B86)</f>
        <v>0</v>
      </c>
      <c r="C88">
        <f t="shared" ref="C88:E88" si="138">COUNT(C71:C86)</f>
        <v>8</v>
      </c>
      <c r="D88">
        <f t="shared" si="138"/>
        <v>6</v>
      </c>
      <c r="E88">
        <f t="shared" si="138"/>
        <v>5</v>
      </c>
      <c r="G88" t="s">
        <v>14</v>
      </c>
      <c r="H88">
        <f>COUNT(H71:H86)</f>
        <v>0</v>
      </c>
      <c r="I88">
        <f t="shared" ref="I88:K88" si="139">COUNT(I71:I86)</f>
        <v>8</v>
      </c>
      <c r="J88">
        <f t="shared" si="139"/>
        <v>8</v>
      </c>
      <c r="K88">
        <f t="shared" si="139"/>
        <v>8</v>
      </c>
      <c r="M88" t="s">
        <v>14</v>
      </c>
      <c r="N88">
        <f>COUNT(N71:N86)</f>
        <v>0</v>
      </c>
      <c r="O88">
        <f t="shared" ref="O88:Q88" si="140">COUNT(O71:O86)</f>
        <v>8</v>
      </c>
      <c r="P88">
        <f t="shared" si="140"/>
        <v>8</v>
      </c>
      <c r="Q88">
        <f t="shared" si="140"/>
        <v>8</v>
      </c>
      <c r="S88" s="4"/>
      <c r="U88" t="s">
        <v>14</v>
      </c>
      <c r="V88">
        <f>COUNT(V71:V86)</f>
        <v>0</v>
      </c>
      <c r="W88">
        <f t="shared" ref="W88:Y88" si="141">COUNT(W71:W86)</f>
        <v>8</v>
      </c>
      <c r="X88">
        <f t="shared" si="141"/>
        <v>6</v>
      </c>
      <c r="Y88">
        <f t="shared" si="141"/>
        <v>5</v>
      </c>
      <c r="AA88" t="s">
        <v>14</v>
      </c>
      <c r="AB88">
        <f>COUNT(AB71:AB86)</f>
        <v>0</v>
      </c>
      <c r="AC88">
        <f t="shared" ref="AC88:AE88" si="142">COUNT(AC71:AC86)</f>
        <v>7</v>
      </c>
      <c r="AD88">
        <f t="shared" si="142"/>
        <v>8</v>
      </c>
      <c r="AE88">
        <f t="shared" si="142"/>
        <v>8</v>
      </c>
      <c r="AG88" t="s">
        <v>14</v>
      </c>
      <c r="AH88">
        <f>COUNT(AH71:AH86)</f>
        <v>0</v>
      </c>
      <c r="AI88">
        <f t="shared" ref="AI88:AK88" si="143">COUNT(AI71:AI86)</f>
        <v>8</v>
      </c>
      <c r="AJ88">
        <f t="shared" si="143"/>
        <v>8</v>
      </c>
      <c r="AK88">
        <f t="shared" si="143"/>
        <v>7</v>
      </c>
    </row>
    <row r="89" spans="1:37" x14ac:dyDescent="0.25">
      <c r="A89" t="s">
        <v>15</v>
      </c>
      <c r="B89">
        <f>MAX(B71:B86)</f>
        <v>0</v>
      </c>
      <c r="C89">
        <f t="shared" ref="C89:E89" si="144">MAX(C71:C86)</f>
        <v>84.6448261378887</v>
      </c>
      <c r="D89">
        <f t="shared" si="144"/>
        <v>51.704026157744934</v>
      </c>
      <c r="E89">
        <f t="shared" si="144"/>
        <v>69.67055778658802</v>
      </c>
      <c r="G89" t="s">
        <v>15</v>
      </c>
      <c r="H89">
        <f>MAX(H71:H86)</f>
        <v>0</v>
      </c>
      <c r="I89">
        <f t="shared" ref="I89:K89" si="145">MAX(I71:I86)</f>
        <v>67.541299747183686</v>
      </c>
      <c r="J89">
        <f t="shared" si="145"/>
        <v>49.537761508244031</v>
      </c>
      <c r="K89">
        <f t="shared" si="145"/>
        <v>89.090032965669792</v>
      </c>
      <c r="M89" t="s">
        <v>15</v>
      </c>
      <c r="N89">
        <f>MAX(N71:N86)</f>
        <v>0</v>
      </c>
      <c r="O89">
        <f t="shared" ref="O89:Q89" si="146">MAX(O71:O86)</f>
        <v>45.074404249651792</v>
      </c>
      <c r="P89">
        <f t="shared" si="146"/>
        <v>64.993468174962899</v>
      </c>
      <c r="Q89">
        <f t="shared" si="146"/>
        <v>90.274815226900117</v>
      </c>
      <c r="S89" s="4"/>
      <c r="U89" t="s">
        <v>15</v>
      </c>
      <c r="V89">
        <f>MAX(V71:V86)</f>
        <v>0</v>
      </c>
      <c r="W89">
        <f t="shared" ref="W89:Y89" si="147">MAX(W71:W86)</f>
        <v>84.6448261378887</v>
      </c>
      <c r="X89">
        <f t="shared" si="147"/>
        <v>51.704026157744934</v>
      </c>
      <c r="Y89">
        <f t="shared" si="147"/>
        <v>69.67055778658802</v>
      </c>
      <c r="AA89" t="s">
        <v>15</v>
      </c>
      <c r="AB89">
        <f>MAX(AB71:AB86)</f>
        <v>0</v>
      </c>
      <c r="AC89">
        <f t="shared" ref="AC89:AE89" si="148">MAX(AC71:AC86)</f>
        <v>67.541299747183686</v>
      </c>
      <c r="AD89">
        <f t="shared" si="148"/>
        <v>43.329928390006437</v>
      </c>
      <c r="AE89">
        <f t="shared" si="148"/>
        <v>89.090032965669792</v>
      </c>
      <c r="AG89" t="s">
        <v>15</v>
      </c>
      <c r="AH89">
        <f>MAX(AH71:AH86)</f>
        <v>0</v>
      </c>
      <c r="AI89">
        <f t="shared" ref="AI89:AK89" si="149">MAX(AI71:AI86)</f>
        <v>49.647009703496202</v>
      </c>
      <c r="AJ89">
        <f t="shared" si="149"/>
        <v>64.993468174962899</v>
      </c>
      <c r="AK89">
        <f t="shared" si="149"/>
        <v>48.977043036236694</v>
      </c>
    </row>
    <row r="90" spans="1:37" x14ac:dyDescent="0.25">
      <c r="A90" t="s">
        <v>16</v>
      </c>
      <c r="B90">
        <f>MIN(B71:B86)</f>
        <v>0</v>
      </c>
      <c r="C90">
        <f t="shared" ref="C90:E90" si="150">MIN(C71:C86)</f>
        <v>-41.637682005334</v>
      </c>
      <c r="D90">
        <f t="shared" si="150"/>
        <v>-45.081647219652261</v>
      </c>
      <c r="E90">
        <f t="shared" si="150"/>
        <v>-106.30911122947498</v>
      </c>
      <c r="G90" t="s">
        <v>16</v>
      </c>
      <c r="H90">
        <f>MIN(H71:H86)</f>
        <v>0</v>
      </c>
      <c r="I90">
        <f t="shared" ref="I90:K90" si="151">MIN(I71:I86)</f>
        <v>-30.636787028593528</v>
      </c>
      <c r="J90">
        <f t="shared" si="151"/>
        <v>-46.842249853077767</v>
      </c>
      <c r="K90">
        <f t="shared" si="151"/>
        <v>21.937362772254254</v>
      </c>
      <c r="M90" t="s">
        <v>16</v>
      </c>
      <c r="N90">
        <f>MIN(N71:N86)</f>
        <v>0</v>
      </c>
      <c r="O90">
        <f t="shared" ref="O90:Q90" si="152">MIN(O71:O86)</f>
        <v>-44.093541449503334</v>
      </c>
      <c r="P90">
        <f t="shared" si="152"/>
        <v>-24.705743507589741</v>
      </c>
      <c r="Q90">
        <f t="shared" si="152"/>
        <v>12.498685276691983</v>
      </c>
      <c r="S90" s="4"/>
      <c r="U90" t="s">
        <v>16</v>
      </c>
      <c r="V90">
        <f>MIN(V71:V86)</f>
        <v>0</v>
      </c>
      <c r="W90">
        <f t="shared" ref="W90:Y90" si="153">MIN(W71:W86)</f>
        <v>-41.637682005334</v>
      </c>
      <c r="X90">
        <f t="shared" si="153"/>
        <v>-45.081647219652261</v>
      </c>
      <c r="Y90">
        <f t="shared" si="153"/>
        <v>-106.30911122947498</v>
      </c>
      <c r="AA90" t="s">
        <v>16</v>
      </c>
      <c r="AB90">
        <f>MIN(AB71:AB86)</f>
        <v>0</v>
      </c>
      <c r="AC90">
        <f t="shared" ref="AC90:AE90" si="154">MIN(AC71:AC86)</f>
        <v>16.700081273567267</v>
      </c>
      <c r="AD90">
        <f t="shared" si="154"/>
        <v>-64.906691880226063</v>
      </c>
      <c r="AE90">
        <f t="shared" si="154"/>
        <v>21.937362772254254</v>
      </c>
      <c r="AG90" t="s">
        <v>16</v>
      </c>
      <c r="AH90">
        <f>MIN(AH71:AH86)</f>
        <v>0</v>
      </c>
      <c r="AI90">
        <f t="shared" ref="AI90:AK90" si="155">MIN(AI71:AI86)</f>
        <v>-32.097623981615364</v>
      </c>
      <c r="AJ90">
        <f t="shared" si="155"/>
        <v>-24.705743507589741</v>
      </c>
      <c r="AK90">
        <f t="shared" si="155"/>
        <v>12.498685276691983</v>
      </c>
    </row>
    <row r="91" spans="1:37" x14ac:dyDescent="0.25">
      <c r="A91" t="s">
        <v>17</v>
      </c>
      <c r="B91" t="e">
        <f>AVERAGE(B71:B86)</f>
        <v>#DIV/0!</v>
      </c>
      <c r="C91">
        <f t="shared" ref="C91:E91" si="156">AVERAGE(C71:C86)</f>
        <v>14.818740237789752</v>
      </c>
      <c r="D91">
        <f t="shared" si="156"/>
        <v>12.964358688997088</v>
      </c>
      <c r="E91">
        <f t="shared" si="156"/>
        <v>-0.63488342337860504</v>
      </c>
      <c r="G91" t="s">
        <v>17</v>
      </c>
      <c r="H91" t="e">
        <f>AVERAGE(H71:H86)</f>
        <v>#DIV/0!</v>
      </c>
      <c r="I91">
        <f t="shared" ref="I91:K91" si="157">AVERAGE(I71:I86)</f>
        <v>26.060392353641568</v>
      </c>
      <c r="J91">
        <f t="shared" si="157"/>
        <v>6.8090030565870237</v>
      </c>
      <c r="K91">
        <f t="shared" si="157"/>
        <v>46.708256171851964</v>
      </c>
      <c r="M91" t="s">
        <v>17</v>
      </c>
      <c r="N91" t="e">
        <f>AVERAGE(N71:N86)</f>
        <v>#DIV/0!</v>
      </c>
      <c r="O91">
        <f t="shared" ref="O91:Q91" si="158">AVERAGE(O71:O86)</f>
        <v>-4.6762388601448643</v>
      </c>
      <c r="P91">
        <f t="shared" si="158"/>
        <v>19.654264248165557</v>
      </c>
      <c r="Q91">
        <f t="shared" si="158"/>
        <v>32.19241154060078</v>
      </c>
      <c r="S91" s="4"/>
      <c r="U91" t="s">
        <v>17</v>
      </c>
      <c r="V91" t="e">
        <f>AVERAGE(V71:V86)</f>
        <v>#DIV/0!</v>
      </c>
      <c r="W91">
        <f t="shared" ref="W91:Y91" si="159">AVERAGE(W71:W86)</f>
        <v>14.818740237789752</v>
      </c>
      <c r="X91">
        <f t="shared" si="159"/>
        <v>12.964358688997088</v>
      </c>
      <c r="Y91">
        <f t="shared" si="159"/>
        <v>-0.63488342337860504</v>
      </c>
      <c r="AA91" t="s">
        <v>17</v>
      </c>
      <c r="AB91" t="e">
        <f>AVERAGE(AB71:AB86)</f>
        <v>#DIV/0!</v>
      </c>
      <c r="AC91">
        <f t="shared" ref="AC91:AE91" si="160">AVERAGE(AC71:AC86)</f>
        <v>34.159989408246581</v>
      </c>
      <c r="AD91">
        <f t="shared" si="160"/>
        <v>-4.6552952868447752</v>
      </c>
      <c r="AE91">
        <f t="shared" si="160"/>
        <v>46.708256171851964</v>
      </c>
      <c r="AG91" t="s">
        <v>17</v>
      </c>
      <c r="AH91" t="e">
        <f>AVERAGE(AH71:AH86)</f>
        <v>#DIV/0!</v>
      </c>
      <c r="AI91">
        <f t="shared" ref="AI91:AK91" si="161">AVERAGE(AI71:AI86)</f>
        <v>4.038152566311072</v>
      </c>
      <c r="AJ91">
        <f t="shared" si="161"/>
        <v>19.654264248165557</v>
      </c>
      <c r="AK91">
        <f t="shared" si="161"/>
        <v>23.894925299700876</v>
      </c>
    </row>
    <row r="92" spans="1:37" x14ac:dyDescent="0.25">
      <c r="A92" t="s">
        <v>18</v>
      </c>
      <c r="B92" t="e">
        <f>STDEV(B71:B86)</f>
        <v>#DIV/0!</v>
      </c>
      <c r="C92">
        <f t="shared" ref="C92:E92" si="162">STDEV(C71:C86)</f>
        <v>44.391209284967807</v>
      </c>
      <c r="D92">
        <f t="shared" si="162"/>
        <v>37.199251084113243</v>
      </c>
      <c r="E92">
        <f t="shared" si="162"/>
        <v>83.27441560891495</v>
      </c>
      <c r="G92" t="s">
        <v>18</v>
      </c>
      <c r="H92" t="e">
        <f>STDEV(H71:H86)</f>
        <v>#DIV/0!</v>
      </c>
      <c r="I92">
        <f t="shared" ref="I92:K92" si="163">STDEV(I71:I86)</f>
        <v>27.744756090738107</v>
      </c>
      <c r="J92">
        <f t="shared" si="163"/>
        <v>34.836635750033686</v>
      </c>
      <c r="K92">
        <f t="shared" si="163"/>
        <v>26.026593655407961</v>
      </c>
      <c r="M92" t="s">
        <v>18</v>
      </c>
      <c r="N92" t="e">
        <f>STDEV(N71:N86)</f>
        <v>#DIV/0!</v>
      </c>
      <c r="O92">
        <f t="shared" ref="O92:Q92" si="164">STDEV(O71:O86)</f>
        <v>37.929461655566222</v>
      </c>
      <c r="P92">
        <f t="shared" si="164"/>
        <v>29.086084959321735</v>
      </c>
      <c r="Q92">
        <f t="shared" si="164"/>
        <v>27.084379482412988</v>
      </c>
      <c r="S92" s="4"/>
      <c r="U92" t="s">
        <v>18</v>
      </c>
      <c r="V92" t="e">
        <f>STDEV(V71:V86)</f>
        <v>#DIV/0!</v>
      </c>
      <c r="W92">
        <f t="shared" ref="W92:Y92" si="165">STDEV(W71:W86)</f>
        <v>44.391209284967807</v>
      </c>
      <c r="X92">
        <f t="shared" si="165"/>
        <v>37.199251084113243</v>
      </c>
      <c r="Y92">
        <f t="shared" si="165"/>
        <v>83.27441560891495</v>
      </c>
      <c r="AA92" t="s">
        <v>18</v>
      </c>
      <c r="AB92" t="e">
        <f>STDEV(AB71:AB86)</f>
        <v>#DIV/0!</v>
      </c>
      <c r="AC92">
        <f t="shared" ref="AC92:AE92" si="166">STDEV(AC71:AC86)</f>
        <v>16.904663935887324</v>
      </c>
      <c r="AD92">
        <f t="shared" si="166"/>
        <v>39.122216960870574</v>
      </c>
      <c r="AE92">
        <f t="shared" si="166"/>
        <v>26.026593655407961</v>
      </c>
      <c r="AG92" t="s">
        <v>18</v>
      </c>
      <c r="AH92" t="e">
        <f>STDEV(AH71:AH86)</f>
        <v>#DIV/0!</v>
      </c>
      <c r="AI92">
        <f t="shared" ref="AI92:AK92" si="167">STDEV(AI71:AI86)</f>
        <v>34.771799715658631</v>
      </c>
      <c r="AJ92">
        <f t="shared" si="167"/>
        <v>29.086084959321735</v>
      </c>
      <c r="AK92">
        <f t="shared" si="167"/>
        <v>14.602749285823849</v>
      </c>
    </row>
    <row r="93" spans="1:37" x14ac:dyDescent="0.25">
      <c r="A93" t="s">
        <v>19</v>
      </c>
      <c r="B93" t="e">
        <f>B91+2*B92</f>
        <v>#DIV/0!</v>
      </c>
      <c r="C93">
        <f t="shared" ref="C93:E93" si="168">C91+2*C92</f>
        <v>103.60115880772537</v>
      </c>
      <c r="D93">
        <f t="shared" si="168"/>
        <v>87.362860857223581</v>
      </c>
      <c r="E93">
        <f t="shared" si="168"/>
        <v>165.9139477944513</v>
      </c>
      <c r="G93" t="s">
        <v>19</v>
      </c>
      <c r="H93" t="e">
        <f>H91+2*H92</f>
        <v>#DIV/0!</v>
      </c>
      <c r="I93">
        <f t="shared" ref="I93:K93" si="169">I91+2*I92</f>
        <v>81.549904535117776</v>
      </c>
      <c r="J93">
        <f t="shared" si="169"/>
        <v>76.482274556654403</v>
      </c>
      <c r="K93">
        <f t="shared" si="169"/>
        <v>98.761443482667886</v>
      </c>
      <c r="M93" t="s">
        <v>19</v>
      </c>
      <c r="N93" t="e">
        <f>N91+2*N92</f>
        <v>#DIV/0!</v>
      </c>
      <c r="O93">
        <f t="shared" ref="O93:Q93" si="170">O91+2*O92</f>
        <v>71.18268445098758</v>
      </c>
      <c r="P93">
        <f t="shared" si="170"/>
        <v>77.826434166809022</v>
      </c>
      <c r="Q93">
        <f t="shared" si="170"/>
        <v>86.361170505426756</v>
      </c>
      <c r="S93" s="4"/>
      <c r="U93" t="s">
        <v>19</v>
      </c>
      <c r="V93" t="e">
        <f>V91+2*V92</f>
        <v>#DIV/0!</v>
      </c>
      <c r="W93">
        <f t="shared" ref="W93:Y93" si="171">W91+2*W92</f>
        <v>103.60115880772537</v>
      </c>
      <c r="X93">
        <f t="shared" si="171"/>
        <v>87.362860857223581</v>
      </c>
      <c r="Y93">
        <f t="shared" si="171"/>
        <v>165.9139477944513</v>
      </c>
      <c r="AA93" t="s">
        <v>19</v>
      </c>
      <c r="AB93" t="e">
        <f>AB91+2*AB92</f>
        <v>#DIV/0!</v>
      </c>
      <c r="AC93">
        <f t="shared" ref="AC93:AE93" si="172">AC91+2*AC92</f>
        <v>67.96931728002123</v>
      </c>
      <c r="AD93">
        <f t="shared" si="172"/>
        <v>73.589138634896372</v>
      </c>
      <c r="AE93">
        <f t="shared" si="172"/>
        <v>98.761443482667886</v>
      </c>
      <c r="AG93" t="s">
        <v>19</v>
      </c>
      <c r="AH93" t="e">
        <f>AH91+2*AH92</f>
        <v>#DIV/0!</v>
      </c>
      <c r="AI93">
        <f t="shared" ref="AI93:AK93" si="173">AI91+2*AI92</f>
        <v>73.581751997628331</v>
      </c>
      <c r="AJ93">
        <f t="shared" si="173"/>
        <v>77.826434166809022</v>
      </c>
      <c r="AK93">
        <f t="shared" si="173"/>
        <v>53.100423871348575</v>
      </c>
    </row>
    <row r="94" spans="1:37" x14ac:dyDescent="0.25">
      <c r="A94" t="s">
        <v>20</v>
      </c>
      <c r="B94" t="e">
        <f>B91-2*B92</f>
        <v>#DIV/0!</v>
      </c>
      <c r="C94">
        <f t="shared" ref="C94:E94" si="174">C91-2*C92</f>
        <v>-73.963678332145861</v>
      </c>
      <c r="D94">
        <f t="shared" si="174"/>
        <v>-61.434143479229398</v>
      </c>
      <c r="E94">
        <f t="shared" si="174"/>
        <v>-167.1837146412085</v>
      </c>
      <c r="G94" t="s">
        <v>20</v>
      </c>
      <c r="H94" t="e">
        <f>H91-2*H92</f>
        <v>#DIV/0!</v>
      </c>
      <c r="I94">
        <f t="shared" ref="I94:K94" si="175">I91-2*I92</f>
        <v>-29.429119827834647</v>
      </c>
      <c r="J94">
        <f t="shared" si="175"/>
        <v>-62.864268443480348</v>
      </c>
      <c r="K94">
        <f t="shared" si="175"/>
        <v>-5.3449311389639576</v>
      </c>
      <c r="M94" t="s">
        <v>20</v>
      </c>
      <c r="N94" t="e">
        <f>N91-2*N92</f>
        <v>#DIV/0!</v>
      </c>
      <c r="O94">
        <f t="shared" ref="O94:Q94" si="176">O91-2*O92</f>
        <v>-80.535162171277307</v>
      </c>
      <c r="P94">
        <f t="shared" si="176"/>
        <v>-38.517905670477916</v>
      </c>
      <c r="Q94">
        <f t="shared" si="176"/>
        <v>-21.976347424225196</v>
      </c>
      <c r="S94" s="4"/>
      <c r="U94" t="s">
        <v>20</v>
      </c>
      <c r="V94" t="e">
        <f>V91-2*V92</f>
        <v>#DIV/0!</v>
      </c>
      <c r="W94">
        <f t="shared" ref="W94:Y94" si="177">W91-2*W92</f>
        <v>-73.963678332145861</v>
      </c>
      <c r="X94">
        <f t="shared" si="177"/>
        <v>-61.434143479229398</v>
      </c>
      <c r="Y94">
        <f t="shared" si="177"/>
        <v>-167.1837146412085</v>
      </c>
      <c r="AA94" t="s">
        <v>20</v>
      </c>
      <c r="AB94" t="e">
        <f>AB91-2*AB92</f>
        <v>#DIV/0!</v>
      </c>
      <c r="AC94">
        <f t="shared" ref="AC94:AE94" si="178">AC91-2*AC92</f>
        <v>0.35066153647193232</v>
      </c>
      <c r="AD94">
        <f t="shared" si="178"/>
        <v>-82.899729208585924</v>
      </c>
      <c r="AE94">
        <f t="shared" si="178"/>
        <v>-5.3449311389639576</v>
      </c>
      <c r="AG94" t="s">
        <v>20</v>
      </c>
      <c r="AH94" t="e">
        <f>AH91-2*AH92</f>
        <v>#DIV/0!</v>
      </c>
      <c r="AI94">
        <f t="shared" ref="AI94:AK94" si="179">AI91-2*AI92</f>
        <v>-65.505446865006192</v>
      </c>
      <c r="AJ94">
        <f t="shared" si="179"/>
        <v>-38.517905670477916</v>
      </c>
      <c r="AK94">
        <f t="shared" si="179"/>
        <v>-5.3105732719468222</v>
      </c>
    </row>
    <row r="95" spans="1:37" x14ac:dyDescent="0.25">
      <c r="A95" t="s">
        <v>21</v>
      </c>
      <c r="B95" t="e">
        <f>VAR(B71:B86)</f>
        <v>#DIV/0!</v>
      </c>
      <c r="C95">
        <f t="shared" ref="C95:E95" si="180">VAR(C71:C86)</f>
        <v>1970.5794617818121</v>
      </c>
      <c r="D95">
        <f t="shared" si="180"/>
        <v>1383.7842812189003</v>
      </c>
      <c r="E95">
        <f t="shared" si="180"/>
        <v>6934.6282950062969</v>
      </c>
      <c r="G95" t="s">
        <v>21</v>
      </c>
      <c r="H95" t="e">
        <f>VAR(H71:H86)</f>
        <v>#DIV/0!</v>
      </c>
      <c r="I95">
        <f t="shared" ref="I95:K95" si="181">VAR(I71:I86)</f>
        <v>769.77149053454923</v>
      </c>
      <c r="J95">
        <f t="shared" si="181"/>
        <v>1213.5911903805252</v>
      </c>
      <c r="K95">
        <f t="shared" si="181"/>
        <v>677.38357730372184</v>
      </c>
      <c r="M95" t="s">
        <v>21</v>
      </c>
      <c r="N95" t="e">
        <f>VAR(N71:N86)</f>
        <v>#DIV/0!</v>
      </c>
      <c r="O95">
        <f t="shared" ref="O95:Q95" si="182">VAR(O71:O86)</f>
        <v>1438.6440614810685</v>
      </c>
      <c r="P95">
        <f t="shared" si="182"/>
        <v>846.00033826088202</v>
      </c>
      <c r="Q95">
        <f t="shared" si="182"/>
        <v>733.56361194735371</v>
      </c>
      <c r="S95" s="4"/>
      <c r="U95" t="s">
        <v>21</v>
      </c>
      <c r="V95" t="e">
        <f>VAR(V71:V86)</f>
        <v>#DIV/0!</v>
      </c>
      <c r="W95">
        <f t="shared" ref="W95:Y95" si="183">VAR(W71:W86)</f>
        <v>1970.5794617818121</v>
      </c>
      <c r="X95">
        <f t="shared" si="183"/>
        <v>1383.7842812189003</v>
      </c>
      <c r="Y95">
        <f t="shared" si="183"/>
        <v>6934.6282950062969</v>
      </c>
      <c r="AA95" t="s">
        <v>21</v>
      </c>
      <c r="AB95" t="e">
        <f>VAR(AB71:AB86)</f>
        <v>#DIV/0!</v>
      </c>
      <c r="AC95">
        <f t="shared" ref="AC95:AE95" si="184">VAR(AC71:AC86)</f>
        <v>285.76766278528947</v>
      </c>
      <c r="AD95">
        <f t="shared" si="184"/>
        <v>1530.547859933429</v>
      </c>
      <c r="AE95">
        <f t="shared" si="184"/>
        <v>677.38357730372184</v>
      </c>
      <c r="AG95" t="s">
        <v>21</v>
      </c>
      <c r="AH95" t="e">
        <f>VAR(AH71:AH86)</f>
        <v>#DIV/0!</v>
      </c>
      <c r="AI95">
        <f t="shared" ref="AI95:AK95" si="185">VAR(AI71:AI86)</f>
        <v>1209.0780554658775</v>
      </c>
      <c r="AJ95">
        <f t="shared" si="185"/>
        <v>846.00033826088202</v>
      </c>
      <c r="AK95">
        <f t="shared" si="185"/>
        <v>213.24028670462894</v>
      </c>
    </row>
    <row r="96" spans="1:37" x14ac:dyDescent="0.25">
      <c r="S96" s="4"/>
    </row>
    <row r="97" spans="1:37" x14ac:dyDescent="0.25">
      <c r="A97" t="s">
        <v>22</v>
      </c>
      <c r="S97" s="4"/>
      <c r="U97" t="s">
        <v>22</v>
      </c>
    </row>
    <row r="98" spans="1:37" x14ac:dyDescent="0.25">
      <c r="A98" t="s">
        <v>1</v>
      </c>
      <c r="B98" t="e">
        <f>TTEST(B79:B86,H79:H86,2,3)</f>
        <v>#DIV/0!</v>
      </c>
      <c r="S98" s="4"/>
      <c r="U98" t="s">
        <v>1</v>
      </c>
      <c r="V98" t="e">
        <f>TTEST(V79:V86,AB79:AB86,2,3)</f>
        <v>#DIV/0!</v>
      </c>
    </row>
    <row r="99" spans="1:37" x14ac:dyDescent="0.25">
      <c r="A99" t="s">
        <v>2</v>
      </c>
      <c r="B99" t="e">
        <f>TTEST(C79:C86,I79:I86,2,3)</f>
        <v>#DIV/0!</v>
      </c>
      <c r="S99" s="4"/>
      <c r="U99" t="s">
        <v>2</v>
      </c>
      <c r="V99" t="e">
        <f>TTEST(W79:W86,AC79:AC86,2,3)</f>
        <v>#DIV/0!</v>
      </c>
    </row>
    <row r="100" spans="1:37" x14ac:dyDescent="0.25">
      <c r="A100" t="s">
        <v>3</v>
      </c>
      <c r="B100" t="e">
        <f>TTEST(D79:D86,J79:J86,2,3)</f>
        <v>#DIV/0!</v>
      </c>
      <c r="S100" s="4"/>
      <c r="U100" t="s">
        <v>3</v>
      </c>
      <c r="V100" t="e">
        <f>TTEST(X79:X86,AD79:AD86,2,3)</f>
        <v>#DIV/0!</v>
      </c>
    </row>
    <row r="101" spans="1:37" x14ac:dyDescent="0.25">
      <c r="A101" t="s">
        <v>4</v>
      </c>
      <c r="B101" t="e">
        <f>TTEST(E79:E86,K79:K86,2,3)</f>
        <v>#DIV/0!</v>
      </c>
      <c r="S101" s="4"/>
      <c r="U101" t="s">
        <v>4</v>
      </c>
      <c r="V101" t="e">
        <f>TTEST(Y79:Y86,AE79:AE86,2,3)</f>
        <v>#DIV/0!</v>
      </c>
    </row>
    <row r="102" spans="1:37" x14ac:dyDescent="0.25">
      <c r="S102" s="4"/>
    </row>
    <row r="103" spans="1:37" x14ac:dyDescent="0.25">
      <c r="A103" t="s">
        <v>27</v>
      </c>
      <c r="S103" s="4"/>
      <c r="U103" t="s">
        <v>27</v>
      </c>
    </row>
    <row r="104" spans="1:37" x14ac:dyDescent="0.25">
      <c r="A104" s="1" t="s">
        <v>29</v>
      </c>
      <c r="B104" s="1" t="s">
        <v>1</v>
      </c>
      <c r="C104" s="1" t="s">
        <v>2</v>
      </c>
      <c r="D104" s="1" t="s">
        <v>3</v>
      </c>
      <c r="E104" s="1" t="s">
        <v>4</v>
      </c>
      <c r="G104" s="1" t="s">
        <v>30</v>
      </c>
      <c r="H104" s="1" t="s">
        <v>1</v>
      </c>
      <c r="I104" s="1" t="s">
        <v>2</v>
      </c>
      <c r="J104" s="1" t="s">
        <v>3</v>
      </c>
      <c r="K104" s="1" t="s">
        <v>4</v>
      </c>
      <c r="M104" s="1" t="s">
        <v>31</v>
      </c>
      <c r="N104" s="1" t="s">
        <v>1</v>
      </c>
      <c r="O104" s="1" t="s">
        <v>2</v>
      </c>
      <c r="P104" s="1" t="s">
        <v>3</v>
      </c>
      <c r="Q104" s="1" t="s">
        <v>4</v>
      </c>
      <c r="R104" s="1"/>
      <c r="S104" s="4"/>
      <c r="U104" s="1" t="s">
        <v>29</v>
      </c>
      <c r="V104" s="1" t="s">
        <v>1</v>
      </c>
      <c r="W104" s="1" t="s">
        <v>2</v>
      </c>
      <c r="X104" s="1" t="s">
        <v>3</v>
      </c>
      <c r="Y104" s="1" t="s">
        <v>4</v>
      </c>
      <c r="AA104" s="1" t="s">
        <v>30</v>
      </c>
      <c r="AB104" s="1" t="s">
        <v>1</v>
      </c>
      <c r="AC104" s="1" t="s">
        <v>2</v>
      </c>
      <c r="AD104" s="1" t="s">
        <v>3</v>
      </c>
      <c r="AE104" s="1" t="s">
        <v>4</v>
      </c>
      <c r="AG104" s="1" t="s">
        <v>31</v>
      </c>
      <c r="AH104" s="1" t="s">
        <v>1</v>
      </c>
      <c r="AI104" s="1" t="s">
        <v>2</v>
      </c>
      <c r="AJ104" s="1" t="s">
        <v>3</v>
      </c>
      <c r="AK104" s="1" t="s">
        <v>4</v>
      </c>
    </row>
    <row r="105" spans="1:37" x14ac:dyDescent="0.25">
      <c r="A105" t="s">
        <v>5</v>
      </c>
      <c r="B105" s="3"/>
      <c r="C105" s="3">
        <f>(B$23-C3)/7</f>
        <v>137.64938936073733</v>
      </c>
      <c r="D105" s="3">
        <f t="shared" ref="D105:E112" si="186">(C$23-D3)/7</f>
        <v>472.2638780343662</v>
      </c>
      <c r="E105" s="3">
        <f t="shared" si="186"/>
        <v>-584.19688739678224</v>
      </c>
      <c r="G105" t="s">
        <v>5</v>
      </c>
      <c r="H105" s="3"/>
      <c r="I105" s="3">
        <f>(H$29-I3)/7</f>
        <v>281.83910031614636</v>
      </c>
      <c r="J105" s="3">
        <f t="shared" ref="J105:K112" si="187">(I$29-J3)/7</f>
        <v>239.28576817216694</v>
      </c>
      <c r="K105" s="3">
        <f t="shared" si="187"/>
        <v>295.18098915283798</v>
      </c>
      <c r="M105" t="s">
        <v>5</v>
      </c>
      <c r="N105" s="3"/>
      <c r="O105" s="3">
        <f>(N$29-O3)/7</f>
        <v>-309.32417393621211</v>
      </c>
      <c r="P105" s="3">
        <f t="shared" ref="P105:Q112" si="188">(O$29-P3)/7</f>
        <v>-89.406514197307317</v>
      </c>
      <c r="Q105" s="3">
        <f t="shared" si="188"/>
        <v>267.32653494070604</v>
      </c>
      <c r="R105" s="3"/>
      <c r="S105" s="4"/>
      <c r="U105" t="s">
        <v>5</v>
      </c>
      <c r="V105" s="3"/>
      <c r="W105" s="3">
        <f>(V$23-W3)/7</f>
        <v>137.64938936073733</v>
      </c>
      <c r="X105" s="3">
        <f t="shared" ref="X105:X108" si="189">(W$23-X3)/7</f>
        <v>472.2638780343662</v>
      </c>
      <c r="Y105" s="3">
        <f t="shared" ref="Y105" si="190">(X$23-Y3)/7</f>
        <v>-584.19688739678224</v>
      </c>
      <c r="AA105" t="s">
        <v>5</v>
      </c>
      <c r="AB105" s="3"/>
      <c r="AC105" s="3">
        <f>(AB$29-AC3)/7</f>
        <v>281.83910031614636</v>
      </c>
      <c r="AD105" s="3">
        <f t="shared" ref="AD105:AD112" si="191">(AC$29-AD3)/7</f>
        <v>102.59283180865661</v>
      </c>
      <c r="AE105" s="3">
        <f t="shared" ref="AE105:AE112" si="192">(AD$29-AE3)/7</f>
        <v>295.18098915283798</v>
      </c>
      <c r="AG105" t="s">
        <v>5</v>
      </c>
      <c r="AH105" s="3"/>
      <c r="AI105" s="3">
        <f>(AH$29-AI3)/7</f>
        <v>-175.6080010415665</v>
      </c>
      <c r="AJ105" s="3">
        <f t="shared" ref="AJ105:AJ112" si="193">(AI$29-AJ3)/7</f>
        <v>-89.406514197307317</v>
      </c>
      <c r="AK105" s="3">
        <f t="shared" ref="AK105:AK112" si="194">(AJ$29-AK3)/7</f>
        <v>267.32653494070604</v>
      </c>
    </row>
    <row r="106" spans="1:37" x14ac:dyDescent="0.25">
      <c r="A106" t="s">
        <v>7</v>
      </c>
      <c r="B106" s="3"/>
      <c r="C106" s="3">
        <f t="shared" ref="C106:C112" si="195">(B$23-C4)/7</f>
        <v>-213.43499626596687</v>
      </c>
      <c r="D106" s="3">
        <f t="shared" si="186"/>
        <v>455.20291621803756</v>
      </c>
      <c r="E106" s="3"/>
      <c r="G106" t="s">
        <v>7</v>
      </c>
      <c r="H106" s="3"/>
      <c r="I106" s="3">
        <f t="shared" ref="I106:I112" si="196">(H$29-I4)/7</f>
        <v>596.05541362697352</v>
      </c>
      <c r="J106" s="3">
        <f t="shared" si="187"/>
        <v>-122.99824996499878</v>
      </c>
      <c r="K106" s="3">
        <f t="shared" si="187"/>
        <v>255.10453297984805</v>
      </c>
      <c r="M106" t="s">
        <v>7</v>
      </c>
      <c r="N106" s="3"/>
      <c r="O106" s="3">
        <f t="shared" ref="O106:O112" si="197">(N$29-O4)/7</f>
        <v>-649.26270439838356</v>
      </c>
      <c r="P106" s="3">
        <f t="shared" si="188"/>
        <v>166.27983081973409</v>
      </c>
      <c r="Q106" s="3">
        <f t="shared" si="188"/>
        <v>160.38120986330614</v>
      </c>
      <c r="R106" s="3"/>
      <c r="S106" s="4"/>
      <c r="U106" t="s">
        <v>7</v>
      </c>
      <c r="V106" s="3"/>
      <c r="W106" s="3">
        <f t="shared" ref="W106:W112" si="198">(V$23-W4)/7</f>
        <v>-213.43499626596687</v>
      </c>
      <c r="X106" s="3">
        <f t="shared" si="189"/>
        <v>455.20291621803756</v>
      </c>
      <c r="Y106" s="3"/>
      <c r="AA106" t="s">
        <v>7</v>
      </c>
      <c r="AB106" s="3"/>
      <c r="AC106" s="3">
        <f t="shared" ref="AC106:AC112" si="199">(AB$29-AC4)/7</f>
        <v>596.05541362697352</v>
      </c>
      <c r="AD106" s="3">
        <f t="shared" si="191"/>
        <v>-259.6911863285091</v>
      </c>
      <c r="AE106" s="3">
        <f t="shared" si="192"/>
        <v>255.10453297984805</v>
      </c>
      <c r="AG106" t="s">
        <v>7</v>
      </c>
      <c r="AH106" s="3"/>
      <c r="AI106" s="3">
        <f t="shared" ref="AI106:AI112" si="200">(AH$29-AI4)/7</f>
        <v>-515.54653150373792</v>
      </c>
      <c r="AJ106" s="3">
        <f t="shared" si="193"/>
        <v>166.27983081973409</v>
      </c>
      <c r="AK106" s="3">
        <f t="shared" si="194"/>
        <v>160.38120986330614</v>
      </c>
    </row>
    <row r="107" spans="1:37" x14ac:dyDescent="0.25">
      <c r="A107" t="s">
        <v>8</v>
      </c>
      <c r="B107" s="3"/>
      <c r="C107" s="3">
        <f t="shared" si="195"/>
        <v>-446.48086596360969</v>
      </c>
      <c r="D107" s="3">
        <f t="shared" si="186"/>
        <v>-411.77515807327524</v>
      </c>
      <c r="E107" s="3">
        <f t="shared" si="186"/>
        <v>-845.13869689861917</v>
      </c>
      <c r="G107" t="s">
        <v>8</v>
      </c>
      <c r="H107" s="3"/>
      <c r="I107" s="3">
        <f t="shared" si="196"/>
        <v>-517.04206412354506</v>
      </c>
      <c r="J107" s="3">
        <f t="shared" si="187"/>
        <v>-584.51753893290311</v>
      </c>
      <c r="K107" s="3">
        <f t="shared" si="187"/>
        <v>553.33265320040789</v>
      </c>
      <c r="M107" t="s">
        <v>8</v>
      </c>
      <c r="N107" s="3"/>
      <c r="O107" s="3">
        <f t="shared" si="197"/>
        <v>-542.10512464896908</v>
      </c>
      <c r="P107" s="3">
        <f t="shared" si="188"/>
        <v>-380.79524167785036</v>
      </c>
      <c r="Q107" s="3">
        <f t="shared" si="188"/>
        <v>494.78678136019749</v>
      </c>
      <c r="R107" s="3"/>
      <c r="S107" s="4"/>
      <c r="U107" t="s">
        <v>8</v>
      </c>
      <c r="V107" s="3"/>
      <c r="W107" s="3">
        <f t="shared" si="198"/>
        <v>-446.48086596360969</v>
      </c>
      <c r="X107" s="3">
        <f t="shared" si="189"/>
        <v>-411.77515807327524</v>
      </c>
      <c r="Y107" s="3">
        <f t="shared" ref="Y107:Y108" si="201">(X$23-Y5)/7</f>
        <v>-845.13869689861917</v>
      </c>
      <c r="AA107" t="s">
        <v>8</v>
      </c>
      <c r="AB107" s="3"/>
      <c r="AC107" s="3"/>
      <c r="AD107" s="3">
        <f t="shared" si="191"/>
        <v>-721.21047529641339</v>
      </c>
      <c r="AE107" s="3">
        <f t="shared" si="192"/>
        <v>553.33265320040789</v>
      </c>
      <c r="AG107" t="s">
        <v>8</v>
      </c>
      <c r="AH107" s="3"/>
      <c r="AI107" s="3">
        <f t="shared" si="200"/>
        <v>-408.3889517543235</v>
      </c>
      <c r="AJ107" s="3">
        <f t="shared" si="193"/>
        <v>-380.79524167785036</v>
      </c>
      <c r="AK107" s="3">
        <f t="shared" si="194"/>
        <v>494.78678136019749</v>
      </c>
    </row>
    <row r="108" spans="1:37" x14ac:dyDescent="0.25">
      <c r="A108" t="s">
        <v>9</v>
      </c>
      <c r="B108" s="3"/>
      <c r="C108" s="3">
        <f t="shared" si="195"/>
        <v>-192.06373571127966</v>
      </c>
      <c r="D108" s="3">
        <f t="shared" si="186"/>
        <v>228.48893184830052</v>
      </c>
      <c r="E108" s="3">
        <f t="shared" si="186"/>
        <v>303.80830386175347</v>
      </c>
      <c r="G108" t="s">
        <v>9</v>
      </c>
      <c r="H108" s="3"/>
      <c r="I108" s="3">
        <f t="shared" si="196"/>
        <v>373.26680924129352</v>
      </c>
      <c r="J108" s="3">
        <f t="shared" si="187"/>
        <v>-77.275014599330206</v>
      </c>
      <c r="K108" s="3">
        <f t="shared" si="187"/>
        <v>257.7468245943237</v>
      </c>
      <c r="M108" t="s">
        <v>9</v>
      </c>
      <c r="N108" s="3"/>
      <c r="O108" s="3">
        <f t="shared" si="197"/>
        <v>-596.56570912819791</v>
      </c>
      <c r="P108" s="3">
        <f t="shared" si="188"/>
        <v>101.38777465647816</v>
      </c>
      <c r="Q108" s="3">
        <f t="shared" si="188"/>
        <v>154.7821051632861</v>
      </c>
      <c r="R108" s="3"/>
      <c r="S108" s="4"/>
      <c r="U108" t="s">
        <v>9</v>
      </c>
      <c r="V108" s="3"/>
      <c r="W108" s="3">
        <f t="shared" si="198"/>
        <v>-192.06373571127966</v>
      </c>
      <c r="X108" s="3">
        <f t="shared" si="189"/>
        <v>228.48893184830052</v>
      </c>
      <c r="Y108" s="3">
        <f t="shared" si="201"/>
        <v>303.80830386175347</v>
      </c>
      <c r="AA108" t="s">
        <v>9</v>
      </c>
      <c r="AB108" s="3"/>
      <c r="AC108" s="3">
        <f t="shared" si="199"/>
        <v>373.26680924129352</v>
      </c>
      <c r="AD108" s="3">
        <f t="shared" si="191"/>
        <v>-213.96795096284055</v>
      </c>
      <c r="AE108" s="3">
        <f t="shared" si="192"/>
        <v>257.7468245943237</v>
      </c>
      <c r="AG108" t="s">
        <v>9</v>
      </c>
      <c r="AH108" s="3"/>
      <c r="AI108" s="3">
        <f t="shared" si="200"/>
        <v>-462.84953623355221</v>
      </c>
      <c r="AJ108" s="3">
        <f t="shared" si="193"/>
        <v>101.38777465647816</v>
      </c>
      <c r="AK108" s="3">
        <f t="shared" si="194"/>
        <v>154.7821051632861</v>
      </c>
    </row>
    <row r="109" spans="1:37" x14ac:dyDescent="0.25">
      <c r="A109" t="s">
        <v>10</v>
      </c>
      <c r="B109" s="3"/>
      <c r="C109" s="3">
        <f t="shared" si="195"/>
        <v>362.92945934394874</v>
      </c>
      <c r="D109" s="3"/>
      <c r="E109" s="3"/>
      <c r="G109" t="s">
        <v>10</v>
      </c>
      <c r="H109" s="3"/>
      <c r="I109" s="3">
        <f t="shared" si="196"/>
        <v>397.11568229988501</v>
      </c>
      <c r="J109" s="3">
        <f t="shared" si="187"/>
        <v>-340.93051965090308</v>
      </c>
      <c r="K109" s="3">
        <f t="shared" si="187"/>
        <v>926.1791714978765</v>
      </c>
      <c r="M109" t="s">
        <v>10</v>
      </c>
      <c r="N109" s="3"/>
      <c r="O109" s="3">
        <f t="shared" si="197"/>
        <v>663.70558227421657</v>
      </c>
      <c r="P109" s="3">
        <f t="shared" si="188"/>
        <v>751.95522817319829</v>
      </c>
      <c r="Q109" s="3">
        <f t="shared" si="188"/>
        <v>1117.9516592919986</v>
      </c>
      <c r="R109" s="3"/>
      <c r="S109" s="4"/>
      <c r="U109" t="s">
        <v>10</v>
      </c>
      <c r="V109" s="3"/>
      <c r="W109" s="3">
        <f t="shared" si="198"/>
        <v>362.92945934394874</v>
      </c>
      <c r="X109" s="3"/>
      <c r="Y109" s="3"/>
      <c r="AA109" t="s">
        <v>10</v>
      </c>
      <c r="AB109" s="3"/>
      <c r="AC109" s="3">
        <f t="shared" si="199"/>
        <v>397.11568229988501</v>
      </c>
      <c r="AD109" s="3">
        <f t="shared" si="191"/>
        <v>-477.62345601441342</v>
      </c>
      <c r="AE109" s="3">
        <f t="shared" si="192"/>
        <v>926.1791714978765</v>
      </c>
      <c r="AG109" t="s">
        <v>10</v>
      </c>
      <c r="AH109" s="3"/>
      <c r="AI109" s="3">
        <f t="shared" si="200"/>
        <v>797.42175516886221</v>
      </c>
      <c r="AJ109" s="3">
        <f t="shared" si="193"/>
        <v>751.95522817319829</v>
      </c>
      <c r="AK109" s="3"/>
    </row>
    <row r="110" spans="1:37" x14ac:dyDescent="0.25">
      <c r="A110" t="s">
        <v>11</v>
      </c>
      <c r="B110" s="3"/>
      <c r="C110" s="3">
        <f t="shared" si="195"/>
        <v>907.64647437728024</v>
      </c>
      <c r="D110" s="3">
        <f t="shared" si="186"/>
        <v>49.498530414751905</v>
      </c>
      <c r="E110" s="3"/>
      <c r="G110" t="s">
        <v>11</v>
      </c>
      <c r="H110" s="3"/>
      <c r="I110" s="3">
        <f t="shared" si="196"/>
        <v>1139.8614679234563</v>
      </c>
      <c r="J110" s="3">
        <f t="shared" si="187"/>
        <v>393.9531825001755</v>
      </c>
      <c r="K110" s="3">
        <f t="shared" si="187"/>
        <v>402.49347547475799</v>
      </c>
      <c r="M110" t="s">
        <v>11</v>
      </c>
      <c r="N110" s="3"/>
      <c r="O110" s="3">
        <f t="shared" si="197"/>
        <v>-182.83887650002649</v>
      </c>
      <c r="P110" s="3">
        <f t="shared" si="188"/>
        <v>1001.7591016260483</v>
      </c>
      <c r="Q110" s="3">
        <f t="shared" si="188"/>
        <v>183.24417417946748</v>
      </c>
      <c r="R110" s="3"/>
      <c r="S110" s="4"/>
      <c r="U110" t="s">
        <v>11</v>
      </c>
      <c r="V110" s="3"/>
      <c r="W110" s="3">
        <f t="shared" si="198"/>
        <v>907.64647437728024</v>
      </c>
      <c r="X110" s="3">
        <f t="shared" ref="X110" si="202">(W$23-X8)/7</f>
        <v>49.498530414751905</v>
      </c>
      <c r="Y110" s="3"/>
      <c r="AA110" t="s">
        <v>11</v>
      </c>
      <c r="AB110" s="3"/>
      <c r="AC110" s="3">
        <f t="shared" si="199"/>
        <v>1139.8614679234563</v>
      </c>
      <c r="AD110" s="3">
        <f t="shared" si="191"/>
        <v>257.26024613666516</v>
      </c>
      <c r="AE110" s="3">
        <f t="shared" si="192"/>
        <v>402.49347547475799</v>
      </c>
      <c r="AG110" t="s">
        <v>11</v>
      </c>
      <c r="AH110" s="3"/>
      <c r="AI110" s="3">
        <f t="shared" si="200"/>
        <v>-49.122703605380856</v>
      </c>
      <c r="AJ110" s="3">
        <f t="shared" si="193"/>
        <v>1001.7591016260483</v>
      </c>
      <c r="AK110" s="3">
        <f t="shared" si="194"/>
        <v>183.24417417946748</v>
      </c>
    </row>
    <row r="111" spans="1:37" x14ac:dyDescent="0.25">
      <c r="A111" t="s">
        <v>12</v>
      </c>
      <c r="B111" s="3"/>
      <c r="C111" s="3">
        <f t="shared" si="195"/>
        <v>729.10897796146878</v>
      </c>
      <c r="D111" s="3"/>
      <c r="E111" s="3">
        <f t="shared" si="186"/>
        <v>546.42256914836071</v>
      </c>
      <c r="G111" t="s">
        <v>12</v>
      </c>
      <c r="H111" s="3"/>
      <c r="I111" s="3">
        <f t="shared" si="196"/>
        <v>569.69867744461351</v>
      </c>
      <c r="J111" s="3">
        <f t="shared" si="187"/>
        <v>618.15328110550547</v>
      </c>
      <c r="K111" s="3">
        <f t="shared" si="187"/>
        <v>1036.0074494282997</v>
      </c>
      <c r="M111" t="s">
        <v>12</v>
      </c>
      <c r="N111" s="3"/>
      <c r="O111" s="3">
        <f t="shared" si="197"/>
        <v>452.90577321793364</v>
      </c>
      <c r="P111" s="3">
        <f t="shared" si="188"/>
        <v>454.76489724476687</v>
      </c>
      <c r="Q111" s="3">
        <f t="shared" si="188"/>
        <v>606.52537910995181</v>
      </c>
      <c r="R111" s="3"/>
      <c r="S111" s="4"/>
      <c r="U111" t="s">
        <v>12</v>
      </c>
      <c r="V111" s="3"/>
      <c r="W111" s="3">
        <f t="shared" si="198"/>
        <v>729.10897796146878</v>
      </c>
      <c r="X111" s="3"/>
      <c r="Y111" s="3">
        <f t="shared" ref="Y111:Y112" si="203">(X$23-Y9)/7</f>
        <v>546.42256914836071</v>
      </c>
      <c r="AA111" t="s">
        <v>12</v>
      </c>
      <c r="AB111" s="3"/>
      <c r="AC111" s="3">
        <f t="shared" si="199"/>
        <v>569.69867744461351</v>
      </c>
      <c r="AD111" s="3">
        <f t="shared" si="191"/>
        <v>481.46034474199507</v>
      </c>
      <c r="AE111" s="3">
        <f t="shared" si="192"/>
        <v>1036.0074494282997</v>
      </c>
      <c r="AG111" t="s">
        <v>12</v>
      </c>
      <c r="AH111" s="3"/>
      <c r="AI111" s="3">
        <f t="shared" si="200"/>
        <v>586.62194611257928</v>
      </c>
      <c r="AJ111" s="3">
        <f t="shared" si="193"/>
        <v>454.76489724476687</v>
      </c>
      <c r="AK111" s="3">
        <f t="shared" si="194"/>
        <v>606.52537910995181</v>
      </c>
    </row>
    <row r="112" spans="1:37" x14ac:dyDescent="0.25">
      <c r="A112" t="s">
        <v>13</v>
      </c>
      <c r="B112" s="3"/>
      <c r="C112" s="3">
        <f t="shared" si="195"/>
        <v>-14.143885360981196</v>
      </c>
      <c r="D112" s="3">
        <f t="shared" si="186"/>
        <v>-83.181433287665257</v>
      </c>
      <c r="E112" s="3">
        <f t="shared" si="186"/>
        <v>553.86865470879491</v>
      </c>
      <c r="G112" t="s">
        <v>13</v>
      </c>
      <c r="H112" s="3"/>
      <c r="I112" s="3">
        <f t="shared" si="196"/>
        <v>677.67283663941066</v>
      </c>
      <c r="J112" s="3">
        <f t="shared" si="187"/>
        <v>554.05420648857546</v>
      </c>
      <c r="K112" s="3">
        <f t="shared" si="187"/>
        <v>619.23122543399506</v>
      </c>
      <c r="M112" t="s">
        <v>13</v>
      </c>
      <c r="N112" s="3"/>
      <c r="O112" s="3">
        <f t="shared" si="197"/>
        <v>612.63676163045795</v>
      </c>
      <c r="P112" s="3">
        <f t="shared" si="188"/>
        <v>417.54007030671971</v>
      </c>
      <c r="Q112" s="3">
        <f t="shared" si="188"/>
        <v>204.33550962655605</v>
      </c>
      <c r="R112" s="3"/>
      <c r="S112" s="4"/>
      <c r="U112" t="s">
        <v>13</v>
      </c>
      <c r="V112" s="3"/>
      <c r="W112" s="3">
        <f t="shared" si="198"/>
        <v>-14.143885360981196</v>
      </c>
      <c r="X112" s="3">
        <f t="shared" ref="X112" si="204">(W$23-X10)/7</f>
        <v>-83.181433287665257</v>
      </c>
      <c r="Y112" s="3">
        <f t="shared" si="203"/>
        <v>553.86865470879491</v>
      </c>
      <c r="AA112" t="s">
        <v>13</v>
      </c>
      <c r="AB112" s="3"/>
      <c r="AC112" s="3">
        <f t="shared" si="199"/>
        <v>677.67283663941066</v>
      </c>
      <c r="AD112" s="3">
        <f t="shared" si="191"/>
        <v>417.36127012506506</v>
      </c>
      <c r="AE112" s="3">
        <f t="shared" si="192"/>
        <v>619.23122543399506</v>
      </c>
      <c r="AG112" t="s">
        <v>13</v>
      </c>
      <c r="AH112" s="3"/>
      <c r="AI112" s="3">
        <f t="shared" si="200"/>
        <v>746.35293452510359</v>
      </c>
      <c r="AJ112" s="3">
        <f t="shared" si="193"/>
        <v>417.54007030671971</v>
      </c>
      <c r="AK112" s="3">
        <f t="shared" si="194"/>
        <v>204.33550962655605</v>
      </c>
    </row>
    <row r="113" spans="1:37" x14ac:dyDescent="0.25">
      <c r="A113" t="s">
        <v>5</v>
      </c>
      <c r="C113" s="3"/>
      <c r="D113" s="3"/>
      <c r="E113" s="3"/>
      <c r="G113" t="s">
        <v>5</v>
      </c>
      <c r="I113" s="3"/>
      <c r="J113" s="3"/>
      <c r="K113" s="3"/>
      <c r="M113" t="s">
        <v>5</v>
      </c>
      <c r="O113" s="3"/>
      <c r="P113" s="3"/>
      <c r="Q113" s="3"/>
      <c r="R113" s="3"/>
      <c r="S113" s="4"/>
      <c r="U113" t="s">
        <v>5</v>
      </c>
      <c r="W113" s="3"/>
      <c r="X113" s="3"/>
      <c r="Y113" s="3"/>
      <c r="AA113" t="s">
        <v>5</v>
      </c>
      <c r="AC113" s="3"/>
      <c r="AD113" s="3"/>
      <c r="AE113" s="3"/>
      <c r="AG113" t="s">
        <v>5</v>
      </c>
      <c r="AI113" s="3"/>
      <c r="AJ113" s="3"/>
      <c r="AK113" s="3"/>
    </row>
    <row r="114" spans="1:37" x14ac:dyDescent="0.25">
      <c r="A114" t="s">
        <v>7</v>
      </c>
      <c r="C114" s="3"/>
      <c r="D114" s="3"/>
      <c r="E114" s="3"/>
      <c r="G114" t="s">
        <v>7</v>
      </c>
      <c r="I114" s="3"/>
      <c r="J114" s="3"/>
      <c r="K114" s="3"/>
      <c r="M114" t="s">
        <v>7</v>
      </c>
      <c r="O114" s="3"/>
      <c r="P114" s="3"/>
      <c r="Q114" s="3"/>
      <c r="R114" s="3"/>
      <c r="S114" s="4"/>
      <c r="U114" t="s">
        <v>7</v>
      </c>
      <c r="W114" s="3"/>
      <c r="X114" s="3"/>
      <c r="Y114" s="3"/>
      <c r="AA114" t="s">
        <v>7</v>
      </c>
      <c r="AC114" s="3"/>
      <c r="AD114" s="3"/>
      <c r="AE114" s="3"/>
      <c r="AG114" t="s">
        <v>7</v>
      </c>
      <c r="AI114" s="3"/>
      <c r="AJ114" s="3"/>
      <c r="AK114" s="3"/>
    </row>
    <row r="115" spans="1:37" x14ac:dyDescent="0.25">
      <c r="A115" t="s">
        <v>8</v>
      </c>
      <c r="C115" s="3"/>
      <c r="D115" s="3"/>
      <c r="E115" s="3"/>
      <c r="G115" t="s">
        <v>8</v>
      </c>
      <c r="I115" s="3"/>
      <c r="J115" s="3"/>
      <c r="K115" s="3"/>
      <c r="M115" t="s">
        <v>8</v>
      </c>
      <c r="O115" s="3"/>
      <c r="P115" s="3"/>
      <c r="Q115" s="3"/>
      <c r="R115" s="3"/>
      <c r="S115" s="4"/>
      <c r="U115" t="s">
        <v>8</v>
      </c>
      <c r="W115" s="3"/>
      <c r="X115" s="3"/>
      <c r="Y115" s="3"/>
      <c r="AA115" t="s">
        <v>8</v>
      </c>
      <c r="AC115" s="3"/>
      <c r="AD115" s="3"/>
      <c r="AE115" s="3"/>
      <c r="AG115" t="s">
        <v>8</v>
      </c>
      <c r="AI115" s="3"/>
      <c r="AJ115" s="3"/>
      <c r="AK115" s="3"/>
    </row>
    <row r="116" spans="1:37" x14ac:dyDescent="0.25">
      <c r="A116" t="s">
        <v>9</v>
      </c>
      <c r="C116" s="3"/>
      <c r="D116" s="3"/>
      <c r="E116" s="3"/>
      <c r="G116" t="s">
        <v>9</v>
      </c>
      <c r="I116" s="3"/>
      <c r="J116" s="3"/>
      <c r="K116" s="3"/>
      <c r="M116" t="s">
        <v>9</v>
      </c>
      <c r="O116" s="3"/>
      <c r="P116" s="3"/>
      <c r="Q116" s="3"/>
      <c r="R116" s="3"/>
      <c r="S116" s="4"/>
      <c r="U116" t="s">
        <v>9</v>
      </c>
      <c r="W116" s="3"/>
      <c r="X116" s="3"/>
      <c r="Y116" s="3"/>
      <c r="AA116" t="s">
        <v>9</v>
      </c>
      <c r="AC116" s="3"/>
      <c r="AD116" s="3"/>
      <c r="AE116" s="3"/>
      <c r="AG116" t="s">
        <v>9</v>
      </c>
      <c r="AI116" s="3"/>
      <c r="AJ116" s="3"/>
      <c r="AK116" s="3"/>
    </row>
    <row r="117" spans="1:37" x14ac:dyDescent="0.25">
      <c r="A117" t="s">
        <v>10</v>
      </c>
      <c r="C117" s="3"/>
      <c r="D117" s="3"/>
      <c r="E117" s="3"/>
      <c r="G117" t="s">
        <v>10</v>
      </c>
      <c r="I117" s="3"/>
      <c r="J117" s="3"/>
      <c r="K117" s="3"/>
      <c r="M117" t="s">
        <v>10</v>
      </c>
      <c r="O117" s="3"/>
      <c r="P117" s="3"/>
      <c r="Q117" s="3"/>
      <c r="R117" s="3"/>
      <c r="S117" s="4"/>
      <c r="U117" t="s">
        <v>10</v>
      </c>
      <c r="W117" s="3"/>
      <c r="X117" s="3"/>
      <c r="Y117" s="3"/>
      <c r="AA117" t="s">
        <v>10</v>
      </c>
      <c r="AC117" s="3"/>
      <c r="AD117" s="3"/>
      <c r="AE117" s="3"/>
      <c r="AG117" t="s">
        <v>10</v>
      </c>
      <c r="AI117" s="3"/>
      <c r="AJ117" s="3"/>
      <c r="AK117" s="3"/>
    </row>
    <row r="118" spans="1:37" x14ac:dyDescent="0.25">
      <c r="A118" t="s">
        <v>11</v>
      </c>
      <c r="C118" s="3"/>
      <c r="D118" s="3"/>
      <c r="E118" s="3"/>
      <c r="G118" t="s">
        <v>11</v>
      </c>
      <c r="I118" s="3"/>
      <c r="J118" s="3"/>
      <c r="K118" s="3"/>
      <c r="M118" t="s">
        <v>11</v>
      </c>
      <c r="O118" s="3"/>
      <c r="P118" s="3"/>
      <c r="Q118" s="3"/>
      <c r="R118" s="3"/>
      <c r="S118" s="4"/>
      <c r="U118" t="s">
        <v>11</v>
      </c>
      <c r="W118" s="3"/>
      <c r="X118" s="3"/>
      <c r="Y118" s="3"/>
      <c r="AA118" t="s">
        <v>11</v>
      </c>
      <c r="AC118" s="3"/>
      <c r="AD118" s="3"/>
      <c r="AE118" s="3"/>
      <c r="AG118" t="s">
        <v>11</v>
      </c>
      <c r="AI118" s="3"/>
      <c r="AJ118" s="3"/>
      <c r="AK118" s="3"/>
    </row>
    <row r="119" spans="1:37" x14ac:dyDescent="0.25">
      <c r="A119" t="s">
        <v>12</v>
      </c>
      <c r="C119" s="3"/>
      <c r="D119" s="3"/>
      <c r="E119" s="3"/>
      <c r="G119" t="s">
        <v>12</v>
      </c>
      <c r="I119" s="3"/>
      <c r="J119" s="3"/>
      <c r="K119" s="3"/>
      <c r="M119" t="s">
        <v>12</v>
      </c>
      <c r="O119" s="3"/>
      <c r="P119" s="3"/>
      <c r="Q119" s="3"/>
      <c r="R119" s="3"/>
      <c r="S119" s="4"/>
      <c r="U119" t="s">
        <v>12</v>
      </c>
      <c r="W119" s="3"/>
      <c r="X119" s="3"/>
      <c r="Y119" s="3"/>
      <c r="AA119" t="s">
        <v>12</v>
      </c>
      <c r="AC119" s="3"/>
      <c r="AD119" s="3"/>
      <c r="AE119" s="3"/>
      <c r="AG119" t="s">
        <v>12</v>
      </c>
      <c r="AI119" s="3"/>
      <c r="AJ119" s="3"/>
      <c r="AK119" s="3"/>
    </row>
    <row r="120" spans="1:37" x14ac:dyDescent="0.25">
      <c r="A120" t="s">
        <v>13</v>
      </c>
      <c r="C120" s="3"/>
      <c r="D120" s="3"/>
      <c r="E120" s="3"/>
      <c r="G120" t="s">
        <v>13</v>
      </c>
      <c r="I120" s="3"/>
      <c r="J120" s="3"/>
      <c r="K120" s="3"/>
      <c r="M120" t="s">
        <v>13</v>
      </c>
      <c r="O120" s="3"/>
      <c r="P120" s="3"/>
      <c r="Q120" s="3"/>
      <c r="R120" s="3"/>
      <c r="S120" s="4"/>
      <c r="U120" t="s">
        <v>13</v>
      </c>
      <c r="W120" s="3"/>
      <c r="X120" s="3"/>
      <c r="Y120" s="3"/>
      <c r="AA120" t="s">
        <v>13</v>
      </c>
      <c r="AC120" s="3"/>
      <c r="AD120" s="3"/>
      <c r="AE120" s="3"/>
      <c r="AG120" t="s">
        <v>13</v>
      </c>
      <c r="AI120" s="3"/>
      <c r="AJ120" s="3"/>
      <c r="AK120" s="3"/>
    </row>
    <row r="121" spans="1:37" x14ac:dyDescent="0.25">
      <c r="A121" s="2"/>
      <c r="B121" s="2"/>
      <c r="C121" s="2"/>
      <c r="D121" s="2"/>
      <c r="E121" s="2"/>
      <c r="G121" s="2"/>
      <c r="H121" s="2"/>
      <c r="I121" s="2"/>
      <c r="J121" s="2"/>
      <c r="K121" s="2"/>
      <c r="M121" s="2"/>
      <c r="N121" s="2"/>
      <c r="O121" s="2"/>
      <c r="P121" s="2"/>
      <c r="Q121" s="2"/>
      <c r="R121" s="3"/>
      <c r="S121" s="4"/>
      <c r="U121" s="2"/>
      <c r="V121" s="2"/>
      <c r="W121" s="2"/>
      <c r="X121" s="2"/>
      <c r="Y121" s="2"/>
      <c r="AA121" s="2"/>
      <c r="AB121" s="2"/>
      <c r="AC121" s="2"/>
      <c r="AD121" s="2"/>
      <c r="AE121" s="2"/>
      <c r="AG121" s="2"/>
      <c r="AH121" s="2"/>
      <c r="AI121" s="2"/>
      <c r="AJ121" s="2"/>
      <c r="AK121" s="2"/>
    </row>
    <row r="122" spans="1:37" x14ac:dyDescent="0.25">
      <c r="A122" t="s">
        <v>14</v>
      </c>
      <c r="B122">
        <f>COUNT(B105:B120)</f>
        <v>0</v>
      </c>
      <c r="C122">
        <f t="shared" ref="C122:E122" si="205">COUNT(C105:C120)</f>
        <v>8</v>
      </c>
      <c r="D122">
        <f t="shared" si="205"/>
        <v>6</v>
      </c>
      <c r="E122">
        <f t="shared" si="205"/>
        <v>5</v>
      </c>
      <c r="G122" t="s">
        <v>14</v>
      </c>
      <c r="H122">
        <f>COUNT(H105:H120)</f>
        <v>0</v>
      </c>
      <c r="I122">
        <f t="shared" ref="I122:K122" si="206">COUNT(I105:I120)</f>
        <v>8</v>
      </c>
      <c r="J122">
        <f t="shared" si="206"/>
        <v>8</v>
      </c>
      <c r="K122">
        <f t="shared" si="206"/>
        <v>8</v>
      </c>
      <c r="M122" t="s">
        <v>14</v>
      </c>
      <c r="N122">
        <f>COUNT(N105:N120)</f>
        <v>0</v>
      </c>
      <c r="O122">
        <f t="shared" ref="O122:Q122" si="207">COUNT(O105:O120)</f>
        <v>8</v>
      </c>
      <c r="P122">
        <f t="shared" si="207"/>
        <v>8</v>
      </c>
      <c r="Q122">
        <f t="shared" si="207"/>
        <v>8</v>
      </c>
      <c r="R122" s="3"/>
      <c r="S122" s="4"/>
      <c r="U122" t="s">
        <v>14</v>
      </c>
      <c r="V122">
        <f>COUNT(V105:V120)</f>
        <v>0</v>
      </c>
      <c r="W122">
        <f t="shared" ref="W122:Y122" si="208">COUNT(W105:W120)</f>
        <v>8</v>
      </c>
      <c r="X122">
        <f t="shared" si="208"/>
        <v>6</v>
      </c>
      <c r="Y122">
        <f t="shared" si="208"/>
        <v>5</v>
      </c>
      <c r="AA122" t="s">
        <v>14</v>
      </c>
      <c r="AB122">
        <f>COUNT(AB105:AB120)</f>
        <v>0</v>
      </c>
      <c r="AC122">
        <f t="shared" ref="AC122:AE122" si="209">COUNT(AC105:AC120)</f>
        <v>7</v>
      </c>
      <c r="AD122">
        <f t="shared" si="209"/>
        <v>8</v>
      </c>
      <c r="AE122">
        <f t="shared" si="209"/>
        <v>8</v>
      </c>
      <c r="AG122" t="s">
        <v>14</v>
      </c>
      <c r="AH122">
        <f>COUNT(AH105:AH120)</f>
        <v>0</v>
      </c>
      <c r="AI122">
        <f t="shared" ref="AI122:AK122" si="210">COUNT(AI105:AI120)</f>
        <v>8</v>
      </c>
      <c r="AJ122">
        <f t="shared" si="210"/>
        <v>8</v>
      </c>
      <c r="AK122">
        <f t="shared" si="210"/>
        <v>7</v>
      </c>
    </row>
    <row r="123" spans="1:37" x14ac:dyDescent="0.25">
      <c r="A123" t="s">
        <v>15</v>
      </c>
      <c r="B123">
        <f>MAX(B105:B120)</f>
        <v>0</v>
      </c>
      <c r="C123">
        <f t="shared" ref="C123:E123" si="211">MAX(C105:C120)</f>
        <v>907.64647437728024</v>
      </c>
      <c r="D123">
        <f t="shared" si="211"/>
        <v>472.2638780343662</v>
      </c>
      <c r="E123">
        <f t="shared" si="211"/>
        <v>553.86865470879491</v>
      </c>
      <c r="G123" t="s">
        <v>15</v>
      </c>
      <c r="H123">
        <f>MAX(H105:H120)</f>
        <v>0</v>
      </c>
      <c r="I123">
        <f t="shared" ref="I123:K123" si="212">MAX(I105:I120)</f>
        <v>1139.8614679234563</v>
      </c>
      <c r="J123">
        <f t="shared" si="212"/>
        <v>618.15328110550547</v>
      </c>
      <c r="K123">
        <f t="shared" si="212"/>
        <v>1036.0074494282997</v>
      </c>
      <c r="M123" t="s">
        <v>15</v>
      </c>
      <c r="N123">
        <f>MAX(N105:N120)</f>
        <v>0</v>
      </c>
      <c r="O123">
        <f t="shared" ref="O123:Q123" si="213">MAX(O105:O120)</f>
        <v>663.70558227421657</v>
      </c>
      <c r="P123">
        <f t="shared" si="213"/>
        <v>1001.7591016260483</v>
      </c>
      <c r="Q123">
        <f t="shared" si="213"/>
        <v>1117.9516592919986</v>
      </c>
      <c r="R123" s="3"/>
      <c r="S123" s="4"/>
      <c r="U123" t="s">
        <v>15</v>
      </c>
      <c r="V123">
        <f>MAX(V105:V120)</f>
        <v>0</v>
      </c>
      <c r="W123">
        <f t="shared" ref="W123:Y123" si="214">MAX(W105:W120)</f>
        <v>907.64647437728024</v>
      </c>
      <c r="X123">
        <f t="shared" si="214"/>
        <v>472.2638780343662</v>
      </c>
      <c r="Y123">
        <f t="shared" si="214"/>
        <v>553.86865470879491</v>
      </c>
      <c r="AA123" t="s">
        <v>15</v>
      </c>
      <c r="AB123">
        <f>MAX(AB105:AB120)</f>
        <v>0</v>
      </c>
      <c r="AC123">
        <f t="shared" ref="AC123:AE123" si="215">MAX(AC105:AC120)</f>
        <v>1139.8614679234563</v>
      </c>
      <c r="AD123">
        <f t="shared" si="215"/>
        <v>481.46034474199507</v>
      </c>
      <c r="AE123">
        <f t="shared" si="215"/>
        <v>1036.0074494282997</v>
      </c>
      <c r="AG123" t="s">
        <v>15</v>
      </c>
      <c r="AH123">
        <f>MAX(AH105:AH120)</f>
        <v>0</v>
      </c>
      <c r="AI123">
        <f t="shared" ref="AI123:AK123" si="216">MAX(AI105:AI120)</f>
        <v>797.42175516886221</v>
      </c>
      <c r="AJ123">
        <f t="shared" si="216"/>
        <v>1001.7591016260483</v>
      </c>
      <c r="AK123">
        <f t="shared" si="216"/>
        <v>606.52537910995181</v>
      </c>
    </row>
    <row r="124" spans="1:37" x14ac:dyDescent="0.25">
      <c r="A124" t="s">
        <v>16</v>
      </c>
      <c r="B124">
        <f>MIN(B105:B120)</f>
        <v>0</v>
      </c>
      <c r="C124">
        <f t="shared" ref="C124:E124" si="217">MIN(C105:C120)</f>
        <v>-446.48086596360969</v>
      </c>
      <c r="D124">
        <f t="shared" si="217"/>
        <v>-411.77515807327524</v>
      </c>
      <c r="E124">
        <f t="shared" si="217"/>
        <v>-845.13869689861917</v>
      </c>
      <c r="G124" t="s">
        <v>16</v>
      </c>
      <c r="H124">
        <f>MIN(H105:H120)</f>
        <v>0</v>
      </c>
      <c r="I124">
        <f t="shared" ref="I124:K124" si="218">MIN(I105:I120)</f>
        <v>-517.04206412354506</v>
      </c>
      <c r="J124">
        <f t="shared" si="218"/>
        <v>-584.51753893290311</v>
      </c>
      <c r="K124">
        <f t="shared" si="218"/>
        <v>255.10453297984805</v>
      </c>
      <c r="M124" t="s">
        <v>16</v>
      </c>
      <c r="N124">
        <f>MIN(N105:N120)</f>
        <v>0</v>
      </c>
      <c r="O124">
        <f t="shared" ref="O124:Q124" si="219">MIN(O105:O120)</f>
        <v>-649.26270439838356</v>
      </c>
      <c r="P124">
        <f t="shared" si="219"/>
        <v>-380.79524167785036</v>
      </c>
      <c r="Q124">
        <f t="shared" si="219"/>
        <v>154.7821051632861</v>
      </c>
      <c r="S124" s="4"/>
      <c r="U124" t="s">
        <v>16</v>
      </c>
      <c r="V124">
        <f>MIN(V105:V120)</f>
        <v>0</v>
      </c>
      <c r="W124">
        <f t="shared" ref="W124:Y124" si="220">MIN(W105:W120)</f>
        <v>-446.48086596360969</v>
      </c>
      <c r="X124">
        <f t="shared" si="220"/>
        <v>-411.77515807327524</v>
      </c>
      <c r="Y124">
        <f t="shared" si="220"/>
        <v>-845.13869689861917</v>
      </c>
      <c r="AA124" t="s">
        <v>16</v>
      </c>
      <c r="AB124">
        <f>MIN(AB105:AB120)</f>
        <v>0</v>
      </c>
      <c r="AC124">
        <f t="shared" ref="AC124:AE124" si="221">MIN(AC105:AC120)</f>
        <v>281.83910031614636</v>
      </c>
      <c r="AD124">
        <f t="shared" si="221"/>
        <v>-721.21047529641339</v>
      </c>
      <c r="AE124">
        <f t="shared" si="221"/>
        <v>255.10453297984805</v>
      </c>
      <c r="AG124" t="s">
        <v>16</v>
      </c>
      <c r="AH124">
        <f>MIN(AH105:AH120)</f>
        <v>0</v>
      </c>
      <c r="AI124">
        <f t="shared" ref="AI124:AK124" si="222">MIN(AI105:AI120)</f>
        <v>-515.54653150373792</v>
      </c>
      <c r="AJ124">
        <f t="shared" si="222"/>
        <v>-380.79524167785036</v>
      </c>
      <c r="AK124">
        <f t="shared" si="222"/>
        <v>154.7821051632861</v>
      </c>
    </row>
    <row r="125" spans="1:37" x14ac:dyDescent="0.25">
      <c r="A125" t="s">
        <v>17</v>
      </c>
      <c r="B125" t="e">
        <f>AVERAGE(B105:B120)</f>
        <v>#DIV/0!</v>
      </c>
      <c r="C125">
        <f t="shared" ref="C125:E125" si="223">AVERAGE(C105:C120)</f>
        <v>158.90135221769972</v>
      </c>
      <c r="D125">
        <f t="shared" si="223"/>
        <v>118.41627752575265</v>
      </c>
      <c r="E125">
        <f t="shared" si="223"/>
        <v>-5.0472113152984779</v>
      </c>
      <c r="G125" t="s">
        <v>17</v>
      </c>
      <c r="H125" t="e">
        <f>AVERAGE(H105:H120)</f>
        <v>#DIV/0!</v>
      </c>
      <c r="I125">
        <f t="shared" ref="I125:K125" si="224">AVERAGE(I105:I120)</f>
        <v>439.80849042102921</v>
      </c>
      <c r="J125">
        <f t="shared" si="224"/>
        <v>84.96563938978602</v>
      </c>
      <c r="K125">
        <f t="shared" si="224"/>
        <v>543.15954022029325</v>
      </c>
      <c r="M125" t="s">
        <v>17</v>
      </c>
      <c r="N125" t="e">
        <f>AVERAGE(N105:N120)</f>
        <v>#DIV/0!</v>
      </c>
      <c r="O125">
        <f t="shared" ref="O125:Q125" si="225">AVERAGE(O105:O120)</f>
        <v>-68.856058936147619</v>
      </c>
      <c r="P125">
        <f t="shared" si="225"/>
        <v>302.93564336897344</v>
      </c>
      <c r="Q125">
        <f t="shared" si="225"/>
        <v>398.66666919193364</v>
      </c>
      <c r="S125" s="4"/>
      <c r="U125" t="s">
        <v>17</v>
      </c>
      <c r="V125" t="e">
        <f>AVERAGE(V105:V120)</f>
        <v>#DIV/0!</v>
      </c>
      <c r="W125">
        <f t="shared" ref="W125:Y125" si="226">AVERAGE(W105:W120)</f>
        <v>158.90135221769972</v>
      </c>
      <c r="X125">
        <f t="shared" si="226"/>
        <v>118.41627752575265</v>
      </c>
      <c r="Y125">
        <f t="shared" si="226"/>
        <v>-5.0472113152984779</v>
      </c>
      <c r="AA125" t="s">
        <v>17</v>
      </c>
      <c r="AB125" t="e">
        <f>AVERAGE(AB105:AB120)</f>
        <v>#DIV/0!</v>
      </c>
      <c r="AC125">
        <f t="shared" ref="AC125:AE125" si="227">AVERAGE(AC105:AC120)</f>
        <v>576.50142678453983</v>
      </c>
      <c r="AD125">
        <f t="shared" si="227"/>
        <v>-51.72729697372435</v>
      </c>
      <c r="AE125">
        <f t="shared" si="227"/>
        <v>543.15954022029325</v>
      </c>
      <c r="AG125" t="s">
        <v>17</v>
      </c>
      <c r="AH125" t="e">
        <f>AVERAGE(AH105:AH120)</f>
        <v>#DIV/0!</v>
      </c>
      <c r="AI125">
        <f t="shared" ref="AI125:AK125" si="228">AVERAGE(AI105:AI120)</f>
        <v>64.860113958498019</v>
      </c>
      <c r="AJ125">
        <f t="shared" si="228"/>
        <v>302.93564336897344</v>
      </c>
      <c r="AK125">
        <f t="shared" si="228"/>
        <v>295.91167060621012</v>
      </c>
    </row>
    <row r="126" spans="1:37" x14ac:dyDescent="0.25">
      <c r="A126" t="s">
        <v>18</v>
      </c>
      <c r="B126" t="e">
        <f>STDEV(B105:B120)</f>
        <v>#DIV/0!</v>
      </c>
      <c r="C126">
        <f t="shared" ref="C126:E126" si="229">STDEV(C105:C120)</f>
        <v>476.00693910350822</v>
      </c>
      <c r="D126">
        <f t="shared" si="229"/>
        <v>339.7774580137966</v>
      </c>
      <c r="E126">
        <f t="shared" si="229"/>
        <v>662.01692666582528</v>
      </c>
      <c r="G126" t="s">
        <v>18</v>
      </c>
      <c r="H126" t="e">
        <f>STDEV(H105:H120)</f>
        <v>#DIV/0!</v>
      </c>
      <c r="I126">
        <f t="shared" ref="I126:K126" si="230">STDEV(I105:I120)</f>
        <v>468.23467305403295</v>
      </c>
      <c r="J126">
        <f t="shared" si="230"/>
        <v>434.70637420661285</v>
      </c>
      <c r="K126">
        <f t="shared" si="230"/>
        <v>302.65725595405576</v>
      </c>
      <c r="M126" t="s">
        <v>18</v>
      </c>
      <c r="N126" t="e">
        <f>STDEV(N105:N120)</f>
        <v>#DIV/0!</v>
      </c>
      <c r="O126">
        <f t="shared" ref="O126:Q126" si="231">STDEV(O105:O120)</f>
        <v>558.4986835106007</v>
      </c>
      <c r="P126">
        <f t="shared" si="231"/>
        <v>448.3104403696592</v>
      </c>
      <c r="Q126">
        <f t="shared" si="231"/>
        <v>335.40945951706817</v>
      </c>
      <c r="S126" s="4"/>
      <c r="U126" t="s">
        <v>18</v>
      </c>
      <c r="V126" t="e">
        <f>STDEV(V105:V120)</f>
        <v>#DIV/0!</v>
      </c>
      <c r="W126">
        <f t="shared" ref="W126:Y126" si="232">STDEV(W105:W120)</f>
        <v>476.00693910350822</v>
      </c>
      <c r="X126">
        <f t="shared" si="232"/>
        <v>339.7774580137966</v>
      </c>
      <c r="Y126">
        <f t="shared" si="232"/>
        <v>662.01692666582528</v>
      </c>
      <c r="AA126" t="s">
        <v>18</v>
      </c>
      <c r="AB126" t="e">
        <f>STDEV(AB105:AB120)</f>
        <v>#DIV/0!</v>
      </c>
      <c r="AC126">
        <f t="shared" ref="AC126:AE126" si="233">STDEV(AC105:AC120)</f>
        <v>285.29174180597107</v>
      </c>
      <c r="AD126">
        <f t="shared" si="233"/>
        <v>434.70637420661285</v>
      </c>
      <c r="AE126">
        <f t="shared" si="233"/>
        <v>302.65725595405576</v>
      </c>
      <c r="AG126" t="s">
        <v>18</v>
      </c>
      <c r="AH126" t="e">
        <f>STDEV(AH105:AH120)</f>
        <v>#DIV/0!</v>
      </c>
      <c r="AI126">
        <f t="shared" ref="AI126:AK126" si="234">STDEV(AI105:AI120)</f>
        <v>558.49868351060059</v>
      </c>
      <c r="AJ126">
        <f t="shared" si="234"/>
        <v>448.3104403696592</v>
      </c>
      <c r="AK126">
        <f t="shared" si="234"/>
        <v>180.83856226434284</v>
      </c>
    </row>
    <row r="127" spans="1:37" x14ac:dyDescent="0.25">
      <c r="A127" t="s">
        <v>19</v>
      </c>
      <c r="B127" t="e">
        <f>B125+2*B126</f>
        <v>#DIV/0!</v>
      </c>
      <c r="C127">
        <f t="shared" ref="C127:E127" si="235">C125+2*C126</f>
        <v>1110.9152304247161</v>
      </c>
      <c r="D127">
        <f t="shared" si="235"/>
        <v>797.97119355334587</v>
      </c>
      <c r="E127">
        <f t="shared" si="235"/>
        <v>1318.9866420163521</v>
      </c>
      <c r="G127" t="s">
        <v>19</v>
      </c>
      <c r="H127" t="e">
        <f>H125+2*H126</f>
        <v>#DIV/0!</v>
      </c>
      <c r="I127">
        <f t="shared" ref="I127:K127" si="236">I125+2*I126</f>
        <v>1376.2778365290951</v>
      </c>
      <c r="J127">
        <f t="shared" si="236"/>
        <v>954.37838780301172</v>
      </c>
      <c r="K127">
        <f t="shared" si="236"/>
        <v>1148.4740521284048</v>
      </c>
      <c r="M127" t="s">
        <v>19</v>
      </c>
      <c r="N127" t="e">
        <f>N125+2*N126</f>
        <v>#DIV/0!</v>
      </c>
      <c r="O127">
        <f t="shared" ref="O127:Q127" si="237">O125+2*O126</f>
        <v>1048.1413080850539</v>
      </c>
      <c r="P127">
        <f t="shared" si="237"/>
        <v>1199.5565241082918</v>
      </c>
      <c r="Q127">
        <f t="shared" si="237"/>
        <v>1069.4855882260699</v>
      </c>
      <c r="S127" s="4"/>
      <c r="U127" t="s">
        <v>19</v>
      </c>
      <c r="V127" t="e">
        <f>V125+2*V126</f>
        <v>#DIV/0!</v>
      </c>
      <c r="W127">
        <f t="shared" ref="W127:Y127" si="238">W125+2*W126</f>
        <v>1110.9152304247161</v>
      </c>
      <c r="X127">
        <f t="shared" si="238"/>
        <v>797.97119355334587</v>
      </c>
      <c r="Y127">
        <f t="shared" si="238"/>
        <v>1318.9866420163521</v>
      </c>
      <c r="AA127" t="s">
        <v>19</v>
      </c>
      <c r="AB127" t="e">
        <f>AB125+2*AB126</f>
        <v>#DIV/0!</v>
      </c>
      <c r="AC127">
        <f t="shared" ref="AC127:AE127" si="239">AC125+2*AC126</f>
        <v>1147.084910396482</v>
      </c>
      <c r="AD127">
        <f t="shared" si="239"/>
        <v>817.68545143950132</v>
      </c>
      <c r="AE127">
        <f t="shared" si="239"/>
        <v>1148.4740521284048</v>
      </c>
      <c r="AG127" t="s">
        <v>19</v>
      </c>
      <c r="AH127" t="e">
        <f>AH125+2*AH126</f>
        <v>#DIV/0!</v>
      </c>
      <c r="AI127">
        <f t="shared" ref="AI127:AK127" si="240">AI125+2*AI126</f>
        <v>1181.8574809796992</v>
      </c>
      <c r="AJ127">
        <f t="shared" si="240"/>
        <v>1199.5565241082918</v>
      </c>
      <c r="AK127">
        <f t="shared" si="240"/>
        <v>657.5887951348958</v>
      </c>
    </row>
    <row r="128" spans="1:37" x14ac:dyDescent="0.25">
      <c r="A128" t="s">
        <v>20</v>
      </c>
      <c r="B128" t="e">
        <f>B125-2*B126</f>
        <v>#DIV/0!</v>
      </c>
      <c r="C128">
        <f t="shared" ref="C128:E128" si="241">C125-2*C126</f>
        <v>-793.11252598931674</v>
      </c>
      <c r="D128">
        <f t="shared" si="241"/>
        <v>-561.13863850184055</v>
      </c>
      <c r="E128">
        <f t="shared" si="241"/>
        <v>-1329.081064646949</v>
      </c>
      <c r="G128" t="s">
        <v>20</v>
      </c>
      <c r="H128" t="e">
        <f>H125-2*H126</f>
        <v>#DIV/0!</v>
      </c>
      <c r="I128">
        <f t="shared" ref="I128:K128" si="242">I125-2*I126</f>
        <v>-496.6608556870367</v>
      </c>
      <c r="J128">
        <f t="shared" si="242"/>
        <v>-784.44710902343968</v>
      </c>
      <c r="K128">
        <f t="shared" si="242"/>
        <v>-62.154971687818261</v>
      </c>
      <c r="M128" t="s">
        <v>20</v>
      </c>
      <c r="N128" t="e">
        <f>N125-2*N126</f>
        <v>#DIV/0!</v>
      </c>
      <c r="O128">
        <f t="shared" ref="O128:Q128" si="243">O125-2*O126</f>
        <v>-1185.8534259573489</v>
      </c>
      <c r="P128">
        <f t="shared" si="243"/>
        <v>-593.68523737034502</v>
      </c>
      <c r="Q128">
        <f t="shared" si="243"/>
        <v>-272.15224984220271</v>
      </c>
      <c r="S128" s="4"/>
      <c r="U128" t="s">
        <v>20</v>
      </c>
      <c r="V128" t="e">
        <f>V125-2*V126</f>
        <v>#DIV/0!</v>
      </c>
      <c r="W128">
        <f t="shared" ref="W128:Y128" si="244">W125-2*W126</f>
        <v>-793.11252598931674</v>
      </c>
      <c r="X128">
        <f t="shared" si="244"/>
        <v>-561.13863850184055</v>
      </c>
      <c r="Y128">
        <f t="shared" si="244"/>
        <v>-1329.081064646949</v>
      </c>
      <c r="AA128" t="s">
        <v>20</v>
      </c>
      <c r="AB128" t="e">
        <f>AB125-2*AB126</f>
        <v>#DIV/0!</v>
      </c>
      <c r="AC128">
        <f t="shared" ref="AC128:AE128" si="245">AC125-2*AC126</f>
        <v>5.9179431725976883</v>
      </c>
      <c r="AD128">
        <f t="shared" si="245"/>
        <v>-921.14004538695008</v>
      </c>
      <c r="AE128">
        <f t="shared" si="245"/>
        <v>-62.154971687818261</v>
      </c>
      <c r="AG128" t="s">
        <v>20</v>
      </c>
      <c r="AH128" t="e">
        <f>AH125-2*AH126</f>
        <v>#DIV/0!</v>
      </c>
      <c r="AI128">
        <f t="shared" ref="AI128:AK128" si="246">AI125-2*AI126</f>
        <v>-1052.1372530627032</v>
      </c>
      <c r="AJ128">
        <f t="shared" si="246"/>
        <v>-593.68523737034502</v>
      </c>
      <c r="AK128">
        <f t="shared" si="246"/>
        <v>-65.765453922475558</v>
      </c>
    </row>
    <row r="129" spans="1:37" x14ac:dyDescent="0.25">
      <c r="A129" t="s">
        <v>21</v>
      </c>
      <c r="B129" t="e">
        <f>VAR(B105:B120)</f>
        <v>#DIV/0!</v>
      </c>
      <c r="C129">
        <f t="shared" ref="C129:E129" si="247">VAR(C105:C120)</f>
        <v>226582.60607469096</v>
      </c>
      <c r="D129">
        <f t="shared" si="247"/>
        <v>115448.72097431732</v>
      </c>
      <c r="E129">
        <f t="shared" si="247"/>
        <v>438266.41119206476</v>
      </c>
      <c r="G129" t="s">
        <v>21</v>
      </c>
      <c r="H129" t="e">
        <f>VAR(H105:H120)</f>
        <v>#DIV/0!</v>
      </c>
      <c r="I129">
        <f t="shared" ref="I129:K129" si="248">VAR(I105:I120)</f>
        <v>219243.70905001715</v>
      </c>
      <c r="J129">
        <f t="shared" si="248"/>
        <v>188969.63177585974</v>
      </c>
      <c r="K129">
        <f t="shared" si="248"/>
        <v>91601.414581638834</v>
      </c>
      <c r="M129" t="s">
        <v>21</v>
      </c>
      <c r="N129" t="e">
        <f>VAR(N105:N120)</f>
        <v>#DIV/0!</v>
      </c>
      <c r="O129">
        <f t="shared" ref="O129:Q129" si="249">VAR(O105:O120)</f>
        <v>311920.77948307415</v>
      </c>
      <c r="P129">
        <f t="shared" si="249"/>
        <v>200982.25094443778</v>
      </c>
      <c r="Q129">
        <f t="shared" si="249"/>
        <v>112499.5055335318</v>
      </c>
      <c r="S129" s="4"/>
      <c r="U129" t="s">
        <v>21</v>
      </c>
      <c r="V129" t="e">
        <f>VAR(V105:V120)</f>
        <v>#DIV/0!</v>
      </c>
      <c r="W129">
        <f t="shared" ref="W129:Y129" si="250">VAR(W105:W120)</f>
        <v>226582.60607469096</v>
      </c>
      <c r="X129">
        <f t="shared" si="250"/>
        <v>115448.72097431732</v>
      </c>
      <c r="Y129">
        <f t="shared" si="250"/>
        <v>438266.41119206476</v>
      </c>
      <c r="AA129" t="s">
        <v>21</v>
      </c>
      <c r="AB129" t="e">
        <f>VAR(AB105:AB120)</f>
        <v>#DIV/0!</v>
      </c>
      <c r="AC129">
        <f t="shared" ref="AC129:AE129" si="251">VAR(AC105:AC120)</f>
        <v>81391.377942684878</v>
      </c>
      <c r="AD129">
        <f t="shared" si="251"/>
        <v>188969.63177585971</v>
      </c>
      <c r="AE129">
        <f t="shared" si="251"/>
        <v>91601.414581638834</v>
      </c>
      <c r="AG129" t="s">
        <v>21</v>
      </c>
      <c r="AH129" t="e">
        <f>VAR(AH105:AH120)</f>
        <v>#DIV/0!</v>
      </c>
      <c r="AI129">
        <f t="shared" ref="AI129:AK129" si="252">VAR(AI105:AI120)</f>
        <v>311920.77948307403</v>
      </c>
      <c r="AJ129">
        <f t="shared" si="252"/>
        <v>200982.25094443778</v>
      </c>
      <c r="AK129">
        <f t="shared" si="252"/>
        <v>32702.585601834598</v>
      </c>
    </row>
    <row r="130" spans="1:37" x14ac:dyDescent="0.25">
      <c r="S130" s="4"/>
    </row>
    <row r="131" spans="1:37" x14ac:dyDescent="0.25">
      <c r="A131" t="s">
        <v>22</v>
      </c>
      <c r="S131" s="4"/>
      <c r="U131" t="s">
        <v>22</v>
      </c>
    </row>
    <row r="132" spans="1:37" x14ac:dyDescent="0.25">
      <c r="A132" t="s">
        <v>1</v>
      </c>
      <c r="B132" t="e">
        <f>TTEST(B113:B120,H113:H120,2,3)</f>
        <v>#DIV/0!</v>
      </c>
      <c r="S132" s="4"/>
      <c r="U132" t="s">
        <v>1</v>
      </c>
      <c r="V132" t="e">
        <f>TTEST(V113:V120,AB113:AB120,2,3)</f>
        <v>#DIV/0!</v>
      </c>
    </row>
    <row r="133" spans="1:37" x14ac:dyDescent="0.25">
      <c r="A133" t="s">
        <v>2</v>
      </c>
      <c r="B133" t="e">
        <f>TTEST(C113:C120,I113:I120,2,3)</f>
        <v>#DIV/0!</v>
      </c>
      <c r="S133" s="4"/>
      <c r="U133" t="s">
        <v>2</v>
      </c>
      <c r="V133" t="e">
        <f>TTEST(W113:W120,AC113:AC120,2,3)</f>
        <v>#DIV/0!</v>
      </c>
    </row>
    <row r="134" spans="1:37" x14ac:dyDescent="0.25">
      <c r="A134" t="s">
        <v>3</v>
      </c>
      <c r="B134" t="e">
        <f>TTEST(D113:D120,J113:J120,2,3)</f>
        <v>#DIV/0!</v>
      </c>
      <c r="S134" s="4"/>
      <c r="U134" t="s">
        <v>3</v>
      </c>
      <c r="V134" t="e">
        <f>TTEST(X113:X120,AD113:AD120,2,3)</f>
        <v>#DIV/0!</v>
      </c>
    </row>
    <row r="135" spans="1:37" x14ac:dyDescent="0.25">
      <c r="A135" t="s">
        <v>4</v>
      </c>
      <c r="B135" t="e">
        <f>TTEST(E113:E120,K113:K120,2,3)</f>
        <v>#DIV/0!</v>
      </c>
      <c r="S135" s="4"/>
      <c r="U135" t="s">
        <v>4</v>
      </c>
      <c r="V135" t="e">
        <f>TTEST(Y113:Y120,AE113:AE120,2,3)</f>
        <v>#DIV/0!</v>
      </c>
    </row>
  </sheetData>
  <conditionalFormatting sqref="B30:B33">
    <cfRule type="cellIs" dxfId="260" priority="83" operator="lessThan">
      <formula>0.05</formula>
    </cfRule>
  </conditionalFormatting>
  <conditionalFormatting sqref="B64:B67">
    <cfRule type="cellIs" dxfId="259" priority="53" operator="lessThan">
      <formula>0.05</formula>
    </cfRule>
  </conditionalFormatting>
  <conditionalFormatting sqref="B98:B101">
    <cfRule type="cellIs" dxfId="258" priority="52" operator="lessThan">
      <formula>0.05</formula>
    </cfRule>
  </conditionalFormatting>
  <conditionalFormatting sqref="B105:B120">
    <cfRule type="cellIs" dxfId="257" priority="46" operator="greaterThan">
      <formula>B$93</formula>
    </cfRule>
    <cfRule type="cellIs" dxfId="256" priority="45" operator="lessThan">
      <formula>B$94</formula>
    </cfRule>
  </conditionalFormatting>
  <conditionalFormatting sqref="B132:B135">
    <cfRule type="cellIs" dxfId="255" priority="47" operator="lessThan">
      <formula>0.05</formula>
    </cfRule>
  </conditionalFormatting>
  <conditionalFormatting sqref="B3:E18">
    <cfRule type="cellIs" dxfId="254" priority="81" operator="lessThan">
      <formula>B$26</formula>
    </cfRule>
    <cfRule type="cellIs" dxfId="253" priority="82" operator="greaterThan">
      <formula>B$25</formula>
    </cfRule>
  </conditionalFormatting>
  <conditionalFormatting sqref="B37:E52">
    <cfRule type="cellIs" dxfId="252" priority="7" operator="lessThan">
      <formula>B$60</formula>
    </cfRule>
  </conditionalFormatting>
  <conditionalFormatting sqref="B45:E52">
    <cfRule type="cellIs" dxfId="251" priority="51" operator="greaterThan">
      <formula>B$59</formula>
    </cfRule>
  </conditionalFormatting>
  <conditionalFormatting sqref="B71:E86">
    <cfRule type="cellIs" dxfId="250" priority="49" operator="greaterThan">
      <formula>B$93</formula>
    </cfRule>
    <cfRule type="cellIs" dxfId="249" priority="48" operator="lessThan">
      <formula>B$94</formula>
    </cfRule>
  </conditionalFormatting>
  <conditionalFormatting sqref="C105:E120">
    <cfRule type="cellIs" dxfId="248" priority="44" operator="greaterThan">
      <formula>C$127</formula>
    </cfRule>
    <cfRule type="cellIs" dxfId="247" priority="43" operator="lessThan">
      <formula>C$128</formula>
    </cfRule>
  </conditionalFormatting>
  <conditionalFormatting sqref="H3:K18">
    <cfRule type="cellIs" dxfId="246" priority="79" operator="lessThan">
      <formula>H$26</formula>
    </cfRule>
    <cfRule type="cellIs" dxfId="245" priority="80" operator="greaterThan">
      <formula>H$25</formula>
    </cfRule>
  </conditionalFormatting>
  <conditionalFormatting sqref="H37:K52">
    <cfRule type="cellIs" dxfId="244" priority="8" operator="greaterThan">
      <formula>H$59</formula>
    </cfRule>
  </conditionalFormatting>
  <conditionalFormatting sqref="H45:K52">
    <cfRule type="cellIs" dxfId="243" priority="73" operator="lessThan">
      <formula>H$60</formula>
    </cfRule>
  </conditionalFormatting>
  <conditionalFormatting sqref="I71:K86">
    <cfRule type="cellIs" dxfId="242" priority="57" operator="greaterThan">
      <formula>I$93</formula>
    </cfRule>
    <cfRule type="cellIs" dxfId="241" priority="56" operator="lessThan">
      <formula>I$94</formula>
    </cfRule>
  </conditionalFormatting>
  <conditionalFormatting sqref="I105:K120">
    <cfRule type="cellIs" dxfId="240" priority="66" operator="lessThan">
      <formula>I$128</formula>
    </cfRule>
    <cfRule type="cellIs" dxfId="239" priority="67" operator="greaterThan">
      <formula>I$127</formula>
    </cfRule>
  </conditionalFormatting>
  <conditionalFormatting sqref="N3:R18 R19">
    <cfRule type="cellIs" dxfId="238" priority="63" operator="greaterThan">
      <formula>N$25</formula>
    </cfRule>
    <cfRule type="cellIs" dxfId="237" priority="62" operator="lessThan">
      <formula>N$26</formula>
    </cfRule>
  </conditionalFormatting>
  <conditionalFormatting sqref="N37:R52">
    <cfRule type="cellIs" dxfId="236" priority="5" operator="lessThan">
      <formula>N$60</formula>
    </cfRule>
    <cfRule type="cellIs" dxfId="235" priority="6" operator="greaterThan">
      <formula>N$59</formula>
    </cfRule>
  </conditionalFormatting>
  <conditionalFormatting sqref="O71:Q86">
    <cfRule type="cellIs" dxfId="234" priority="55" operator="greaterThan">
      <formula>O$93</formula>
    </cfRule>
    <cfRule type="cellIs" dxfId="233" priority="54" operator="lessThan">
      <formula>O$94</formula>
    </cfRule>
  </conditionalFormatting>
  <conditionalFormatting sqref="O105:R120 R121:R123">
    <cfRule type="cellIs" dxfId="232" priority="59" operator="greaterThan">
      <formula>O$127</formula>
    </cfRule>
    <cfRule type="cellIs" dxfId="231" priority="58" operator="lessThan">
      <formula>O$128</formula>
    </cfRule>
  </conditionalFormatting>
  <conditionalFormatting sqref="R53">
    <cfRule type="cellIs" dxfId="230" priority="61" operator="greaterThan">
      <formula>R$59</formula>
    </cfRule>
    <cfRule type="cellIs" dxfId="229" priority="60" operator="lessThan">
      <formula>R$60</formula>
    </cfRule>
  </conditionalFormatting>
  <conditionalFormatting sqref="R71:R88">
    <cfRule type="cellIs" dxfId="228" priority="64" operator="lessThan">
      <formula>R$94</formula>
    </cfRule>
    <cfRule type="cellIs" dxfId="227" priority="65" operator="greaterThan">
      <formula>R$93</formula>
    </cfRule>
  </conditionalFormatting>
  <conditionalFormatting sqref="V30:V33">
    <cfRule type="cellIs" dxfId="226" priority="42" operator="lessThan">
      <formula>0.05</formula>
    </cfRule>
  </conditionalFormatting>
  <conditionalFormatting sqref="V64:V67">
    <cfRule type="cellIs" dxfId="225" priority="23" operator="lessThan">
      <formula>0.05</formula>
    </cfRule>
  </conditionalFormatting>
  <conditionalFormatting sqref="V98:V101">
    <cfRule type="cellIs" dxfId="224" priority="22" operator="lessThan">
      <formula>0.05</formula>
    </cfRule>
  </conditionalFormatting>
  <conditionalFormatting sqref="V105:V120">
    <cfRule type="cellIs" dxfId="223" priority="16" operator="greaterThan">
      <formula>V$93</formula>
    </cfRule>
    <cfRule type="cellIs" dxfId="222" priority="15" operator="lessThan">
      <formula>V$94</formula>
    </cfRule>
  </conditionalFormatting>
  <conditionalFormatting sqref="V132:V135">
    <cfRule type="cellIs" dxfId="221" priority="17" operator="lessThan">
      <formula>0.05</formula>
    </cfRule>
  </conditionalFormatting>
  <conditionalFormatting sqref="V3:Y18">
    <cfRule type="cellIs" dxfId="220" priority="41" operator="greaterThan">
      <formula>V$25</formula>
    </cfRule>
    <cfRule type="cellIs" dxfId="219" priority="40" operator="lessThan">
      <formula>V$26</formula>
    </cfRule>
  </conditionalFormatting>
  <conditionalFormatting sqref="V37:Y52">
    <cfRule type="cellIs" dxfId="218" priority="3" operator="lessThan">
      <formula>V$60</formula>
    </cfRule>
  </conditionalFormatting>
  <conditionalFormatting sqref="V45:Y52">
    <cfRule type="cellIs" dxfId="217" priority="21" operator="greaterThan">
      <formula>V$59</formula>
    </cfRule>
  </conditionalFormatting>
  <conditionalFormatting sqref="V71:Y86">
    <cfRule type="cellIs" dxfId="216" priority="19" operator="greaterThan">
      <formula>V$93</formula>
    </cfRule>
    <cfRule type="cellIs" dxfId="215" priority="18" operator="lessThan">
      <formula>V$94</formula>
    </cfRule>
  </conditionalFormatting>
  <conditionalFormatting sqref="W105:Y120">
    <cfRule type="cellIs" dxfId="214" priority="14" operator="greaterThan">
      <formula>W$127</formula>
    </cfRule>
    <cfRule type="cellIs" dxfId="213" priority="13" operator="lessThan">
      <formula>W$128</formula>
    </cfRule>
  </conditionalFormatting>
  <conditionalFormatting sqref="AB3:AE18">
    <cfRule type="cellIs" dxfId="212" priority="39" operator="greaterThan">
      <formula>AB$25</formula>
    </cfRule>
    <cfRule type="cellIs" dxfId="211" priority="38" operator="lessThan">
      <formula>AB$26</formula>
    </cfRule>
  </conditionalFormatting>
  <conditionalFormatting sqref="AB37:AE52">
    <cfRule type="cellIs" dxfId="210" priority="4" operator="greaterThan">
      <formula>AB$59</formula>
    </cfRule>
  </conditionalFormatting>
  <conditionalFormatting sqref="AB45:AE52">
    <cfRule type="cellIs" dxfId="209" priority="36" operator="lessThan">
      <formula>AB$60</formula>
    </cfRule>
  </conditionalFormatting>
  <conditionalFormatting sqref="AC71:AE86">
    <cfRule type="cellIs" dxfId="208" priority="27" operator="greaterThan">
      <formula>AC$93</formula>
    </cfRule>
    <cfRule type="cellIs" dxfId="207" priority="26" operator="lessThan">
      <formula>AC$94</formula>
    </cfRule>
  </conditionalFormatting>
  <conditionalFormatting sqref="AC105:AE120">
    <cfRule type="cellIs" dxfId="206" priority="35" operator="greaterThan">
      <formula>AC$127</formula>
    </cfRule>
    <cfRule type="cellIs" dxfId="205" priority="34" operator="lessThan">
      <formula>AC$128</formula>
    </cfRule>
  </conditionalFormatting>
  <conditionalFormatting sqref="AH3:AK18">
    <cfRule type="cellIs" dxfId="204" priority="33" operator="greaterThan">
      <formula>AH$25</formula>
    </cfRule>
    <cfRule type="cellIs" dxfId="203" priority="32" operator="lessThan">
      <formula>AH$26</formula>
    </cfRule>
  </conditionalFormatting>
  <conditionalFormatting sqref="AH37:AK52">
    <cfRule type="cellIs" dxfId="202" priority="1" operator="lessThan">
      <formula>AH$60</formula>
    </cfRule>
    <cfRule type="cellIs" dxfId="201" priority="2" operator="greaterThan">
      <formula>AH$59</formula>
    </cfRule>
  </conditionalFormatting>
  <conditionalFormatting sqref="AI71:AK86">
    <cfRule type="cellIs" dxfId="200" priority="25" operator="greaterThan">
      <formula>AI$93</formula>
    </cfRule>
    <cfRule type="cellIs" dxfId="199" priority="24" operator="lessThan">
      <formula>AI$94</formula>
    </cfRule>
  </conditionalFormatting>
  <conditionalFormatting sqref="AI105:AK120">
    <cfRule type="cellIs" dxfId="198" priority="29" operator="greaterThan">
      <formula>AI$127</formula>
    </cfRule>
    <cfRule type="cellIs" dxfId="197" priority="28" operator="lessThan">
      <formula>AI$128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745E-B603-4E93-B794-D3292518E645}">
  <sheetPr codeName="Sheet7"/>
  <dimension ref="A1:AK135"/>
  <sheetViews>
    <sheetView topLeftCell="Q1" workbookViewId="0">
      <selection activeCell="AH7" sqref="AH7:AH10"/>
    </sheetView>
  </sheetViews>
  <sheetFormatPr defaultRowHeight="15" x14ac:dyDescent="0.25"/>
  <sheetData>
    <row r="1" spans="1:37" x14ac:dyDescent="0.25">
      <c r="A1" t="s">
        <v>0</v>
      </c>
      <c r="S1" s="4"/>
      <c r="U1" t="s">
        <v>0</v>
      </c>
    </row>
    <row r="2" spans="1:3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  <c r="R2" s="1"/>
      <c r="S2" s="4"/>
      <c r="U2" s="1" t="s">
        <v>29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30</v>
      </c>
      <c r="AB2" s="1" t="s">
        <v>1</v>
      </c>
      <c r="AC2" s="1" t="s">
        <v>2</v>
      </c>
      <c r="AD2" s="1" t="s">
        <v>3</v>
      </c>
      <c r="AE2" s="1" t="s">
        <v>4</v>
      </c>
      <c r="AG2" s="1" t="s">
        <v>31</v>
      </c>
      <c r="AH2" s="1" t="s">
        <v>1</v>
      </c>
      <c r="AI2" s="1" t="s">
        <v>2</v>
      </c>
      <c r="AJ2" s="1" t="s">
        <v>3</v>
      </c>
      <c r="AK2" s="1" t="s">
        <v>4</v>
      </c>
    </row>
    <row r="3" spans="1:37" x14ac:dyDescent="0.25">
      <c r="A3" t="s">
        <v>5</v>
      </c>
      <c r="B3">
        <v>650.40021706821005</v>
      </c>
      <c r="C3">
        <v>467.32530750564803</v>
      </c>
      <c r="D3">
        <v>308.79434188397698</v>
      </c>
      <c r="E3">
        <v>689.58963101268205</v>
      </c>
      <c r="G3" t="s">
        <v>5</v>
      </c>
      <c r="H3">
        <v>524.88021805203596</v>
      </c>
      <c r="I3">
        <v>427.85581688202399</v>
      </c>
      <c r="J3">
        <v>336.18560382605801</v>
      </c>
      <c r="K3">
        <v>337.437314319667</v>
      </c>
      <c r="M3" t="s">
        <v>5</v>
      </c>
      <c r="N3">
        <v>698.02966228122</v>
      </c>
      <c r="O3">
        <v>623.62679770484795</v>
      </c>
      <c r="P3">
        <v>671.47674991045096</v>
      </c>
      <c r="Q3">
        <v>1132.9039834881301</v>
      </c>
      <c r="S3" s="4"/>
      <c r="U3" t="s">
        <v>5</v>
      </c>
      <c r="V3">
        <v>650.40021706821005</v>
      </c>
      <c r="W3">
        <v>467.32530750564803</v>
      </c>
      <c r="X3">
        <v>308.79434188397698</v>
      </c>
      <c r="Y3">
        <v>689.58963101268205</v>
      </c>
      <c r="AA3" t="s">
        <v>5</v>
      </c>
      <c r="AB3">
        <v>524.88021805203596</v>
      </c>
      <c r="AC3">
        <v>427.85581688202399</v>
      </c>
      <c r="AD3">
        <v>336.18560382605801</v>
      </c>
      <c r="AE3">
        <v>337.437314319667</v>
      </c>
      <c r="AG3" t="s">
        <v>5</v>
      </c>
      <c r="AH3">
        <v>698.02966228122</v>
      </c>
      <c r="AI3">
        <v>623.62679770484795</v>
      </c>
      <c r="AJ3">
        <v>671.47674991045096</v>
      </c>
    </row>
    <row r="4" spans="1:37" x14ac:dyDescent="0.25">
      <c r="A4" t="s">
        <v>7</v>
      </c>
      <c r="B4">
        <v>648.41269928532199</v>
      </c>
      <c r="C4">
        <v>818.19500040599996</v>
      </c>
      <c r="D4">
        <v>291.57910468673401</v>
      </c>
      <c r="G4" t="s">
        <v>7</v>
      </c>
      <c r="H4">
        <v>693.27299878588997</v>
      </c>
      <c r="I4">
        <v>382.058479755539</v>
      </c>
      <c r="J4">
        <v>479.794290365368</v>
      </c>
      <c r="K4">
        <v>423.62712339766199</v>
      </c>
      <c r="M4" t="s">
        <v>7</v>
      </c>
      <c r="N4">
        <v>606.32284527059801</v>
      </c>
      <c r="O4">
        <v>781.68977196485298</v>
      </c>
      <c r="P4">
        <v>534.73890740880097</v>
      </c>
      <c r="Q4">
        <v>443.88477508650499</v>
      </c>
      <c r="S4" s="4"/>
      <c r="U4" t="s">
        <v>7</v>
      </c>
      <c r="V4">
        <v>648.41269928532199</v>
      </c>
      <c r="W4">
        <v>818.19500040599996</v>
      </c>
      <c r="X4">
        <v>291.57910468673401</v>
      </c>
      <c r="AA4" t="s">
        <v>7</v>
      </c>
      <c r="AB4">
        <v>693.27299878588997</v>
      </c>
      <c r="AC4">
        <v>382.058479755539</v>
      </c>
      <c r="AD4">
        <v>479.794290365368</v>
      </c>
      <c r="AE4">
        <v>423.62712339766199</v>
      </c>
      <c r="AG4" t="s">
        <v>7</v>
      </c>
      <c r="AH4">
        <v>606.32284527059801</v>
      </c>
      <c r="AI4">
        <v>781.68977196485298</v>
      </c>
      <c r="AJ4">
        <v>534.73890740880097</v>
      </c>
      <c r="AK4">
        <v>443.88477508650499</v>
      </c>
    </row>
    <row r="5" spans="1:37" x14ac:dyDescent="0.25">
      <c r="A5" t="s">
        <v>8</v>
      </c>
      <c r="B5">
        <v>601.652456391599</v>
      </c>
      <c r="C5">
        <v>664.46663077184098</v>
      </c>
      <c r="D5">
        <v>773.01805596610495</v>
      </c>
      <c r="E5">
        <v>574.042375034521</v>
      </c>
      <c r="G5" t="s">
        <v>8</v>
      </c>
      <c r="H5">
        <v>573.87483969317896</v>
      </c>
      <c r="I5">
        <v>812.25536522970697</v>
      </c>
      <c r="J5">
        <v>712.58449056015002</v>
      </c>
      <c r="K5">
        <v>224.568947864264</v>
      </c>
      <c r="M5" t="s">
        <v>8</v>
      </c>
      <c r="N5">
        <v>405.62152208664702</v>
      </c>
      <c r="O5">
        <v>783.44458939368496</v>
      </c>
      <c r="P5">
        <v>747.49032449119704</v>
      </c>
      <c r="Q5">
        <v>289.17789866624202</v>
      </c>
      <c r="S5" s="4"/>
      <c r="U5" t="s">
        <v>8</v>
      </c>
      <c r="V5">
        <v>601.652456391599</v>
      </c>
      <c r="W5">
        <v>664.46663077184098</v>
      </c>
      <c r="X5">
        <v>773.01805596610495</v>
      </c>
      <c r="Y5">
        <v>574.042375034521</v>
      </c>
      <c r="AA5" t="s">
        <v>8</v>
      </c>
      <c r="AB5">
        <v>573.87483969317896</v>
      </c>
      <c r="AD5">
        <v>712.58449056015002</v>
      </c>
      <c r="AE5">
        <v>224.568947864264</v>
      </c>
      <c r="AG5" t="s">
        <v>8</v>
      </c>
      <c r="AH5">
        <v>405.62152208664702</v>
      </c>
      <c r="AI5">
        <v>783.44458939368496</v>
      </c>
      <c r="AJ5">
        <v>747.49032449119704</v>
      </c>
      <c r="AK5">
        <v>289.17789866624202</v>
      </c>
    </row>
    <row r="6" spans="1:37" x14ac:dyDescent="0.25">
      <c r="A6" t="s">
        <v>9</v>
      </c>
      <c r="B6">
        <v>673.70154199475098</v>
      </c>
      <c r="C6">
        <v>590.03641203888003</v>
      </c>
      <c r="D6">
        <v>299.64800263388901</v>
      </c>
      <c r="E6">
        <v>382.02427726308701</v>
      </c>
      <c r="G6" t="s">
        <v>9</v>
      </c>
      <c r="H6">
        <v>586.17649845380095</v>
      </c>
      <c r="I6">
        <v>400.02999242654499</v>
      </c>
      <c r="J6">
        <v>441.70586474989</v>
      </c>
      <c r="K6">
        <v>372.70063586256498</v>
      </c>
      <c r="M6" t="s">
        <v>9</v>
      </c>
      <c r="N6">
        <v>482.589411387148</v>
      </c>
      <c r="O6">
        <v>724.16133502204696</v>
      </c>
      <c r="P6">
        <v>719.96748046437301</v>
      </c>
      <c r="Q6">
        <v>421.40193940948501</v>
      </c>
      <c r="S6" s="4"/>
      <c r="U6" t="s">
        <v>9</v>
      </c>
      <c r="V6">
        <v>673.70154199475098</v>
      </c>
      <c r="W6">
        <v>590.03641203888003</v>
      </c>
      <c r="X6">
        <v>299.64800263388901</v>
      </c>
      <c r="Y6">
        <v>382.02427726308701</v>
      </c>
      <c r="AA6" t="s">
        <v>9</v>
      </c>
      <c r="AB6">
        <v>586.17649845380095</v>
      </c>
      <c r="AC6">
        <v>400.02999242654499</v>
      </c>
      <c r="AD6">
        <v>441.70586474989</v>
      </c>
      <c r="AE6">
        <v>372.70063586256498</v>
      </c>
      <c r="AG6" t="s">
        <v>9</v>
      </c>
      <c r="AH6">
        <v>482.589411387148</v>
      </c>
      <c r="AI6">
        <v>724.16133502204696</v>
      </c>
      <c r="AJ6">
        <v>719.96748046437301</v>
      </c>
      <c r="AK6">
        <v>421.40193940948501</v>
      </c>
    </row>
    <row r="7" spans="1:37" x14ac:dyDescent="0.25">
      <c r="A7" t="s">
        <v>10</v>
      </c>
      <c r="B7">
        <v>303.40884761324298</v>
      </c>
      <c r="C7">
        <v>248.27969075983</v>
      </c>
      <c r="D7" t="s">
        <v>6</v>
      </c>
      <c r="E7" t="s">
        <v>6</v>
      </c>
      <c r="G7" t="s">
        <v>10</v>
      </c>
      <c r="H7">
        <v>465.31380422925201</v>
      </c>
      <c r="I7">
        <v>564.60923215002401</v>
      </c>
      <c r="J7">
        <v>654.20068794757105</v>
      </c>
      <c r="K7">
        <v>118.348884381339</v>
      </c>
      <c r="M7" t="s">
        <v>10</v>
      </c>
      <c r="N7">
        <v>288.85955882352903</v>
      </c>
      <c r="O7">
        <v>314.518203368</v>
      </c>
      <c r="P7">
        <v>502.32477744401399</v>
      </c>
      <c r="Q7">
        <v>60.2177164621244</v>
      </c>
      <c r="S7" s="4"/>
      <c r="U7" t="s">
        <v>10</v>
      </c>
      <c r="V7">
        <v>303.40884761324298</v>
      </c>
      <c r="W7">
        <v>248.27969075983</v>
      </c>
      <c r="X7" t="s">
        <v>6</v>
      </c>
      <c r="Y7" t="s">
        <v>6</v>
      </c>
      <c r="AA7" t="s">
        <v>10</v>
      </c>
      <c r="AB7">
        <v>465.31380422925201</v>
      </c>
      <c r="AC7">
        <v>564.60923215002401</v>
      </c>
      <c r="AD7">
        <v>654.20068794757105</v>
      </c>
      <c r="AE7">
        <v>118.348884381339</v>
      </c>
      <c r="AG7" t="s">
        <v>10</v>
      </c>
      <c r="AH7">
        <v>288.85955882352903</v>
      </c>
      <c r="AI7">
        <v>314.518203368</v>
      </c>
      <c r="AJ7">
        <v>502.32477744401399</v>
      </c>
      <c r="AK7">
        <v>60.2177164621244</v>
      </c>
    </row>
    <row r="8" spans="1:37" x14ac:dyDescent="0.25">
      <c r="A8" t="s">
        <v>11</v>
      </c>
      <c r="B8">
        <v>182.220206741114</v>
      </c>
      <c r="C8">
        <v>115.257470996327</v>
      </c>
      <c r="D8">
        <v>355.72357953982703</v>
      </c>
      <c r="E8" t="s">
        <v>6</v>
      </c>
      <c r="G8" t="s">
        <v>11</v>
      </c>
      <c r="H8">
        <v>492.49601470588198</v>
      </c>
      <c r="I8">
        <v>319.543934586283</v>
      </c>
      <c r="J8">
        <v>351.60151647359697</v>
      </c>
      <c r="K8">
        <v>354.84561690003801</v>
      </c>
      <c r="M8" t="s">
        <v>11</v>
      </c>
      <c r="N8">
        <v>546.02033464473595</v>
      </c>
      <c r="O8">
        <v>643.72993733575902</v>
      </c>
      <c r="P8">
        <v>236.05908985713799</v>
      </c>
      <c r="Q8">
        <v>527.57145901838999</v>
      </c>
      <c r="S8" s="4"/>
      <c r="U8" t="s">
        <v>11</v>
      </c>
      <c r="V8">
        <v>182.220206741114</v>
      </c>
      <c r="W8">
        <v>115.257470996327</v>
      </c>
      <c r="X8">
        <v>355.72357953982703</v>
      </c>
      <c r="Y8" t="s">
        <v>6</v>
      </c>
      <c r="AA8" t="s">
        <v>11</v>
      </c>
      <c r="AB8">
        <v>492.49601470588198</v>
      </c>
      <c r="AC8">
        <v>319.543934586283</v>
      </c>
      <c r="AD8">
        <v>351.60151647359697</v>
      </c>
      <c r="AE8">
        <v>354.84561690003801</v>
      </c>
      <c r="AG8" t="s">
        <v>11</v>
      </c>
      <c r="AH8">
        <v>546.02033464473595</v>
      </c>
      <c r="AI8">
        <v>643.72993733575902</v>
      </c>
      <c r="AJ8">
        <v>236.05908985713799</v>
      </c>
      <c r="AK8">
        <v>527.57145901838999</v>
      </c>
    </row>
    <row r="9" spans="1:37" x14ac:dyDescent="0.25">
      <c r="A9" t="s">
        <v>12</v>
      </c>
      <c r="B9">
        <v>464.38480392156902</v>
      </c>
      <c r="C9">
        <v>266.92635387488298</v>
      </c>
      <c r="D9" t="s">
        <v>6</v>
      </c>
      <c r="E9">
        <v>158.17442166923101</v>
      </c>
      <c r="G9" t="s">
        <v>12</v>
      </c>
      <c r="H9">
        <v>432.278331005773</v>
      </c>
      <c r="I9">
        <v>434.75926379929399</v>
      </c>
      <c r="J9">
        <v>339.06346844721799</v>
      </c>
      <c r="K9">
        <v>63.4347454161271</v>
      </c>
      <c r="M9" t="s">
        <v>12</v>
      </c>
      <c r="N9">
        <v>553.96188613059905</v>
      </c>
      <c r="O9">
        <v>375.62770126410402</v>
      </c>
      <c r="P9">
        <v>400.31078254648298</v>
      </c>
      <c r="Q9">
        <v>276.43949948400399</v>
      </c>
      <c r="S9" s="4"/>
      <c r="U9" t="s">
        <v>12</v>
      </c>
      <c r="V9">
        <v>464.38480392156902</v>
      </c>
      <c r="W9">
        <v>266.92635387488298</v>
      </c>
      <c r="X9" t="s">
        <v>6</v>
      </c>
      <c r="Y9">
        <v>158.17442166923101</v>
      </c>
      <c r="AA9" t="s">
        <v>12</v>
      </c>
      <c r="AB9">
        <v>432.278331005773</v>
      </c>
      <c r="AC9">
        <v>434.75926379929399</v>
      </c>
      <c r="AD9">
        <v>339.06346844721799</v>
      </c>
      <c r="AE9">
        <v>63.4347454161271</v>
      </c>
      <c r="AG9" t="s">
        <v>12</v>
      </c>
      <c r="AH9">
        <v>553.96188613059905</v>
      </c>
      <c r="AI9">
        <v>375.62770126410402</v>
      </c>
      <c r="AJ9">
        <v>400.31078254648298</v>
      </c>
      <c r="AK9">
        <v>276.43949948400399</v>
      </c>
    </row>
    <row r="10" spans="1:37" x14ac:dyDescent="0.25">
      <c r="A10" t="s">
        <v>13</v>
      </c>
      <c r="B10">
        <v>107.725117895259</v>
      </c>
      <c r="C10">
        <v>543.22194486650699</v>
      </c>
      <c r="D10">
        <v>536.62004600723003</v>
      </c>
      <c r="E10">
        <v>168.77960394384999</v>
      </c>
      <c r="G10" t="s">
        <v>13</v>
      </c>
      <c r="H10">
        <v>560.55776365797897</v>
      </c>
      <c r="I10">
        <v>392.76931300131702</v>
      </c>
      <c r="J10">
        <v>269.80658956290898</v>
      </c>
      <c r="K10">
        <v>211.417777988106</v>
      </c>
      <c r="M10" t="s">
        <v>13</v>
      </c>
      <c r="N10">
        <v>518.50066093853297</v>
      </c>
      <c r="O10">
        <v>376.17558782064401</v>
      </c>
      <c r="P10">
        <v>437.02659205275</v>
      </c>
      <c r="Q10">
        <v>402.13117100710201</v>
      </c>
      <c r="S10" s="4"/>
      <c r="U10" t="s">
        <v>13</v>
      </c>
      <c r="V10">
        <v>107.725117895259</v>
      </c>
      <c r="W10">
        <v>543.22194486650699</v>
      </c>
      <c r="X10">
        <v>536.62004600723003</v>
      </c>
      <c r="Y10">
        <v>168.77960394384999</v>
      </c>
      <c r="AA10" t="s">
        <v>13</v>
      </c>
      <c r="AB10">
        <v>560.55776365797897</v>
      </c>
      <c r="AC10">
        <v>392.76931300131702</v>
      </c>
      <c r="AD10">
        <v>269.80658956290898</v>
      </c>
      <c r="AE10">
        <v>211.417777988106</v>
      </c>
      <c r="AG10" t="s">
        <v>13</v>
      </c>
      <c r="AH10">
        <v>518.50066093853297</v>
      </c>
      <c r="AI10">
        <v>376.17558782064401</v>
      </c>
      <c r="AJ10">
        <v>437.02659205275</v>
      </c>
      <c r="AK10">
        <v>402.13117100710201</v>
      </c>
    </row>
    <row r="11" spans="1:37" x14ac:dyDescent="0.25">
      <c r="A11" t="s">
        <v>5</v>
      </c>
      <c r="G11" t="s">
        <v>5</v>
      </c>
      <c r="M11" t="s">
        <v>5</v>
      </c>
      <c r="S11" s="4"/>
      <c r="U11" t="s">
        <v>5</v>
      </c>
      <c r="AA11" t="s">
        <v>5</v>
      </c>
      <c r="AG11" t="s">
        <v>5</v>
      </c>
    </row>
    <row r="12" spans="1:37" x14ac:dyDescent="0.25">
      <c r="A12" t="s">
        <v>7</v>
      </c>
      <c r="G12" t="s">
        <v>7</v>
      </c>
      <c r="M12" t="s">
        <v>7</v>
      </c>
      <c r="S12" s="4"/>
      <c r="U12" t="s">
        <v>7</v>
      </c>
      <c r="AA12" t="s">
        <v>7</v>
      </c>
      <c r="AG12" t="s">
        <v>7</v>
      </c>
    </row>
    <row r="13" spans="1:37" x14ac:dyDescent="0.25">
      <c r="A13" t="s">
        <v>8</v>
      </c>
      <c r="G13" t="s">
        <v>8</v>
      </c>
      <c r="M13" t="s">
        <v>8</v>
      </c>
      <c r="S13" s="4"/>
      <c r="U13" t="s">
        <v>8</v>
      </c>
      <c r="AA13" t="s">
        <v>8</v>
      </c>
      <c r="AG13" t="s">
        <v>8</v>
      </c>
    </row>
    <row r="14" spans="1:37" x14ac:dyDescent="0.25">
      <c r="A14" t="s">
        <v>9</v>
      </c>
      <c r="G14" t="s">
        <v>9</v>
      </c>
      <c r="M14" t="s">
        <v>9</v>
      </c>
      <c r="S14" s="4"/>
      <c r="U14" t="s">
        <v>9</v>
      </c>
      <c r="AA14" t="s">
        <v>9</v>
      </c>
      <c r="AG14" t="s">
        <v>9</v>
      </c>
    </row>
    <row r="15" spans="1:37" x14ac:dyDescent="0.25">
      <c r="A15" t="s">
        <v>10</v>
      </c>
      <c r="G15" t="s">
        <v>10</v>
      </c>
      <c r="M15" t="s">
        <v>10</v>
      </c>
      <c r="S15" s="4"/>
      <c r="U15" t="s">
        <v>10</v>
      </c>
      <c r="AA15" t="s">
        <v>10</v>
      </c>
      <c r="AG15" t="s">
        <v>10</v>
      </c>
    </row>
    <row r="16" spans="1:37" x14ac:dyDescent="0.25">
      <c r="A16" t="s">
        <v>11</v>
      </c>
      <c r="G16" t="s">
        <v>11</v>
      </c>
      <c r="M16" t="s">
        <v>11</v>
      </c>
      <c r="S16" s="4"/>
      <c r="U16" t="s">
        <v>11</v>
      </c>
      <c r="AA16" t="s">
        <v>11</v>
      </c>
      <c r="AG16" t="s">
        <v>11</v>
      </c>
    </row>
    <row r="17" spans="1:37" x14ac:dyDescent="0.25">
      <c r="A17" t="s">
        <v>12</v>
      </c>
      <c r="G17" t="s">
        <v>12</v>
      </c>
      <c r="M17" t="s">
        <v>12</v>
      </c>
      <c r="S17" s="4"/>
      <c r="U17" t="s">
        <v>12</v>
      </c>
      <c r="AA17" t="s">
        <v>12</v>
      </c>
      <c r="AG17" t="s">
        <v>12</v>
      </c>
    </row>
    <row r="18" spans="1:37" x14ac:dyDescent="0.25">
      <c r="A18" t="s">
        <v>13</v>
      </c>
      <c r="G18" t="s">
        <v>13</v>
      </c>
      <c r="M18" t="s">
        <v>13</v>
      </c>
      <c r="S18" s="4"/>
      <c r="U18" t="s">
        <v>13</v>
      </c>
      <c r="AA18" t="s">
        <v>13</v>
      </c>
      <c r="AG18" t="s">
        <v>13</v>
      </c>
    </row>
    <row r="19" spans="1:3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  <c r="S19" s="4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</row>
    <row r="20" spans="1:37" x14ac:dyDescent="0.25">
      <c r="A20" t="s">
        <v>14</v>
      </c>
      <c r="B20">
        <f>COUNT(B3:B18)</f>
        <v>8</v>
      </c>
      <c r="C20">
        <f t="shared" ref="C20:E20" si="0">COUNT(C3:C18)</f>
        <v>8</v>
      </c>
      <c r="D20">
        <f t="shared" si="0"/>
        <v>6</v>
      </c>
      <c r="E20">
        <f t="shared" si="0"/>
        <v>5</v>
      </c>
      <c r="G20" t="s">
        <v>14</v>
      </c>
      <c r="H20">
        <f>COUNT(H3:H18)</f>
        <v>8</v>
      </c>
      <c r="I20">
        <f t="shared" ref="I20:K20" si="1">COUNT(I3:I18)</f>
        <v>8</v>
      </c>
      <c r="J20">
        <f t="shared" si="1"/>
        <v>8</v>
      </c>
      <c r="K20">
        <f t="shared" si="1"/>
        <v>8</v>
      </c>
      <c r="M20" t="s">
        <v>14</v>
      </c>
      <c r="N20">
        <f>COUNT(N3:N18)</f>
        <v>8</v>
      </c>
      <c r="O20">
        <f t="shared" ref="O20:Q20" si="2">COUNT(O3:O18)</f>
        <v>8</v>
      </c>
      <c r="P20">
        <f t="shared" si="2"/>
        <v>8</v>
      </c>
      <c r="Q20">
        <f t="shared" si="2"/>
        <v>8</v>
      </c>
      <c r="S20" s="4"/>
      <c r="U20" t="s">
        <v>14</v>
      </c>
      <c r="V20">
        <f>COUNT(V3:V18)</f>
        <v>8</v>
      </c>
      <c r="W20">
        <f t="shared" ref="W20:Y20" si="3">COUNT(W3:W18)</f>
        <v>8</v>
      </c>
      <c r="X20">
        <f t="shared" si="3"/>
        <v>6</v>
      </c>
      <c r="Y20">
        <f t="shared" si="3"/>
        <v>5</v>
      </c>
      <c r="AA20" t="s">
        <v>14</v>
      </c>
      <c r="AB20">
        <f>COUNT(AB3:AB18)</f>
        <v>8</v>
      </c>
      <c r="AC20">
        <f t="shared" ref="AC20:AE20" si="4">COUNT(AC3:AC18)</f>
        <v>7</v>
      </c>
      <c r="AD20">
        <f t="shared" si="4"/>
        <v>8</v>
      </c>
      <c r="AE20">
        <f t="shared" si="4"/>
        <v>8</v>
      </c>
      <c r="AG20" t="s">
        <v>14</v>
      </c>
      <c r="AH20">
        <f>COUNT(AH3:AH18)</f>
        <v>8</v>
      </c>
      <c r="AI20">
        <f t="shared" ref="AI20:AK20" si="5">COUNT(AI3:AI18)</f>
        <v>8</v>
      </c>
      <c r="AJ20">
        <f t="shared" si="5"/>
        <v>8</v>
      </c>
      <c r="AK20">
        <f t="shared" si="5"/>
        <v>7</v>
      </c>
    </row>
    <row r="21" spans="1:37" x14ac:dyDescent="0.25">
      <c r="A21" t="s">
        <v>15</v>
      </c>
      <c r="B21">
        <f>MAX(B3:B18)</f>
        <v>673.70154199475098</v>
      </c>
      <c r="C21">
        <f t="shared" ref="C21:E21" si="6">MAX(C3:C18)</f>
        <v>818.19500040599996</v>
      </c>
      <c r="D21">
        <f t="shared" si="6"/>
        <v>773.01805596610495</v>
      </c>
      <c r="E21">
        <f t="shared" si="6"/>
        <v>689.58963101268205</v>
      </c>
      <c r="G21" t="s">
        <v>15</v>
      </c>
      <c r="H21">
        <f>MAX(H3:H18)</f>
        <v>693.27299878588997</v>
      </c>
      <c r="I21">
        <f t="shared" ref="I21:K21" si="7">MAX(I3:I18)</f>
        <v>812.25536522970697</v>
      </c>
      <c r="J21">
        <f t="shared" si="7"/>
        <v>712.58449056015002</v>
      </c>
      <c r="K21">
        <f t="shared" si="7"/>
        <v>423.62712339766199</v>
      </c>
      <c r="M21" t="s">
        <v>15</v>
      </c>
      <c r="N21">
        <f>MAX(N3:N18)</f>
        <v>698.02966228122</v>
      </c>
      <c r="O21">
        <f t="shared" ref="O21:Q21" si="8">MAX(O3:O18)</f>
        <v>783.44458939368496</v>
      </c>
      <c r="P21">
        <f t="shared" si="8"/>
        <v>747.49032449119704</v>
      </c>
      <c r="Q21">
        <f t="shared" si="8"/>
        <v>1132.9039834881301</v>
      </c>
      <c r="S21" s="4"/>
      <c r="U21" t="s">
        <v>15</v>
      </c>
      <c r="V21">
        <f>MAX(V3:V18)</f>
        <v>673.70154199475098</v>
      </c>
      <c r="W21">
        <f t="shared" ref="W21:Y21" si="9">MAX(W3:W18)</f>
        <v>818.19500040599996</v>
      </c>
      <c r="X21">
        <f t="shared" si="9"/>
        <v>773.01805596610495</v>
      </c>
      <c r="Y21">
        <f t="shared" si="9"/>
        <v>689.58963101268205</v>
      </c>
      <c r="AA21" t="s">
        <v>15</v>
      </c>
      <c r="AB21">
        <f>MAX(AB3:AB18)</f>
        <v>693.27299878588997</v>
      </c>
      <c r="AC21">
        <f t="shared" ref="AC21:AE21" si="10">MAX(AC3:AC18)</f>
        <v>564.60923215002401</v>
      </c>
      <c r="AD21">
        <f t="shared" si="10"/>
        <v>712.58449056015002</v>
      </c>
      <c r="AE21">
        <f t="shared" si="10"/>
        <v>423.62712339766199</v>
      </c>
      <c r="AG21" t="s">
        <v>15</v>
      </c>
      <c r="AH21">
        <f>MAX(AH3:AH18)</f>
        <v>698.02966228122</v>
      </c>
      <c r="AI21">
        <f t="shared" ref="AI21:AK21" si="11">MAX(AI3:AI18)</f>
        <v>783.44458939368496</v>
      </c>
      <c r="AJ21">
        <f t="shared" si="11"/>
        <v>747.49032449119704</v>
      </c>
      <c r="AK21">
        <f t="shared" si="11"/>
        <v>527.57145901838999</v>
      </c>
    </row>
    <row r="22" spans="1:37" x14ac:dyDescent="0.25">
      <c r="A22" t="s">
        <v>16</v>
      </c>
      <c r="B22">
        <f>MIN(B3:B18)</f>
        <v>107.725117895259</v>
      </c>
      <c r="C22">
        <f t="shared" ref="C22:E22" si="12">MIN(C3:C18)</f>
        <v>115.257470996327</v>
      </c>
      <c r="D22">
        <f t="shared" si="12"/>
        <v>291.57910468673401</v>
      </c>
      <c r="E22">
        <f t="shared" si="12"/>
        <v>158.17442166923101</v>
      </c>
      <c r="G22" t="s">
        <v>16</v>
      </c>
      <c r="H22">
        <f>MIN(H3:H18)</f>
        <v>432.278331005773</v>
      </c>
      <c r="I22">
        <f t="shared" ref="I22:K22" si="13">MIN(I3:I18)</f>
        <v>319.543934586283</v>
      </c>
      <c r="J22">
        <f t="shared" si="13"/>
        <v>269.80658956290898</v>
      </c>
      <c r="K22">
        <f t="shared" si="13"/>
        <v>63.4347454161271</v>
      </c>
      <c r="M22" t="s">
        <v>16</v>
      </c>
      <c r="N22">
        <f>MIN(N3:N18)</f>
        <v>288.85955882352903</v>
      </c>
      <c r="O22">
        <f t="shared" ref="O22:Q22" si="14">MIN(O3:O18)</f>
        <v>314.518203368</v>
      </c>
      <c r="P22">
        <f t="shared" si="14"/>
        <v>236.05908985713799</v>
      </c>
      <c r="Q22">
        <f t="shared" si="14"/>
        <v>60.2177164621244</v>
      </c>
      <c r="S22" s="4"/>
      <c r="U22" t="s">
        <v>16</v>
      </c>
      <c r="V22">
        <f>MIN(V3:V18)</f>
        <v>107.725117895259</v>
      </c>
      <c r="W22">
        <f t="shared" ref="W22:Y22" si="15">MIN(W3:W18)</f>
        <v>115.257470996327</v>
      </c>
      <c r="X22">
        <f t="shared" si="15"/>
        <v>291.57910468673401</v>
      </c>
      <c r="Y22">
        <f t="shared" si="15"/>
        <v>158.17442166923101</v>
      </c>
      <c r="AA22" t="s">
        <v>16</v>
      </c>
      <c r="AB22">
        <f>MIN(AB3:AB18)</f>
        <v>432.278331005773</v>
      </c>
      <c r="AC22">
        <f t="shared" ref="AC22:AE22" si="16">MIN(AC3:AC18)</f>
        <v>319.543934586283</v>
      </c>
      <c r="AD22">
        <f t="shared" si="16"/>
        <v>269.80658956290898</v>
      </c>
      <c r="AE22">
        <f t="shared" si="16"/>
        <v>63.4347454161271</v>
      </c>
      <c r="AG22" t="s">
        <v>16</v>
      </c>
      <c r="AH22">
        <f>MIN(AH3:AH18)</f>
        <v>288.85955882352903</v>
      </c>
      <c r="AI22">
        <f t="shared" ref="AI22:AK22" si="17">MIN(AI3:AI18)</f>
        <v>314.518203368</v>
      </c>
      <c r="AJ22">
        <f t="shared" si="17"/>
        <v>236.05908985713799</v>
      </c>
      <c r="AK22">
        <f t="shared" si="17"/>
        <v>60.2177164621244</v>
      </c>
    </row>
    <row r="23" spans="1:37" x14ac:dyDescent="0.25">
      <c r="A23" t="s">
        <v>17</v>
      </c>
      <c r="B23">
        <f>AVERAGE(B3:B18)</f>
        <v>453.98823636388335</v>
      </c>
      <c r="C23">
        <f t="shared" ref="C23:E23" si="18">AVERAGE(C3:C18)</f>
        <v>464.21360140248942</v>
      </c>
      <c r="D23">
        <f t="shared" si="18"/>
        <v>427.56385511962702</v>
      </c>
      <c r="E23">
        <f t="shared" si="18"/>
        <v>394.52206178467418</v>
      </c>
      <c r="G23" t="s">
        <v>17</v>
      </c>
      <c r="H23">
        <f>AVERAGE(H3:H18)</f>
        <v>541.10630857297394</v>
      </c>
      <c r="I23">
        <f t="shared" ref="I23:K23" si="19">AVERAGE(I3:I18)</f>
        <v>466.73517472884163</v>
      </c>
      <c r="J23">
        <f t="shared" si="19"/>
        <v>448.11781399159509</v>
      </c>
      <c r="K23">
        <f t="shared" si="19"/>
        <v>263.297630766221</v>
      </c>
      <c r="M23" t="s">
        <v>17</v>
      </c>
      <c r="N23">
        <f>AVERAGE(N3:N18)</f>
        <v>512.48823519537621</v>
      </c>
      <c r="O23">
        <f t="shared" ref="O23:Q23" si="20">AVERAGE(O3:O18)</f>
        <v>577.87174048424254</v>
      </c>
      <c r="P23">
        <f t="shared" si="20"/>
        <v>531.17433802190089</v>
      </c>
      <c r="Q23">
        <f t="shared" si="20"/>
        <v>444.21605532774788</v>
      </c>
      <c r="S23" s="4"/>
      <c r="U23" t="s">
        <v>17</v>
      </c>
      <c r="V23">
        <f>AVERAGE(V3:V18)</f>
        <v>453.98823636388335</v>
      </c>
      <c r="W23">
        <f t="shared" ref="W23:Y23" si="21">AVERAGE(W3:W18)</f>
        <v>464.21360140248942</v>
      </c>
      <c r="X23">
        <f t="shared" si="21"/>
        <v>427.56385511962702</v>
      </c>
      <c r="Y23">
        <f t="shared" si="21"/>
        <v>394.52206178467418</v>
      </c>
      <c r="AA23" t="s">
        <v>17</v>
      </c>
      <c r="AB23">
        <f>AVERAGE(AB3:AB18)</f>
        <v>541.10630857297394</v>
      </c>
      <c r="AC23">
        <f t="shared" ref="AC23:AE23" si="22">AVERAGE(AC3:AC18)</f>
        <v>417.37514751443229</v>
      </c>
      <c r="AD23">
        <f t="shared" si="22"/>
        <v>448.11781399159509</v>
      </c>
      <c r="AE23">
        <f t="shared" si="22"/>
        <v>263.297630766221</v>
      </c>
      <c r="AG23" t="s">
        <v>17</v>
      </c>
      <c r="AH23">
        <f>AVERAGE(AH3:AH18)</f>
        <v>512.48823519537621</v>
      </c>
      <c r="AI23">
        <f t="shared" ref="AI23:AK23" si="23">AVERAGE(AI3:AI18)</f>
        <v>577.87174048424254</v>
      </c>
      <c r="AJ23">
        <f t="shared" si="23"/>
        <v>531.17433802190089</v>
      </c>
      <c r="AK23">
        <f t="shared" si="23"/>
        <v>345.83206559055037</v>
      </c>
    </row>
    <row r="24" spans="1:37" x14ac:dyDescent="0.25">
      <c r="A24" t="s">
        <v>18</v>
      </c>
      <c r="B24">
        <f>STDEV(B3:B18)</f>
        <v>227.72020631978572</v>
      </c>
      <c r="C24">
        <f t="shared" ref="C24:E24" si="24">STDEV(C3:C18)</f>
        <v>237.48912158268905</v>
      </c>
      <c r="D24">
        <f t="shared" si="24"/>
        <v>192.53747572379589</v>
      </c>
      <c r="E24">
        <f t="shared" si="24"/>
        <v>237.83842843280809</v>
      </c>
      <c r="G24" t="s">
        <v>18</v>
      </c>
      <c r="H24">
        <f>STDEV(H3:H18)</f>
        <v>81.812013143762741</v>
      </c>
      <c r="I24">
        <f t="shared" ref="I24:K24" si="25">STDEV(I3:I18)</f>
        <v>155.95490666928541</v>
      </c>
      <c r="J24">
        <f t="shared" si="25"/>
        <v>159.90588508789529</v>
      </c>
      <c r="K24">
        <f t="shared" si="25"/>
        <v>129.11735094022106</v>
      </c>
      <c r="M24" t="s">
        <v>18</v>
      </c>
      <c r="N24">
        <f>STDEV(N3:N18)</f>
        <v>124.46192121248495</v>
      </c>
      <c r="O24">
        <f t="shared" ref="O24:Q24" si="26">STDEV(O3:O18)</f>
        <v>193.67591999457488</v>
      </c>
      <c r="P24">
        <f t="shared" si="26"/>
        <v>175.68124732829259</v>
      </c>
      <c r="Q24">
        <f t="shared" si="26"/>
        <v>312.4034579563571</v>
      </c>
      <c r="S24" s="4"/>
      <c r="U24" t="s">
        <v>18</v>
      </c>
      <c r="V24">
        <f>STDEV(V3:V18)</f>
        <v>227.72020631978572</v>
      </c>
      <c r="W24">
        <f t="shared" ref="W24:Y24" si="27">STDEV(W3:W18)</f>
        <v>237.48912158268905</v>
      </c>
      <c r="X24">
        <f t="shared" si="27"/>
        <v>192.53747572379589</v>
      </c>
      <c r="Y24">
        <f t="shared" si="27"/>
        <v>237.83842843280809</v>
      </c>
      <c r="AA24" t="s">
        <v>18</v>
      </c>
      <c r="AB24">
        <f>STDEV(AB3:AB18)</f>
        <v>81.812013143762741</v>
      </c>
      <c r="AC24">
        <f t="shared" ref="AC24:AE24" si="28">STDEV(AC3:AC18)</f>
        <v>75.071568463670715</v>
      </c>
      <c r="AD24">
        <f t="shared" si="28"/>
        <v>159.90588508789529</v>
      </c>
      <c r="AE24">
        <f t="shared" si="28"/>
        <v>129.11735094022106</v>
      </c>
      <c r="AG24" t="s">
        <v>18</v>
      </c>
      <c r="AH24">
        <f>STDEV(AH3:AH18)</f>
        <v>124.46192121248495</v>
      </c>
      <c r="AI24">
        <f t="shared" ref="AI24:AK24" si="29">STDEV(AI3:AI18)</f>
        <v>193.67591999457488</v>
      </c>
      <c r="AJ24">
        <f t="shared" si="29"/>
        <v>175.68124732829259</v>
      </c>
      <c r="AK24">
        <f t="shared" si="29"/>
        <v>153.36476961345232</v>
      </c>
    </row>
    <row r="25" spans="1:37" x14ac:dyDescent="0.25">
      <c r="A25" t="s">
        <v>19</v>
      </c>
      <c r="B25">
        <f>B23+2*B24</f>
        <v>909.42864900345478</v>
      </c>
      <c r="C25">
        <f t="shared" ref="C25:E25" si="30">C23+2*C24</f>
        <v>939.19184456786752</v>
      </c>
      <c r="D25">
        <f t="shared" si="30"/>
        <v>812.63880656721881</v>
      </c>
      <c r="E25">
        <f t="shared" si="30"/>
        <v>870.19891865029035</v>
      </c>
      <c r="G25" t="s">
        <v>19</v>
      </c>
      <c r="H25">
        <f>H23+2*H24</f>
        <v>704.7303348604994</v>
      </c>
      <c r="I25">
        <f t="shared" ref="I25:K25" si="31">I23+2*I24</f>
        <v>778.64498806741244</v>
      </c>
      <c r="J25">
        <f t="shared" si="31"/>
        <v>767.92958416738566</v>
      </c>
      <c r="K25">
        <f t="shared" si="31"/>
        <v>521.53233264666312</v>
      </c>
      <c r="M25" t="s">
        <v>19</v>
      </c>
      <c r="N25">
        <f>N23+2*N24</f>
        <v>761.41207762034605</v>
      </c>
      <c r="O25">
        <f t="shared" ref="O25:Q25" si="32">O23+2*O24</f>
        <v>965.2235804733923</v>
      </c>
      <c r="P25">
        <f t="shared" si="32"/>
        <v>882.53683267848601</v>
      </c>
      <c r="Q25">
        <f t="shared" si="32"/>
        <v>1069.0229712404621</v>
      </c>
      <c r="S25" s="4"/>
      <c r="U25" t="s">
        <v>19</v>
      </c>
      <c r="V25">
        <f>V23+2*V24</f>
        <v>909.42864900345478</v>
      </c>
      <c r="W25">
        <f t="shared" ref="W25:Y25" si="33">W23+2*W24</f>
        <v>939.19184456786752</v>
      </c>
      <c r="X25">
        <f t="shared" si="33"/>
        <v>812.63880656721881</v>
      </c>
      <c r="Y25">
        <f t="shared" si="33"/>
        <v>870.19891865029035</v>
      </c>
      <c r="AA25" t="s">
        <v>19</v>
      </c>
      <c r="AB25">
        <f>AB23+2*AB24</f>
        <v>704.7303348604994</v>
      </c>
      <c r="AC25">
        <f t="shared" ref="AC25:AE25" si="34">AC23+2*AC24</f>
        <v>567.51828444177374</v>
      </c>
      <c r="AD25">
        <f t="shared" si="34"/>
        <v>767.92958416738566</v>
      </c>
      <c r="AE25">
        <f t="shared" si="34"/>
        <v>521.53233264666312</v>
      </c>
      <c r="AG25" t="s">
        <v>19</v>
      </c>
      <c r="AH25">
        <f>AH23+2*AH24</f>
        <v>761.41207762034605</v>
      </c>
      <c r="AI25">
        <f t="shared" ref="AI25:AK25" si="35">AI23+2*AI24</f>
        <v>965.2235804733923</v>
      </c>
      <c r="AJ25">
        <f t="shared" si="35"/>
        <v>882.53683267848601</v>
      </c>
      <c r="AK25">
        <f t="shared" si="35"/>
        <v>652.56160481745496</v>
      </c>
    </row>
    <row r="26" spans="1:37" x14ac:dyDescent="0.25">
      <c r="A26" t="s">
        <v>20</v>
      </c>
      <c r="B26">
        <f>B23-2*B24</f>
        <v>-1.4521762756880889</v>
      </c>
      <c r="C26">
        <f t="shared" ref="C26:E26" si="36">C23-2*C24</f>
        <v>-10.764641762888687</v>
      </c>
      <c r="D26">
        <f t="shared" si="36"/>
        <v>42.488903672035235</v>
      </c>
      <c r="E26">
        <f t="shared" si="36"/>
        <v>-81.154795080941994</v>
      </c>
      <c r="G26" t="s">
        <v>20</v>
      </c>
      <c r="H26">
        <f>H23-2*H24</f>
        <v>377.48228228544849</v>
      </c>
      <c r="I26">
        <f t="shared" ref="I26:K26" si="37">I23-2*I24</f>
        <v>154.82536139027081</v>
      </c>
      <c r="J26">
        <f t="shared" si="37"/>
        <v>128.30604381580451</v>
      </c>
      <c r="K26">
        <f t="shared" si="37"/>
        <v>5.0629288857788879</v>
      </c>
      <c r="M26" t="s">
        <v>20</v>
      </c>
      <c r="N26">
        <f>N23-2*N24</f>
        <v>263.5643927704063</v>
      </c>
      <c r="O26">
        <f t="shared" ref="O26:Q26" si="38">O23-2*O24</f>
        <v>190.51990049509277</v>
      </c>
      <c r="P26">
        <f t="shared" si="38"/>
        <v>179.81184336531572</v>
      </c>
      <c r="Q26">
        <f t="shared" si="38"/>
        <v>-180.59086058496632</v>
      </c>
      <c r="S26" s="4"/>
      <c r="U26" t="s">
        <v>20</v>
      </c>
      <c r="V26">
        <f>V23-2*V24</f>
        <v>-1.4521762756880889</v>
      </c>
      <c r="W26">
        <f t="shared" ref="W26:Y26" si="39">W23-2*W24</f>
        <v>-10.764641762888687</v>
      </c>
      <c r="X26">
        <f t="shared" si="39"/>
        <v>42.488903672035235</v>
      </c>
      <c r="Y26">
        <f t="shared" si="39"/>
        <v>-81.154795080941994</v>
      </c>
      <c r="AA26" t="s">
        <v>20</v>
      </c>
      <c r="AB26">
        <f>AB23-2*AB24</f>
        <v>377.48228228544849</v>
      </c>
      <c r="AC26">
        <f t="shared" ref="AC26:AE26" si="40">AC23-2*AC24</f>
        <v>267.23201058709083</v>
      </c>
      <c r="AD26">
        <f t="shared" si="40"/>
        <v>128.30604381580451</v>
      </c>
      <c r="AE26">
        <f t="shared" si="40"/>
        <v>5.0629288857788879</v>
      </c>
      <c r="AG26" t="s">
        <v>20</v>
      </c>
      <c r="AH26">
        <f>AH23-2*AH24</f>
        <v>263.5643927704063</v>
      </c>
      <c r="AI26">
        <f t="shared" ref="AI26:AK26" si="41">AI23-2*AI24</f>
        <v>190.51990049509277</v>
      </c>
      <c r="AJ26">
        <f t="shared" si="41"/>
        <v>179.81184336531572</v>
      </c>
      <c r="AK26">
        <f t="shared" si="41"/>
        <v>39.102526363645723</v>
      </c>
    </row>
    <row r="27" spans="1:37" x14ac:dyDescent="0.25">
      <c r="A27" t="s">
        <v>21</v>
      </c>
      <c r="B27">
        <f>VAR(B3:B18)</f>
        <v>51856.492366325772</v>
      </c>
      <c r="C27">
        <f t="shared" ref="C27:E27" si="42">VAR(C3:C18)</f>
        <v>56401.082870117258</v>
      </c>
      <c r="D27">
        <f t="shared" si="42"/>
        <v>37070.679558091288</v>
      </c>
      <c r="E27">
        <f t="shared" si="42"/>
        <v>56567.118039387977</v>
      </c>
      <c r="G27" t="s">
        <v>21</v>
      </c>
      <c r="H27">
        <f>VAR(H3:H18)</f>
        <v>6693.2054946352064</v>
      </c>
      <c r="I27">
        <f t="shared" ref="I27:K27" si="43">VAR(I3:I18)</f>
        <v>24321.932914225519</v>
      </c>
      <c r="J27">
        <f t="shared" si="43"/>
        <v>25569.892085743169</v>
      </c>
      <c r="K27">
        <f t="shared" si="43"/>
        <v>16671.290313820205</v>
      </c>
      <c r="M27" t="s">
        <v>21</v>
      </c>
      <c r="N27">
        <f>VAR(N3:N18)</f>
        <v>15490.769831902813</v>
      </c>
      <c r="O27">
        <f t="shared" ref="O27:Q27" si="44">VAR(O3:O18)</f>
        <v>37510.361985744974</v>
      </c>
      <c r="P27">
        <f t="shared" si="44"/>
        <v>30863.900662824712</v>
      </c>
      <c r="Q27">
        <f t="shared" si="44"/>
        <v>97595.920543089378</v>
      </c>
      <c r="S27" s="4"/>
      <c r="U27" t="s">
        <v>21</v>
      </c>
      <c r="V27">
        <f>VAR(V3:V18)</f>
        <v>51856.492366325772</v>
      </c>
      <c r="W27">
        <f t="shared" ref="W27:Y27" si="45">VAR(W3:W18)</f>
        <v>56401.082870117258</v>
      </c>
      <c r="X27">
        <f t="shared" si="45"/>
        <v>37070.679558091288</v>
      </c>
      <c r="Y27">
        <f t="shared" si="45"/>
        <v>56567.118039387977</v>
      </c>
      <c r="AA27" t="s">
        <v>21</v>
      </c>
      <c r="AB27">
        <f>VAR(AB3:AB18)</f>
        <v>6693.2054946352064</v>
      </c>
      <c r="AC27">
        <f t="shared" ref="AC27:AE27" si="46">VAR(AC3:AC18)</f>
        <v>5635.7403915955992</v>
      </c>
      <c r="AD27">
        <f t="shared" si="46"/>
        <v>25569.892085743169</v>
      </c>
      <c r="AE27">
        <f t="shared" si="46"/>
        <v>16671.290313820205</v>
      </c>
      <c r="AG27" t="s">
        <v>21</v>
      </c>
      <c r="AH27">
        <f>VAR(AH3:AH18)</f>
        <v>15490.769831902813</v>
      </c>
      <c r="AI27">
        <f t="shared" ref="AI27:AK27" si="47">VAR(AI3:AI18)</f>
        <v>37510.361985744974</v>
      </c>
      <c r="AJ27">
        <f t="shared" si="47"/>
        <v>30863.900662824712</v>
      </c>
      <c r="AK27">
        <f t="shared" si="47"/>
        <v>23520.752558587312</v>
      </c>
    </row>
    <row r="28" spans="1:37" x14ac:dyDescent="0.25">
      <c r="S28" s="4"/>
    </row>
    <row r="29" spans="1:37" x14ac:dyDescent="0.25">
      <c r="A29" t="s">
        <v>22</v>
      </c>
      <c r="G29" t="s">
        <v>23</v>
      </c>
      <c r="H29">
        <f>AVERAGE(H3:H10)</f>
        <v>541.10630857297394</v>
      </c>
      <c r="I29">
        <f t="shared" ref="I29:K29" si="48">AVERAGE(I3:I10)</f>
        <v>466.73517472884163</v>
      </c>
      <c r="J29">
        <f t="shared" si="48"/>
        <v>448.11781399159509</v>
      </c>
      <c r="K29">
        <f t="shared" si="48"/>
        <v>263.297630766221</v>
      </c>
      <c r="M29" t="s">
        <v>23</v>
      </c>
      <c r="N29">
        <f>AVERAGE(N3:N10)</f>
        <v>512.48823519537621</v>
      </c>
      <c r="O29">
        <f t="shared" ref="O29:Q29" si="49">AVERAGE(O3:O10)</f>
        <v>577.87174048424254</v>
      </c>
      <c r="P29">
        <f t="shared" si="49"/>
        <v>531.17433802190089</v>
      </c>
      <c r="Q29">
        <f t="shared" si="49"/>
        <v>444.21605532774788</v>
      </c>
      <c r="S29" s="4"/>
      <c r="U29" t="s">
        <v>22</v>
      </c>
      <c r="AA29" t="s">
        <v>23</v>
      </c>
      <c r="AB29">
        <f>AVERAGE(AB3:AB10)</f>
        <v>541.10630857297394</v>
      </c>
      <c r="AC29">
        <f t="shared" ref="AC29:AE29" si="50">AVERAGE(AC3:AC10)</f>
        <v>417.37514751443229</v>
      </c>
      <c r="AD29">
        <f t="shared" si="50"/>
        <v>448.11781399159509</v>
      </c>
      <c r="AE29">
        <f t="shared" si="50"/>
        <v>263.297630766221</v>
      </c>
      <c r="AG29" t="s">
        <v>23</v>
      </c>
      <c r="AH29">
        <f>AVERAGE(AH3:AH10)</f>
        <v>512.48823519537621</v>
      </c>
      <c r="AI29">
        <f t="shared" ref="AI29:AK29" si="51">AVERAGE(AI3:AI10)</f>
        <v>577.87174048424254</v>
      </c>
      <c r="AJ29">
        <f t="shared" si="51"/>
        <v>531.17433802190089</v>
      </c>
      <c r="AK29">
        <f t="shared" si="51"/>
        <v>345.83206559055037</v>
      </c>
    </row>
    <row r="30" spans="1:37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52">AVERAGE(I11:I18)</f>
        <v>#DIV/0!</v>
      </c>
      <c r="J30" t="e">
        <f t="shared" si="52"/>
        <v>#DIV/0!</v>
      </c>
      <c r="K30" t="e">
        <f t="shared" si="52"/>
        <v>#DIV/0!</v>
      </c>
      <c r="M30" t="s">
        <v>24</v>
      </c>
      <c r="N30" t="e">
        <f>AVERAGE(N11:N18)</f>
        <v>#DIV/0!</v>
      </c>
      <c r="O30" t="e">
        <f t="shared" ref="O30:Q30" si="53">AVERAGE(O11:O18)</f>
        <v>#DIV/0!</v>
      </c>
      <c r="P30" t="e">
        <f t="shared" si="53"/>
        <v>#DIV/0!</v>
      </c>
      <c r="Q30" t="e">
        <f t="shared" si="53"/>
        <v>#DIV/0!</v>
      </c>
      <c r="S30" s="4"/>
      <c r="U30" t="s">
        <v>1</v>
      </c>
      <c r="V30" t="e">
        <f>TTEST(V11:V18,AB11:AB18,2,3)</f>
        <v>#DIV/0!</v>
      </c>
      <c r="AA30" t="s">
        <v>24</v>
      </c>
      <c r="AB30" t="e">
        <f>AVERAGE(AB11:AB18)</f>
        <v>#DIV/0!</v>
      </c>
      <c r="AC30" t="e">
        <f t="shared" ref="AC30:AE30" si="54">AVERAGE(AC11:AC18)</f>
        <v>#DIV/0!</v>
      </c>
      <c r="AD30" t="e">
        <f t="shared" si="54"/>
        <v>#DIV/0!</v>
      </c>
      <c r="AE30" t="e">
        <f t="shared" si="54"/>
        <v>#DIV/0!</v>
      </c>
      <c r="AG30" t="s">
        <v>24</v>
      </c>
      <c r="AH30" t="e">
        <f>AVERAGE(AH11:AH18)</f>
        <v>#DIV/0!</v>
      </c>
      <c r="AI30" t="e">
        <f t="shared" ref="AI30:AK30" si="55">AVERAGE(AI11:AI18)</f>
        <v>#DIV/0!</v>
      </c>
      <c r="AJ30" t="e">
        <f t="shared" si="55"/>
        <v>#DIV/0!</v>
      </c>
      <c r="AK30" t="e">
        <f t="shared" si="55"/>
        <v>#DIV/0!</v>
      </c>
    </row>
    <row r="31" spans="1:37" x14ac:dyDescent="0.25">
      <c r="A31" t="s">
        <v>2</v>
      </c>
      <c r="B31" t="e">
        <f>TTEST(C11:C18,I11:I18,2,3)</f>
        <v>#DIV/0!</v>
      </c>
      <c r="S31" s="4"/>
      <c r="U31" t="s">
        <v>2</v>
      </c>
      <c r="V31" t="e">
        <f>TTEST(W11:W18,AC11:AC18,2,3)</f>
        <v>#DIV/0!</v>
      </c>
    </row>
    <row r="32" spans="1:37" x14ac:dyDescent="0.25">
      <c r="A32" t="s">
        <v>3</v>
      </c>
      <c r="B32" t="e">
        <f>TTEST(D11:D18,J11:J18,2,3)</f>
        <v>#DIV/0!</v>
      </c>
      <c r="S32" s="4"/>
      <c r="U32" t="s">
        <v>3</v>
      </c>
      <c r="V32" t="e">
        <f>TTEST(X11:X18,AD11:AD18,2,3)</f>
        <v>#DIV/0!</v>
      </c>
    </row>
    <row r="33" spans="1:37" x14ac:dyDescent="0.25">
      <c r="A33" t="s">
        <v>4</v>
      </c>
      <c r="B33" t="e">
        <f>TTEST(E11:E18,K11:K18,2,3)</f>
        <v>#DIV/0!</v>
      </c>
      <c r="S33" s="4"/>
      <c r="U33" t="s">
        <v>4</v>
      </c>
      <c r="V33" t="e">
        <f>TTEST(Y11:Y18,AE11:AE18,2,3)</f>
        <v>#DIV/0!</v>
      </c>
    </row>
    <row r="34" spans="1:37" x14ac:dyDescent="0.25">
      <c r="S34" s="4"/>
    </row>
    <row r="35" spans="1:37" x14ac:dyDescent="0.25">
      <c r="A35" t="s">
        <v>25</v>
      </c>
      <c r="S35" s="5" t="s">
        <v>28</v>
      </c>
      <c r="U35" t="s">
        <v>25</v>
      </c>
    </row>
    <row r="36" spans="1:37" x14ac:dyDescent="0.25">
      <c r="A36" s="1" t="s">
        <v>29</v>
      </c>
      <c r="B36" s="1" t="s">
        <v>1</v>
      </c>
      <c r="C36" s="1" t="s">
        <v>2</v>
      </c>
      <c r="D36" s="1" t="s">
        <v>3</v>
      </c>
      <c r="E36" s="1" t="s">
        <v>4</v>
      </c>
      <c r="G36" s="1" t="s">
        <v>30</v>
      </c>
      <c r="H36" s="1" t="s">
        <v>1</v>
      </c>
      <c r="I36" s="1" t="s">
        <v>2</v>
      </c>
      <c r="J36" s="1" t="s">
        <v>3</v>
      </c>
      <c r="K36" s="1" t="s">
        <v>4</v>
      </c>
      <c r="M36" s="1" t="s">
        <v>31</v>
      </c>
      <c r="N36" s="1" t="s">
        <v>1</v>
      </c>
      <c r="O36" s="1" t="s">
        <v>2</v>
      </c>
      <c r="P36" s="1" t="s">
        <v>3</v>
      </c>
      <c r="Q36" s="1" t="s">
        <v>4</v>
      </c>
      <c r="R36" s="1"/>
      <c r="S36" s="4"/>
      <c r="U36" s="1" t="s">
        <v>29</v>
      </c>
      <c r="V36" s="1" t="s">
        <v>1</v>
      </c>
      <c r="W36" s="1" t="s">
        <v>2</v>
      </c>
      <c r="X36" s="1" t="s">
        <v>3</v>
      </c>
      <c r="Y36" s="1" t="s">
        <v>4</v>
      </c>
      <c r="AA36" s="1" t="s">
        <v>30</v>
      </c>
      <c r="AB36" s="1" t="s">
        <v>1</v>
      </c>
      <c r="AC36" s="1" t="s">
        <v>2</v>
      </c>
      <c r="AD36" s="1" t="s">
        <v>3</v>
      </c>
      <c r="AE36" s="1" t="s">
        <v>4</v>
      </c>
      <c r="AG36" s="1" t="s">
        <v>31</v>
      </c>
      <c r="AH36" s="1" t="s">
        <v>1</v>
      </c>
      <c r="AI36" s="1" t="s">
        <v>2</v>
      </c>
      <c r="AJ36" s="1" t="s">
        <v>3</v>
      </c>
      <c r="AK36" s="1" t="s">
        <v>4</v>
      </c>
    </row>
    <row r="37" spans="1:37" x14ac:dyDescent="0.25">
      <c r="A37" t="s">
        <v>5</v>
      </c>
      <c r="B37" s="3">
        <f>-((B3-$B$23)/$B$23)*100</f>
        <v>-43.263671824945135</v>
      </c>
      <c r="C37" s="3">
        <f t="shared" ref="C37:E44" si="56">-((C3-$B$23)/$B$23)*100</f>
        <v>-2.937756988723971</v>
      </c>
      <c r="D37" s="3">
        <f t="shared" si="56"/>
        <v>31.9818627114227</v>
      </c>
      <c r="E37" s="3">
        <f t="shared" si="56"/>
        <v>-51.895924999245594</v>
      </c>
      <c r="G37" t="s">
        <v>5</v>
      </c>
      <c r="H37" s="3">
        <f>-((H3-$H$29)/$H$29)*100</f>
        <v>2.9986881069137867</v>
      </c>
      <c r="I37" s="3">
        <f t="shared" ref="I37:K37" si="57">-((I3-$H$29)/$H$29)*100</f>
        <v>20.929434733374013</v>
      </c>
      <c r="J37" s="3">
        <f t="shared" si="57"/>
        <v>37.870692228176118</v>
      </c>
      <c r="K37" s="3">
        <f t="shared" si="57"/>
        <v>37.639367907284345</v>
      </c>
      <c r="M37" t="s">
        <v>5</v>
      </c>
      <c r="N37" s="3">
        <f>-((N3-$N$29)/$N$29)*100</f>
        <v>-36.204036374632039</v>
      </c>
      <c r="O37" s="3">
        <f>-((O3-$N$29)/$N$29)*100</f>
        <v>-21.68607099187405</v>
      </c>
      <c r="P37" s="3">
        <f>-((P3-$N$29)/$N$29)*100</f>
        <v>-31.022861364703029</v>
      </c>
      <c r="Q37" s="3">
        <f>-((Q3-$N$29)/$N$29)*100</f>
        <v>-121.05951038197635</v>
      </c>
      <c r="R37" s="3"/>
      <c r="S37" s="4"/>
      <c r="U37" t="s">
        <v>5</v>
      </c>
      <c r="V37" s="3">
        <f>-((V3-$V$23)/$V$23)*100</f>
        <v>-43.263671824945135</v>
      </c>
      <c r="W37" s="3">
        <f t="shared" ref="W37:Y37" si="58">-((W3-$V$23)/$V$23)*100</f>
        <v>-2.937756988723971</v>
      </c>
      <c r="X37" s="3">
        <f t="shared" si="58"/>
        <v>31.9818627114227</v>
      </c>
      <c r="Y37" s="3">
        <f t="shared" si="58"/>
        <v>-51.895924999245594</v>
      </c>
      <c r="AA37" t="s">
        <v>5</v>
      </c>
      <c r="AB37" s="3">
        <f>-((AB3-$AB$29)/$AB$29)*100</f>
        <v>2.9986881069137867</v>
      </c>
      <c r="AC37" s="3">
        <f t="shared" ref="AC37:AE37" si="59">-((AC3-$AB$29)/$AB$29)*100</f>
        <v>20.929434733374013</v>
      </c>
      <c r="AD37" s="3">
        <f t="shared" si="59"/>
        <v>37.870692228176118</v>
      </c>
      <c r="AE37" s="3">
        <f t="shared" si="59"/>
        <v>37.639367907284345</v>
      </c>
      <c r="AG37" t="s">
        <v>5</v>
      </c>
      <c r="AH37" s="3">
        <f>-((AH3-$AH$29)/$AH$29)*100</f>
        <v>-36.204036374632039</v>
      </c>
      <c r="AI37" s="3">
        <f t="shared" ref="AI37:AJ37" si="60">-((AI3-$AH$29)/$AH$29)*100</f>
        <v>-21.68607099187405</v>
      </c>
      <c r="AJ37" s="3">
        <f t="shared" si="60"/>
        <v>-31.022861364703029</v>
      </c>
      <c r="AK37" s="3"/>
    </row>
    <row r="38" spans="1:37" x14ac:dyDescent="0.25">
      <c r="A38" t="s">
        <v>7</v>
      </c>
      <c r="B38" s="3">
        <f t="shared" ref="B38:B44" si="61">-((B4-$B$23)/$B$23)*100</f>
        <v>-42.825881233980347</v>
      </c>
      <c r="C38" s="3">
        <f t="shared" si="56"/>
        <v>-80.223832881474806</v>
      </c>
      <c r="D38" s="3">
        <f t="shared" si="56"/>
        <v>35.773863432658246</v>
      </c>
      <c r="E38" s="3"/>
      <c r="G38" t="s">
        <v>7</v>
      </c>
      <c r="H38" s="3">
        <f t="shared" ref="H38:K44" si="62">-((H4-$H$29)/$H$29)*100</f>
        <v>-28.121403835452551</v>
      </c>
      <c r="I38" s="3">
        <f t="shared" si="62"/>
        <v>29.393083447295581</v>
      </c>
      <c r="J38" s="3">
        <f t="shared" si="62"/>
        <v>11.330863683570854</v>
      </c>
      <c r="K38" s="3">
        <f t="shared" si="62"/>
        <v>21.710925064823677</v>
      </c>
      <c r="M38" t="s">
        <v>7</v>
      </c>
      <c r="N38" s="3">
        <f t="shared" ref="N38:Q44" si="63">-((N4-$N$29)/$N$29)*100</f>
        <v>-18.309612520070669</v>
      </c>
      <c r="O38" s="3">
        <f t="shared" si="63"/>
        <v>-52.528334951308473</v>
      </c>
      <c r="P38" s="3">
        <f t="shared" si="63"/>
        <v>-4.3416942449307401</v>
      </c>
      <c r="Q38" s="3">
        <f t="shared" si="63"/>
        <v>13.386348290067085</v>
      </c>
      <c r="R38" s="3"/>
      <c r="S38" s="4"/>
      <c r="U38" t="s">
        <v>7</v>
      </c>
      <c r="V38" s="3">
        <f t="shared" ref="V38:Y44" si="64">-((V4-$V$23)/$V$23)*100</f>
        <v>-42.825881233980347</v>
      </c>
      <c r="W38" s="3">
        <f t="shared" si="64"/>
        <v>-80.223832881474806</v>
      </c>
      <c r="X38" s="3">
        <f t="shared" si="64"/>
        <v>35.773863432658246</v>
      </c>
      <c r="Y38" s="3"/>
      <c r="AA38" t="s">
        <v>7</v>
      </c>
      <c r="AB38" s="3">
        <f t="shared" ref="AB38:AE39" si="65">-((AB4-$AB$29)/$AB$29)*100</f>
        <v>-28.121403835452551</v>
      </c>
      <c r="AC38" s="3">
        <f t="shared" si="65"/>
        <v>29.393083447295581</v>
      </c>
      <c r="AD38" s="3">
        <f t="shared" si="65"/>
        <v>11.330863683570854</v>
      </c>
      <c r="AE38" s="3">
        <f t="shared" si="65"/>
        <v>21.710925064823677</v>
      </c>
      <c r="AG38" t="s">
        <v>7</v>
      </c>
      <c r="AH38" s="3">
        <f t="shared" ref="AH38:AK44" si="66">-((AH4-$AH$29)/$AH$29)*100</f>
        <v>-18.309612520070669</v>
      </c>
      <c r="AI38" s="3">
        <f t="shared" si="66"/>
        <v>-52.528334951308473</v>
      </c>
      <c r="AJ38" s="3">
        <f t="shared" si="66"/>
        <v>-4.3416942449307401</v>
      </c>
      <c r="AK38" s="3">
        <f t="shared" si="66"/>
        <v>13.386348290067085</v>
      </c>
    </row>
    <row r="39" spans="1:37" x14ac:dyDescent="0.25">
      <c r="A39" t="s">
        <v>8</v>
      </c>
      <c r="B39" s="3">
        <f t="shared" si="61"/>
        <v>-32.526001380652289</v>
      </c>
      <c r="C39" s="3">
        <f t="shared" si="56"/>
        <v>-46.362081117726092</v>
      </c>
      <c r="D39" s="3">
        <f t="shared" si="56"/>
        <v>-70.272706217548546</v>
      </c>
      <c r="E39" s="3">
        <f t="shared" si="56"/>
        <v>-26.444328080433156</v>
      </c>
      <c r="G39" t="s">
        <v>8</v>
      </c>
      <c r="H39" s="3">
        <f t="shared" si="62"/>
        <v>-6.0558397862008713</v>
      </c>
      <c r="I39" s="3">
        <f t="shared" si="62"/>
        <v>-50.110126672116905</v>
      </c>
      <c r="J39" s="3">
        <f t="shared" si="62"/>
        <v>-31.690294359976107</v>
      </c>
      <c r="K39" s="3">
        <f t="shared" si="62"/>
        <v>58.49818338719691</v>
      </c>
      <c r="M39" t="s">
        <v>8</v>
      </c>
      <c r="N39" s="3">
        <f t="shared" si="63"/>
        <v>20.852520266731258</v>
      </c>
      <c r="O39" s="3">
        <f t="shared" si="63"/>
        <v>-52.87074621235196</v>
      </c>
      <c r="P39" s="3">
        <f t="shared" si="63"/>
        <v>-45.855118841163417</v>
      </c>
      <c r="Q39" s="3">
        <f t="shared" si="63"/>
        <v>43.57374885766918</v>
      </c>
      <c r="R39" s="3"/>
      <c r="S39" s="4"/>
      <c r="U39" t="s">
        <v>8</v>
      </c>
      <c r="V39" s="3">
        <f t="shared" si="64"/>
        <v>-32.526001380652289</v>
      </c>
      <c r="W39" s="3">
        <f t="shared" si="64"/>
        <v>-46.362081117726092</v>
      </c>
      <c r="X39" s="3">
        <f t="shared" si="64"/>
        <v>-70.272706217548546</v>
      </c>
      <c r="Y39" s="3">
        <f t="shared" si="64"/>
        <v>-26.444328080433156</v>
      </c>
      <c r="AA39" t="s">
        <v>8</v>
      </c>
      <c r="AB39" s="3">
        <f>-((AB5-$AB$29)/$AB$29)*100</f>
        <v>-6.0558397862008713</v>
      </c>
      <c r="AC39" s="3"/>
      <c r="AD39" s="3">
        <f t="shared" si="65"/>
        <v>-31.690294359976107</v>
      </c>
      <c r="AE39" s="3">
        <f t="shared" si="65"/>
        <v>58.49818338719691</v>
      </c>
      <c r="AG39" t="s">
        <v>8</v>
      </c>
      <c r="AH39" s="3">
        <f t="shared" si="66"/>
        <v>20.852520266731258</v>
      </c>
      <c r="AI39" s="3">
        <f t="shared" si="66"/>
        <v>-52.87074621235196</v>
      </c>
      <c r="AJ39" s="3">
        <f t="shared" si="66"/>
        <v>-45.855118841163417</v>
      </c>
      <c r="AK39" s="3">
        <f t="shared" si="66"/>
        <v>43.57374885766918</v>
      </c>
    </row>
    <row r="40" spans="1:37" x14ac:dyDescent="0.25">
      <c r="A40" t="s">
        <v>9</v>
      </c>
      <c r="B40" s="3">
        <f t="shared" si="61"/>
        <v>-48.396255240138366</v>
      </c>
      <c r="C40" s="3">
        <f t="shared" si="56"/>
        <v>-29.967335005119061</v>
      </c>
      <c r="D40" s="3">
        <f t="shared" si="56"/>
        <v>33.996527083201038</v>
      </c>
      <c r="E40" s="3">
        <f t="shared" si="56"/>
        <v>15.851503042716587</v>
      </c>
      <c r="G40" t="s">
        <v>9</v>
      </c>
      <c r="H40" s="3">
        <f t="shared" si="62"/>
        <v>-8.3292671267662381</v>
      </c>
      <c r="I40" s="3">
        <f t="shared" si="62"/>
        <v>26.071829862505346</v>
      </c>
      <c r="J40" s="3">
        <f t="shared" si="62"/>
        <v>18.369854915428093</v>
      </c>
      <c r="K40" s="3">
        <f t="shared" si="62"/>
        <v>31.12247446431271</v>
      </c>
      <c r="M40" t="s">
        <v>9</v>
      </c>
      <c r="N40" s="3">
        <f t="shared" si="63"/>
        <v>5.8340507654443723</v>
      </c>
      <c r="O40" s="3">
        <f t="shared" si="63"/>
        <v>-41.303016399190994</v>
      </c>
      <c r="P40" s="3">
        <f t="shared" si="63"/>
        <v>-40.484684529372537</v>
      </c>
      <c r="Q40" s="3">
        <f t="shared" si="63"/>
        <v>17.773343762938541</v>
      </c>
      <c r="R40" s="3"/>
      <c r="S40" s="4"/>
      <c r="U40" t="s">
        <v>9</v>
      </c>
      <c r="V40" s="3">
        <f t="shared" si="64"/>
        <v>-48.396255240138366</v>
      </c>
      <c r="W40" s="3">
        <f t="shared" si="64"/>
        <v>-29.967335005119061</v>
      </c>
      <c r="X40" s="3">
        <f t="shared" si="64"/>
        <v>33.996527083201038</v>
      </c>
      <c r="Y40" s="3">
        <f t="shared" si="64"/>
        <v>15.851503042716587</v>
      </c>
      <c r="AA40" t="s">
        <v>9</v>
      </c>
      <c r="AB40" s="3">
        <f t="shared" ref="AB40:AE44" si="67">-((AB6-$AB$29)/$AB$29)*100</f>
        <v>-8.3292671267662381</v>
      </c>
      <c r="AC40" s="3">
        <f t="shared" si="67"/>
        <v>26.071829862505346</v>
      </c>
      <c r="AD40" s="3">
        <f t="shared" si="67"/>
        <v>18.369854915428093</v>
      </c>
      <c r="AE40" s="3">
        <f t="shared" si="67"/>
        <v>31.12247446431271</v>
      </c>
      <c r="AG40" t="s">
        <v>9</v>
      </c>
      <c r="AH40" s="3">
        <f t="shared" si="66"/>
        <v>5.8340507654443723</v>
      </c>
      <c r="AI40" s="3">
        <f t="shared" si="66"/>
        <v>-41.303016399190994</v>
      </c>
      <c r="AJ40" s="3">
        <f t="shared" si="66"/>
        <v>-40.484684529372537</v>
      </c>
      <c r="AK40" s="3">
        <f t="shared" si="66"/>
        <v>17.773343762938541</v>
      </c>
    </row>
    <row r="41" spans="1:37" x14ac:dyDescent="0.25">
      <c r="A41" t="s">
        <v>10</v>
      </c>
      <c r="B41" s="3">
        <f t="shared" si="61"/>
        <v>33.168125667015538</v>
      </c>
      <c r="C41" s="3">
        <f t="shared" si="56"/>
        <v>45.311426404267579</v>
      </c>
      <c r="D41" s="3"/>
      <c r="E41" s="3"/>
      <c r="G41" t="s">
        <v>10</v>
      </c>
      <c r="H41" s="3">
        <f t="shared" si="62"/>
        <v>14.006952634428677</v>
      </c>
      <c r="I41" s="3">
        <f t="shared" si="62"/>
        <v>-4.3434946524709481</v>
      </c>
      <c r="J41" s="3">
        <f t="shared" si="62"/>
        <v>-20.900584151911644</v>
      </c>
      <c r="K41" s="3">
        <f t="shared" si="62"/>
        <v>78.128348809413595</v>
      </c>
      <c r="M41" t="s">
        <v>10</v>
      </c>
      <c r="N41" s="3">
        <f t="shared" si="63"/>
        <v>43.635865374859399</v>
      </c>
      <c r="O41" s="3">
        <f t="shared" si="63"/>
        <v>38.629185653774854</v>
      </c>
      <c r="P41" s="3">
        <f t="shared" si="63"/>
        <v>1.9831592324236664</v>
      </c>
      <c r="Q41" s="3">
        <f t="shared" si="63"/>
        <v>88.249931934697486</v>
      </c>
      <c r="R41" s="3"/>
      <c r="S41" s="4"/>
      <c r="U41" t="s">
        <v>10</v>
      </c>
      <c r="V41" s="3">
        <f t="shared" si="64"/>
        <v>33.168125667015538</v>
      </c>
      <c r="W41" s="3">
        <f t="shared" si="64"/>
        <v>45.311426404267579</v>
      </c>
      <c r="X41" s="3"/>
      <c r="Y41" s="3"/>
      <c r="AA41" t="s">
        <v>10</v>
      </c>
      <c r="AB41" s="3">
        <f t="shared" si="67"/>
        <v>14.006952634428677</v>
      </c>
      <c r="AC41" s="3">
        <f t="shared" si="67"/>
        <v>-4.3434946524709481</v>
      </c>
      <c r="AD41" s="3">
        <f t="shared" si="67"/>
        <v>-20.900584151911644</v>
      </c>
      <c r="AE41" s="3">
        <f t="shared" si="67"/>
        <v>78.128348809413595</v>
      </c>
      <c r="AG41" t="s">
        <v>10</v>
      </c>
      <c r="AH41" s="3">
        <f t="shared" si="66"/>
        <v>43.635865374859399</v>
      </c>
      <c r="AI41" s="3">
        <f t="shared" si="66"/>
        <v>38.629185653774854</v>
      </c>
      <c r="AJ41" s="3">
        <f t="shared" si="66"/>
        <v>1.9831592324236664</v>
      </c>
      <c r="AK41" s="3">
        <f t="shared" si="66"/>
        <v>88.249931934697486</v>
      </c>
    </row>
    <row r="42" spans="1:37" x14ac:dyDescent="0.25">
      <c r="A42" t="s">
        <v>11</v>
      </c>
      <c r="B42" s="3">
        <f t="shared" si="61"/>
        <v>59.862350575299985</v>
      </c>
      <c r="C42" s="3">
        <f t="shared" si="56"/>
        <v>74.612234026269974</v>
      </c>
      <c r="D42" s="3">
        <f t="shared" si="56"/>
        <v>21.64475837768066</v>
      </c>
      <c r="E42" s="3"/>
      <c r="G42" t="s">
        <v>11</v>
      </c>
      <c r="H42" s="3">
        <f t="shared" si="62"/>
        <v>8.9835015960706261</v>
      </c>
      <c r="I42" s="3">
        <f t="shared" si="62"/>
        <v>40.946182011997543</v>
      </c>
      <c r="J42" s="3">
        <f t="shared" si="62"/>
        <v>35.021730313798443</v>
      </c>
      <c r="K42" s="3">
        <f t="shared" si="62"/>
        <v>34.422199246604549</v>
      </c>
      <c r="M42" t="s">
        <v>11</v>
      </c>
      <c r="N42" s="3">
        <f t="shared" si="63"/>
        <v>-6.5429988722719239</v>
      </c>
      <c r="O42" s="3">
        <f t="shared" si="63"/>
        <v>-25.608724869625437</v>
      </c>
      <c r="P42" s="3">
        <f t="shared" si="63"/>
        <v>53.938632412284534</v>
      </c>
      <c r="Q42" s="3">
        <f t="shared" si="63"/>
        <v>-2.94313562481363</v>
      </c>
      <c r="R42" s="3"/>
      <c r="S42" s="4"/>
      <c r="U42" t="s">
        <v>11</v>
      </c>
      <c r="V42" s="3">
        <f t="shared" si="64"/>
        <v>59.862350575299985</v>
      </c>
      <c r="W42" s="3">
        <f t="shared" si="64"/>
        <v>74.612234026269974</v>
      </c>
      <c r="X42" s="3">
        <f t="shared" si="64"/>
        <v>21.64475837768066</v>
      </c>
      <c r="Y42" s="3"/>
      <c r="AA42" t="s">
        <v>11</v>
      </c>
      <c r="AB42" s="3">
        <f t="shared" si="67"/>
        <v>8.9835015960706261</v>
      </c>
      <c r="AC42" s="3">
        <f t="shared" si="67"/>
        <v>40.946182011997543</v>
      </c>
      <c r="AD42" s="3">
        <f t="shared" si="67"/>
        <v>35.021730313798443</v>
      </c>
      <c r="AE42" s="3">
        <f t="shared" si="67"/>
        <v>34.422199246604549</v>
      </c>
      <c r="AG42" t="s">
        <v>11</v>
      </c>
      <c r="AH42" s="3">
        <f t="shared" si="66"/>
        <v>-6.5429988722719239</v>
      </c>
      <c r="AI42" s="3">
        <f t="shared" si="66"/>
        <v>-25.608724869625437</v>
      </c>
      <c r="AJ42" s="3">
        <f t="shared" si="66"/>
        <v>53.938632412284534</v>
      </c>
      <c r="AK42" s="3">
        <f t="shared" si="66"/>
        <v>-2.94313562481363</v>
      </c>
    </row>
    <row r="43" spans="1:37" x14ac:dyDescent="0.25">
      <c r="A43" t="s">
        <v>12</v>
      </c>
      <c r="B43" s="3">
        <f t="shared" si="61"/>
        <v>-2.2900521918705738</v>
      </c>
      <c r="C43" s="3">
        <f t="shared" si="56"/>
        <v>41.20412546087767</v>
      </c>
      <c r="D43" s="3"/>
      <c r="E43" s="3">
        <f t="shared" si="56"/>
        <v>65.158916245034575</v>
      </c>
      <c r="G43" t="s">
        <v>12</v>
      </c>
      <c r="H43" s="3">
        <f t="shared" si="62"/>
        <v>20.112125074683792</v>
      </c>
      <c r="I43" s="3">
        <f t="shared" si="62"/>
        <v>19.653632398805772</v>
      </c>
      <c r="J43" s="3">
        <f t="shared" si="62"/>
        <v>37.33884394336318</v>
      </c>
      <c r="K43" s="3">
        <f t="shared" si="62"/>
        <v>88.276842385478815</v>
      </c>
      <c r="M43" t="s">
        <v>12</v>
      </c>
      <c r="N43" s="3">
        <f t="shared" si="63"/>
        <v>-8.0926054662331559</v>
      </c>
      <c r="O43" s="3">
        <f t="shared" si="63"/>
        <v>26.705107460485756</v>
      </c>
      <c r="P43" s="3">
        <f t="shared" si="63"/>
        <v>21.888785916446988</v>
      </c>
      <c r="Q43" s="3">
        <f t="shared" si="63"/>
        <v>46.05934722021145</v>
      </c>
      <c r="R43" s="3"/>
      <c r="S43" s="4"/>
      <c r="U43" t="s">
        <v>12</v>
      </c>
      <c r="V43" s="3">
        <f t="shared" si="64"/>
        <v>-2.2900521918705738</v>
      </c>
      <c r="W43" s="3">
        <f t="shared" si="64"/>
        <v>41.20412546087767</v>
      </c>
      <c r="X43" s="3"/>
      <c r="Y43" s="3">
        <f t="shared" si="64"/>
        <v>65.158916245034575</v>
      </c>
      <c r="AA43" t="s">
        <v>12</v>
      </c>
      <c r="AB43" s="3">
        <f t="shared" si="67"/>
        <v>20.112125074683792</v>
      </c>
      <c r="AC43" s="3">
        <f t="shared" si="67"/>
        <v>19.653632398805772</v>
      </c>
      <c r="AD43" s="3">
        <f t="shared" si="67"/>
        <v>37.33884394336318</v>
      </c>
      <c r="AE43" s="3">
        <f t="shared" si="67"/>
        <v>88.276842385478815</v>
      </c>
      <c r="AG43" t="s">
        <v>12</v>
      </c>
      <c r="AH43" s="3">
        <f t="shared" si="66"/>
        <v>-8.0926054662331559</v>
      </c>
      <c r="AI43" s="3">
        <f t="shared" si="66"/>
        <v>26.705107460485756</v>
      </c>
      <c r="AJ43" s="3">
        <f t="shared" si="66"/>
        <v>21.888785916446988</v>
      </c>
      <c r="AK43" s="3">
        <f t="shared" si="66"/>
        <v>46.05934722021145</v>
      </c>
    </row>
    <row r="44" spans="1:37" x14ac:dyDescent="0.25">
      <c r="A44" t="s">
        <v>13</v>
      </c>
      <c r="B44" s="3">
        <f t="shared" si="61"/>
        <v>76.271385629271123</v>
      </c>
      <c r="C44" s="3">
        <f t="shared" si="56"/>
        <v>-19.655511168597883</v>
      </c>
      <c r="D44" s="3">
        <f t="shared" si="56"/>
        <v>-18.201310744341654</v>
      </c>
      <c r="E44" s="3">
        <f t="shared" si="56"/>
        <v>62.822912484329493</v>
      </c>
      <c r="G44" t="s">
        <v>13</v>
      </c>
      <c r="H44" s="3">
        <f t="shared" si="62"/>
        <v>-3.5947566636772605</v>
      </c>
      <c r="I44" s="3">
        <f t="shared" si="62"/>
        <v>27.41365111097242</v>
      </c>
      <c r="J44" s="3">
        <f t="shared" si="62"/>
        <v>50.137970064615743</v>
      </c>
      <c r="K44" s="3">
        <f t="shared" si="62"/>
        <v>60.928605961799832</v>
      </c>
      <c r="M44" t="s">
        <v>13</v>
      </c>
      <c r="N44" s="3">
        <f t="shared" si="63"/>
        <v>-1.1731831738273266</v>
      </c>
      <c r="O44" s="3">
        <f t="shared" si="63"/>
        <v>26.598200312396564</v>
      </c>
      <c r="P44" s="3">
        <f t="shared" si="63"/>
        <v>14.724561065066775</v>
      </c>
      <c r="Q44" s="3">
        <f t="shared" si="63"/>
        <v>21.533580014027581</v>
      </c>
      <c r="R44" s="3"/>
      <c r="S44" s="4"/>
      <c r="U44" t="s">
        <v>13</v>
      </c>
      <c r="V44" s="3">
        <f t="shared" si="64"/>
        <v>76.271385629271123</v>
      </c>
      <c r="W44" s="3">
        <f t="shared" si="64"/>
        <v>-19.655511168597883</v>
      </c>
      <c r="X44" s="3">
        <f t="shared" si="64"/>
        <v>-18.201310744341654</v>
      </c>
      <c r="Y44" s="3">
        <f t="shared" si="64"/>
        <v>62.822912484329493</v>
      </c>
      <c r="AA44" t="s">
        <v>13</v>
      </c>
      <c r="AB44" s="3">
        <f t="shared" si="67"/>
        <v>-3.5947566636772605</v>
      </c>
      <c r="AC44" s="3">
        <f t="shared" si="67"/>
        <v>27.41365111097242</v>
      </c>
      <c r="AD44" s="3">
        <f t="shared" si="67"/>
        <v>50.137970064615743</v>
      </c>
      <c r="AE44" s="3">
        <f t="shared" si="67"/>
        <v>60.928605961799832</v>
      </c>
      <c r="AG44" t="s">
        <v>13</v>
      </c>
      <c r="AH44" s="3">
        <f t="shared" si="66"/>
        <v>-1.1731831738273266</v>
      </c>
      <c r="AI44" s="3">
        <f t="shared" si="66"/>
        <v>26.598200312396564</v>
      </c>
      <c r="AJ44" s="3">
        <f t="shared" si="66"/>
        <v>14.724561065066775</v>
      </c>
      <c r="AK44" s="3">
        <f t="shared" si="66"/>
        <v>21.533580014027581</v>
      </c>
    </row>
    <row r="45" spans="1:37" x14ac:dyDescent="0.25">
      <c r="A45" t="s">
        <v>5</v>
      </c>
      <c r="B45" s="3"/>
      <c r="C45" s="3"/>
      <c r="D45" s="3"/>
      <c r="E45" s="3"/>
      <c r="G45" t="s">
        <v>5</v>
      </c>
      <c r="H45" s="3"/>
      <c r="I45" s="3"/>
      <c r="J45" s="3"/>
      <c r="K45" s="3"/>
      <c r="M45" t="s">
        <v>5</v>
      </c>
      <c r="N45" s="3"/>
      <c r="O45" s="3"/>
      <c r="P45" s="3"/>
      <c r="Q45" s="3"/>
      <c r="S45" s="4"/>
      <c r="U45" t="s">
        <v>5</v>
      </c>
      <c r="V45" s="3"/>
      <c r="W45" s="3"/>
      <c r="X45" s="3"/>
      <c r="Y45" s="3"/>
      <c r="AA45" t="s">
        <v>5</v>
      </c>
      <c r="AB45" s="3"/>
      <c r="AC45" s="3"/>
      <c r="AD45" s="3"/>
      <c r="AE45" s="3"/>
      <c r="AG45" t="s">
        <v>5</v>
      </c>
      <c r="AH45" s="3"/>
      <c r="AI45" s="3"/>
      <c r="AJ45" s="3"/>
      <c r="AK45" s="3"/>
    </row>
    <row r="46" spans="1:37" x14ac:dyDescent="0.25">
      <c r="A46" t="s">
        <v>7</v>
      </c>
      <c r="B46" s="3"/>
      <c r="C46" s="3"/>
      <c r="D46" s="3"/>
      <c r="E46" s="3"/>
      <c r="G46" t="s">
        <v>7</v>
      </c>
      <c r="H46" s="3"/>
      <c r="I46" s="3"/>
      <c r="J46" s="3"/>
      <c r="K46" s="3"/>
      <c r="M46" t="s">
        <v>7</v>
      </c>
      <c r="N46" s="3"/>
      <c r="O46" s="3"/>
      <c r="P46" s="3"/>
      <c r="Q46" s="3"/>
      <c r="S46" s="4"/>
      <c r="U46" t="s">
        <v>7</v>
      </c>
      <c r="V46" s="3"/>
      <c r="W46" s="3"/>
      <c r="X46" s="3"/>
      <c r="Y46" s="3"/>
      <c r="AA46" t="s">
        <v>7</v>
      </c>
      <c r="AB46" s="3"/>
      <c r="AC46" s="3"/>
      <c r="AD46" s="3"/>
      <c r="AE46" s="3"/>
      <c r="AG46" t="s">
        <v>7</v>
      </c>
      <c r="AH46" s="3"/>
      <c r="AI46" s="3"/>
      <c r="AJ46" s="3"/>
      <c r="AK46" s="3"/>
    </row>
    <row r="47" spans="1:37" x14ac:dyDescent="0.25">
      <c r="A47" t="s">
        <v>8</v>
      </c>
      <c r="B47" s="3"/>
      <c r="C47" s="3"/>
      <c r="D47" s="3"/>
      <c r="E47" s="3"/>
      <c r="G47" t="s">
        <v>8</v>
      </c>
      <c r="H47" s="3"/>
      <c r="I47" s="3"/>
      <c r="J47" s="3"/>
      <c r="K47" s="3"/>
      <c r="M47" t="s">
        <v>8</v>
      </c>
      <c r="N47" s="3"/>
      <c r="O47" s="3"/>
      <c r="P47" s="3"/>
      <c r="Q47" s="3"/>
      <c r="S47" s="4"/>
      <c r="U47" t="s">
        <v>8</v>
      </c>
      <c r="V47" s="3"/>
      <c r="W47" s="3"/>
      <c r="X47" s="3"/>
      <c r="Y47" s="3"/>
      <c r="AA47" t="s">
        <v>8</v>
      </c>
      <c r="AB47" s="3"/>
      <c r="AC47" s="3"/>
      <c r="AD47" s="3"/>
      <c r="AE47" s="3"/>
      <c r="AG47" t="s">
        <v>8</v>
      </c>
      <c r="AH47" s="3"/>
      <c r="AI47" s="3"/>
      <c r="AJ47" s="3"/>
      <c r="AK47" s="3"/>
    </row>
    <row r="48" spans="1:37" x14ac:dyDescent="0.25">
      <c r="A48" t="s">
        <v>9</v>
      </c>
      <c r="B48" s="3"/>
      <c r="C48" s="3"/>
      <c r="D48" s="3"/>
      <c r="E48" s="3"/>
      <c r="G48" t="s">
        <v>9</v>
      </c>
      <c r="H48" s="3"/>
      <c r="I48" s="3"/>
      <c r="J48" s="3"/>
      <c r="K48" s="3"/>
      <c r="M48" t="s">
        <v>9</v>
      </c>
      <c r="N48" s="3"/>
      <c r="O48" s="3"/>
      <c r="P48" s="3"/>
      <c r="Q48" s="3"/>
      <c r="S48" s="4"/>
      <c r="U48" t="s">
        <v>9</v>
      </c>
      <c r="V48" s="3"/>
      <c r="W48" s="3"/>
      <c r="X48" s="3"/>
      <c r="Y48" s="3"/>
      <c r="AA48" t="s">
        <v>9</v>
      </c>
      <c r="AB48" s="3"/>
      <c r="AC48" s="3"/>
      <c r="AD48" s="3"/>
      <c r="AE48" s="3"/>
      <c r="AG48" t="s">
        <v>9</v>
      </c>
      <c r="AH48" s="3"/>
      <c r="AI48" s="3"/>
      <c r="AJ48" s="3"/>
      <c r="AK48" s="3"/>
    </row>
    <row r="49" spans="1:37" x14ac:dyDescent="0.25">
      <c r="A49" t="s">
        <v>10</v>
      </c>
      <c r="B49" s="3"/>
      <c r="C49" s="3"/>
      <c r="D49" s="3"/>
      <c r="E49" s="3"/>
      <c r="G49" t="s">
        <v>10</v>
      </c>
      <c r="H49" s="3"/>
      <c r="I49" s="3"/>
      <c r="J49" s="3"/>
      <c r="K49" s="3"/>
      <c r="M49" t="s">
        <v>10</v>
      </c>
      <c r="N49" s="3"/>
      <c r="O49" s="3"/>
      <c r="P49" s="3"/>
      <c r="Q49" s="3"/>
      <c r="S49" s="4"/>
      <c r="U49" t="s">
        <v>10</v>
      </c>
      <c r="V49" s="3"/>
      <c r="W49" s="3"/>
      <c r="X49" s="3"/>
      <c r="Y49" s="3"/>
      <c r="AA49" t="s">
        <v>10</v>
      </c>
      <c r="AB49" s="3"/>
      <c r="AC49" s="3"/>
      <c r="AD49" s="3"/>
      <c r="AE49" s="3"/>
      <c r="AG49" t="s">
        <v>10</v>
      </c>
      <c r="AH49" s="3"/>
      <c r="AI49" s="3"/>
      <c r="AJ49" s="3"/>
      <c r="AK49" s="3"/>
    </row>
    <row r="50" spans="1:37" x14ac:dyDescent="0.25">
      <c r="A50" t="s">
        <v>11</v>
      </c>
      <c r="B50" s="3"/>
      <c r="C50" s="3"/>
      <c r="D50" s="3"/>
      <c r="E50" s="3"/>
      <c r="G50" t="s">
        <v>11</v>
      </c>
      <c r="H50" s="3"/>
      <c r="I50" s="3"/>
      <c r="J50" s="3"/>
      <c r="K50" s="3"/>
      <c r="M50" t="s">
        <v>11</v>
      </c>
      <c r="N50" s="3"/>
      <c r="O50" s="3"/>
      <c r="P50" s="3"/>
      <c r="Q50" s="3"/>
      <c r="S50" s="4"/>
      <c r="U50" t="s">
        <v>11</v>
      </c>
      <c r="V50" s="3"/>
      <c r="W50" s="3"/>
      <c r="X50" s="3"/>
      <c r="Y50" s="3"/>
      <c r="AA50" t="s">
        <v>11</v>
      </c>
      <c r="AB50" s="3"/>
      <c r="AC50" s="3"/>
      <c r="AD50" s="3"/>
      <c r="AE50" s="3"/>
      <c r="AG50" t="s">
        <v>11</v>
      </c>
      <c r="AH50" s="3"/>
      <c r="AI50" s="3"/>
      <c r="AJ50" s="3"/>
      <c r="AK50" s="3"/>
    </row>
    <row r="51" spans="1:37" x14ac:dyDescent="0.25">
      <c r="A51" t="s">
        <v>12</v>
      </c>
      <c r="B51" s="3"/>
      <c r="C51" s="3"/>
      <c r="D51" s="3"/>
      <c r="E51" s="3"/>
      <c r="G51" t="s">
        <v>12</v>
      </c>
      <c r="H51" s="3"/>
      <c r="I51" s="3"/>
      <c r="J51" s="3"/>
      <c r="K51" s="3"/>
      <c r="M51" t="s">
        <v>12</v>
      </c>
      <c r="N51" s="3"/>
      <c r="O51" s="3"/>
      <c r="P51" s="3"/>
      <c r="Q51" s="3"/>
      <c r="S51" s="4"/>
      <c r="U51" t="s">
        <v>12</v>
      </c>
      <c r="V51" s="3"/>
      <c r="W51" s="3"/>
      <c r="X51" s="3"/>
      <c r="Y51" s="3"/>
      <c r="AA51" t="s">
        <v>12</v>
      </c>
      <c r="AB51" s="3"/>
      <c r="AC51" s="3"/>
      <c r="AD51" s="3"/>
      <c r="AE51" s="3"/>
      <c r="AG51" t="s">
        <v>12</v>
      </c>
      <c r="AH51" s="3"/>
      <c r="AI51" s="3"/>
      <c r="AJ51" s="3"/>
      <c r="AK51" s="3"/>
    </row>
    <row r="52" spans="1:37" x14ac:dyDescent="0.25">
      <c r="A52" t="s">
        <v>13</v>
      </c>
      <c r="B52" s="3"/>
      <c r="C52" s="3"/>
      <c r="D52" s="3"/>
      <c r="E52" s="3"/>
      <c r="G52" t="s">
        <v>13</v>
      </c>
      <c r="H52" s="3"/>
      <c r="I52" s="3"/>
      <c r="J52" s="3"/>
      <c r="K52" s="3"/>
      <c r="M52" t="s">
        <v>13</v>
      </c>
      <c r="N52" s="3"/>
      <c r="O52" s="3"/>
      <c r="P52" s="3"/>
      <c r="Q52" s="3"/>
      <c r="S52" s="4"/>
      <c r="U52" t="s">
        <v>13</v>
      </c>
      <c r="V52" s="3"/>
      <c r="W52" s="3"/>
      <c r="X52" s="3"/>
      <c r="Y52" s="3"/>
      <c r="AA52" t="s">
        <v>13</v>
      </c>
      <c r="AB52" s="3"/>
      <c r="AC52" s="3"/>
      <c r="AD52" s="3"/>
      <c r="AE52" s="3"/>
      <c r="AG52" t="s">
        <v>13</v>
      </c>
      <c r="AH52" s="3"/>
      <c r="AI52" s="3"/>
      <c r="AJ52" s="3"/>
      <c r="AK52" s="3"/>
    </row>
    <row r="53" spans="1:37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  <c r="S53" s="4"/>
      <c r="U53" s="2"/>
      <c r="V53" s="2"/>
      <c r="W53" s="2"/>
      <c r="X53" s="2"/>
      <c r="Y53" s="2"/>
      <c r="AA53" s="2"/>
      <c r="AB53" s="2"/>
      <c r="AC53" s="2"/>
      <c r="AD53" s="2"/>
      <c r="AE53" s="2"/>
      <c r="AG53" s="2"/>
      <c r="AH53" s="2"/>
      <c r="AI53" s="2"/>
      <c r="AJ53" s="2"/>
      <c r="AK53" s="2"/>
    </row>
    <row r="54" spans="1:37" x14ac:dyDescent="0.25">
      <c r="A54" t="s">
        <v>14</v>
      </c>
      <c r="B54">
        <f>COUNT(B37:B52)</f>
        <v>8</v>
      </c>
      <c r="C54">
        <f t="shared" ref="C54:E54" si="68">COUNT(C37:C52)</f>
        <v>8</v>
      </c>
      <c r="D54">
        <f t="shared" si="68"/>
        <v>6</v>
      </c>
      <c r="E54">
        <f t="shared" si="68"/>
        <v>5</v>
      </c>
      <c r="G54" t="s">
        <v>14</v>
      </c>
      <c r="H54">
        <f>COUNT(H37:H52)</f>
        <v>8</v>
      </c>
      <c r="I54">
        <f t="shared" ref="I54:K54" si="69">COUNT(I37:I52)</f>
        <v>8</v>
      </c>
      <c r="J54">
        <f t="shared" si="69"/>
        <v>8</v>
      </c>
      <c r="K54">
        <f t="shared" si="69"/>
        <v>8</v>
      </c>
      <c r="M54" t="s">
        <v>14</v>
      </c>
      <c r="N54">
        <f>COUNT(N37:N52)</f>
        <v>8</v>
      </c>
      <c r="O54">
        <f t="shared" ref="O54:Q54" si="70">COUNT(O37:O52)</f>
        <v>8</v>
      </c>
      <c r="P54">
        <f t="shared" si="70"/>
        <v>8</v>
      </c>
      <c r="Q54">
        <f t="shared" si="70"/>
        <v>8</v>
      </c>
      <c r="S54" s="4"/>
      <c r="U54" t="s">
        <v>14</v>
      </c>
      <c r="V54">
        <f>COUNT(V37:V52)</f>
        <v>8</v>
      </c>
      <c r="W54">
        <f t="shared" ref="W54:Y54" si="71">COUNT(W37:W52)</f>
        <v>8</v>
      </c>
      <c r="X54">
        <f t="shared" si="71"/>
        <v>6</v>
      </c>
      <c r="Y54">
        <f t="shared" si="71"/>
        <v>5</v>
      </c>
      <c r="AA54" t="s">
        <v>14</v>
      </c>
      <c r="AB54">
        <f>COUNT(AB37:AB52)</f>
        <v>8</v>
      </c>
      <c r="AC54">
        <f t="shared" ref="AC54:AE54" si="72">COUNT(AC37:AC52)</f>
        <v>7</v>
      </c>
      <c r="AD54">
        <f t="shared" si="72"/>
        <v>8</v>
      </c>
      <c r="AE54">
        <f t="shared" si="72"/>
        <v>8</v>
      </c>
      <c r="AG54" t="s">
        <v>14</v>
      </c>
      <c r="AH54">
        <f>COUNT(AH37:AH52)</f>
        <v>8</v>
      </c>
      <c r="AI54">
        <f t="shared" ref="AI54:AK54" si="73">COUNT(AI37:AI52)</f>
        <v>8</v>
      </c>
      <c r="AJ54">
        <f t="shared" si="73"/>
        <v>8</v>
      </c>
      <c r="AK54">
        <f t="shared" si="73"/>
        <v>7</v>
      </c>
    </row>
    <row r="55" spans="1:37" x14ac:dyDescent="0.25">
      <c r="A55" t="s">
        <v>15</v>
      </c>
      <c r="B55">
        <f>MAX(B37:B52)</f>
        <v>76.271385629271123</v>
      </c>
      <c r="C55">
        <f t="shared" ref="C55:E55" si="74">MAX(C37:C52)</f>
        <v>74.612234026269974</v>
      </c>
      <c r="D55">
        <f t="shared" si="74"/>
        <v>35.773863432658246</v>
      </c>
      <c r="E55">
        <f t="shared" si="74"/>
        <v>65.158916245034575</v>
      </c>
      <c r="G55" t="s">
        <v>15</v>
      </c>
      <c r="H55">
        <f>MAX(H37:H52)</f>
        <v>20.112125074683792</v>
      </c>
      <c r="I55">
        <f t="shared" ref="I55:K55" si="75">MAX(I37:I52)</f>
        <v>40.946182011997543</v>
      </c>
      <c r="J55">
        <f t="shared" si="75"/>
        <v>50.137970064615743</v>
      </c>
      <c r="K55">
        <f t="shared" si="75"/>
        <v>88.276842385478815</v>
      </c>
      <c r="M55" t="s">
        <v>15</v>
      </c>
      <c r="N55">
        <f>MAX(N37:N52)</f>
        <v>43.635865374859399</v>
      </c>
      <c r="O55">
        <f t="shared" ref="O55:Q55" si="76">MAX(O37:O52)</f>
        <v>38.629185653774854</v>
      </c>
      <c r="P55">
        <f t="shared" si="76"/>
        <v>53.938632412284534</v>
      </c>
      <c r="Q55">
        <f t="shared" si="76"/>
        <v>88.249931934697486</v>
      </c>
      <c r="S55" s="4"/>
      <c r="U55" t="s">
        <v>15</v>
      </c>
      <c r="V55">
        <f>MAX(V37:V52)</f>
        <v>76.271385629271123</v>
      </c>
      <c r="W55">
        <f t="shared" ref="W55:Y55" si="77">MAX(W37:W52)</f>
        <v>74.612234026269974</v>
      </c>
      <c r="X55">
        <f t="shared" si="77"/>
        <v>35.773863432658246</v>
      </c>
      <c r="Y55">
        <f t="shared" si="77"/>
        <v>65.158916245034575</v>
      </c>
      <c r="AA55" t="s">
        <v>15</v>
      </c>
      <c r="AB55">
        <f>MAX(AB37:AB52)</f>
        <v>20.112125074683792</v>
      </c>
      <c r="AC55">
        <f t="shared" ref="AC55:AE55" si="78">MAX(AC37:AC52)</f>
        <v>40.946182011997543</v>
      </c>
      <c r="AD55">
        <f t="shared" si="78"/>
        <v>50.137970064615743</v>
      </c>
      <c r="AE55">
        <f t="shared" si="78"/>
        <v>88.276842385478815</v>
      </c>
      <c r="AG55" t="s">
        <v>15</v>
      </c>
      <c r="AH55">
        <f>MAX(AH37:AH52)</f>
        <v>43.635865374859399</v>
      </c>
      <c r="AI55">
        <f t="shared" ref="AI55:AK55" si="79">MAX(AI37:AI52)</f>
        <v>38.629185653774854</v>
      </c>
      <c r="AJ55">
        <f t="shared" si="79"/>
        <v>53.938632412284534</v>
      </c>
      <c r="AK55">
        <f t="shared" si="79"/>
        <v>88.249931934697486</v>
      </c>
    </row>
    <row r="56" spans="1:37" x14ac:dyDescent="0.25">
      <c r="A56" t="s">
        <v>16</v>
      </c>
      <c r="B56">
        <f>MIN(B37:B52)</f>
        <v>-48.396255240138366</v>
      </c>
      <c r="C56">
        <f t="shared" ref="C56:E56" si="80">MIN(C37:C52)</f>
        <v>-80.223832881474806</v>
      </c>
      <c r="D56">
        <f t="shared" si="80"/>
        <v>-70.272706217548546</v>
      </c>
      <c r="E56">
        <f t="shared" si="80"/>
        <v>-51.895924999245594</v>
      </c>
      <c r="G56" t="s">
        <v>16</v>
      </c>
      <c r="H56">
        <f>MIN(H37:H52)</f>
        <v>-28.121403835452551</v>
      </c>
      <c r="I56">
        <f t="shared" ref="I56:K56" si="81">MIN(I37:I52)</f>
        <v>-50.110126672116905</v>
      </c>
      <c r="J56">
        <f t="shared" si="81"/>
        <v>-31.690294359976107</v>
      </c>
      <c r="K56">
        <f t="shared" si="81"/>
        <v>21.710925064823677</v>
      </c>
      <c r="M56" t="s">
        <v>16</v>
      </c>
      <c r="N56">
        <f>MIN(N37:N52)</f>
        <v>-36.204036374632039</v>
      </c>
      <c r="O56">
        <f t="shared" ref="O56:Q56" si="82">MIN(O37:O52)</f>
        <v>-52.87074621235196</v>
      </c>
      <c r="P56">
        <f t="shared" si="82"/>
        <v>-45.855118841163417</v>
      </c>
      <c r="Q56">
        <f t="shared" si="82"/>
        <v>-121.05951038197635</v>
      </c>
      <c r="S56" s="4"/>
      <c r="U56" t="s">
        <v>16</v>
      </c>
      <c r="V56">
        <f>MIN(V37:V52)</f>
        <v>-48.396255240138366</v>
      </c>
      <c r="W56">
        <f t="shared" ref="W56:Y56" si="83">MIN(W37:W52)</f>
        <v>-80.223832881474806</v>
      </c>
      <c r="X56">
        <f t="shared" si="83"/>
        <v>-70.272706217548546</v>
      </c>
      <c r="Y56">
        <f t="shared" si="83"/>
        <v>-51.895924999245594</v>
      </c>
      <c r="AA56" t="s">
        <v>16</v>
      </c>
      <c r="AB56">
        <f>MIN(AB37:AB52)</f>
        <v>-28.121403835452551</v>
      </c>
      <c r="AC56">
        <f t="shared" ref="AC56:AE56" si="84">MIN(AC37:AC52)</f>
        <v>-4.3434946524709481</v>
      </c>
      <c r="AD56">
        <f t="shared" si="84"/>
        <v>-31.690294359976107</v>
      </c>
      <c r="AE56">
        <f t="shared" si="84"/>
        <v>21.710925064823677</v>
      </c>
      <c r="AG56" t="s">
        <v>16</v>
      </c>
      <c r="AH56">
        <f>MIN(AH37:AH52)</f>
        <v>-36.204036374632039</v>
      </c>
      <c r="AI56">
        <f t="shared" ref="AI56:AK56" si="85">MIN(AI37:AI52)</f>
        <v>-52.87074621235196</v>
      </c>
      <c r="AJ56">
        <f t="shared" si="85"/>
        <v>-45.855118841163417</v>
      </c>
      <c r="AK56">
        <f t="shared" si="85"/>
        <v>-2.94313562481363</v>
      </c>
    </row>
    <row r="57" spans="1:37" x14ac:dyDescent="0.25">
      <c r="A57" t="s">
        <v>17</v>
      </c>
      <c r="B57">
        <f>AVERAGE(B37:B52)</f>
        <v>0</v>
      </c>
      <c r="C57">
        <f t="shared" ref="C57:E57" si="86">AVERAGE(C37:C52)</f>
        <v>-2.2523414087783236</v>
      </c>
      <c r="D57">
        <f t="shared" si="86"/>
        <v>5.8204991071787395</v>
      </c>
      <c r="E57">
        <f t="shared" si="86"/>
        <v>13.098615738480381</v>
      </c>
      <c r="G57" t="s">
        <v>17</v>
      </c>
      <c r="H57">
        <f>AVERAGE(H37:H52)</f>
        <v>-5.0515147620444623E-15</v>
      </c>
      <c r="I57">
        <f t="shared" ref="I57:K57" si="87">AVERAGE(I37:I52)</f>
        <v>13.744274030045352</v>
      </c>
      <c r="J57">
        <f t="shared" si="87"/>
        <v>17.184884579633085</v>
      </c>
      <c r="K57">
        <f t="shared" si="87"/>
        <v>51.340868403364311</v>
      </c>
      <c r="M57" t="s">
        <v>17</v>
      </c>
      <c r="N57">
        <f>AVERAGE(N37:N52)</f>
        <v>-1.0325074129013956E-14</v>
      </c>
      <c r="O57">
        <f t="shared" ref="O57:Q57" si="88">AVERAGE(O37:O52)</f>
        <v>-12.758049999711719</v>
      </c>
      <c r="P57">
        <f t="shared" si="88"/>
        <v>-3.6461525442434715</v>
      </c>
      <c r="Q57">
        <f t="shared" si="88"/>
        <v>13.321706759102669</v>
      </c>
      <c r="S57" s="4"/>
      <c r="U57" t="s">
        <v>17</v>
      </c>
      <c r="V57">
        <f>AVERAGE(V37:V52)</f>
        <v>0</v>
      </c>
      <c r="W57">
        <f t="shared" ref="W57:Y57" si="89">AVERAGE(W37:W52)</f>
        <v>-2.2523414087783236</v>
      </c>
      <c r="X57">
        <f t="shared" si="89"/>
        <v>5.8204991071787395</v>
      </c>
      <c r="Y57">
        <f t="shared" si="89"/>
        <v>13.098615738480381</v>
      </c>
      <c r="AA57" t="s">
        <v>17</v>
      </c>
      <c r="AB57">
        <f>AVERAGE(AB37:AB52)</f>
        <v>-5.0515147620444623E-15</v>
      </c>
      <c r="AC57">
        <f t="shared" ref="AC57:AE57" si="90">AVERAGE(AC37:AC52)</f>
        <v>22.866331273211387</v>
      </c>
      <c r="AD57">
        <f t="shared" si="90"/>
        <v>17.184884579633085</v>
      </c>
      <c r="AE57">
        <f t="shared" si="90"/>
        <v>51.340868403364311</v>
      </c>
      <c r="AG57" t="s">
        <v>17</v>
      </c>
      <c r="AH57">
        <f>AVERAGE(AH37:AH52)</f>
        <v>-1.0325074129013956E-14</v>
      </c>
      <c r="AI57">
        <f t="shared" ref="AI57:AK57" si="91">AVERAGE(AI37:AI52)</f>
        <v>-12.758049999711719</v>
      </c>
      <c r="AJ57">
        <f t="shared" si="91"/>
        <v>-3.6461525442434715</v>
      </c>
      <c r="AK57">
        <f t="shared" si="91"/>
        <v>32.519023493542527</v>
      </c>
    </row>
    <row r="58" spans="1:37" x14ac:dyDescent="0.25">
      <c r="A58" t="s">
        <v>18</v>
      </c>
      <c r="B58">
        <f>STDEV(B37:B52)</f>
        <v>50.159935451997491</v>
      </c>
      <c r="C58">
        <f t="shared" ref="C58:E58" si="92">STDEV(C37:C52)</f>
        <v>52.311734657444994</v>
      </c>
      <c r="D58">
        <f t="shared" si="92"/>
        <v>42.410234517502339</v>
      </c>
      <c r="E58">
        <f t="shared" si="92"/>
        <v>52.388676485919845</v>
      </c>
      <c r="G58" t="s">
        <v>18</v>
      </c>
      <c r="H58">
        <f>STDEV(H37:H52)</f>
        <v>15.119397398917828</v>
      </c>
      <c r="I58">
        <f t="shared" ref="I58:K58" si="93">STDEV(I37:I52)</f>
        <v>28.821491118921809</v>
      </c>
      <c r="J58">
        <f t="shared" si="93"/>
        <v>29.551657882090691</v>
      </c>
      <c r="K58">
        <f t="shared" si="93"/>
        <v>23.861734541726968</v>
      </c>
      <c r="M58" t="s">
        <v>18</v>
      </c>
      <c r="N58">
        <f>STDEV(N37:N52)</f>
        <v>24.285810417684207</v>
      </c>
      <c r="O58">
        <f t="shared" ref="O58:Q58" si="94">STDEV(O37:O52)</f>
        <v>37.79129093973053</v>
      </c>
      <c r="P58">
        <f t="shared" si="94"/>
        <v>34.280054694585814</v>
      </c>
      <c r="Q58">
        <f t="shared" si="94"/>
        <v>60.958171622663613</v>
      </c>
      <c r="S58" s="4"/>
      <c r="U58" t="s">
        <v>18</v>
      </c>
      <c r="V58">
        <f>STDEV(V37:V52)</f>
        <v>50.159935451997491</v>
      </c>
      <c r="W58">
        <f t="shared" ref="W58:Y58" si="95">STDEV(W37:W52)</f>
        <v>52.311734657444994</v>
      </c>
      <c r="X58">
        <f t="shared" si="95"/>
        <v>42.410234517502339</v>
      </c>
      <c r="Y58">
        <f t="shared" si="95"/>
        <v>52.388676485919845</v>
      </c>
      <c r="AA58" t="s">
        <v>18</v>
      </c>
      <c r="AB58">
        <f>STDEV(AB37:AB52)</f>
        <v>15.119397398917828</v>
      </c>
      <c r="AC58">
        <f t="shared" ref="AC58:AE58" si="96">STDEV(AC37:AC52)</f>
        <v>13.873718948435901</v>
      </c>
      <c r="AD58">
        <f t="shared" si="96"/>
        <v>29.551657882090691</v>
      </c>
      <c r="AE58">
        <f t="shared" si="96"/>
        <v>23.861734541726968</v>
      </c>
      <c r="AG58" t="s">
        <v>18</v>
      </c>
      <c r="AH58">
        <f>STDEV(AH37:AH52)</f>
        <v>24.285810417684207</v>
      </c>
      <c r="AI58">
        <f t="shared" ref="AI58:AK58" si="97">STDEV(AI37:AI52)</f>
        <v>37.79129093973053</v>
      </c>
      <c r="AJ58">
        <f t="shared" si="97"/>
        <v>34.280054694585814</v>
      </c>
      <c r="AK58">
        <f t="shared" si="97"/>
        <v>29.925520057057518</v>
      </c>
    </row>
    <row r="59" spans="1:37" x14ac:dyDescent="0.25">
      <c r="A59" t="s">
        <v>19</v>
      </c>
      <c r="B59">
        <f>B57+2*B58</f>
        <v>100.31987090399498</v>
      </c>
      <c r="C59">
        <f t="shared" ref="C59:E59" si="98">C57+2*C58</f>
        <v>102.37112790611167</v>
      </c>
      <c r="D59">
        <f t="shared" si="98"/>
        <v>90.640968142183411</v>
      </c>
      <c r="E59">
        <f t="shared" si="98"/>
        <v>117.87596871032007</v>
      </c>
      <c r="G59" t="s">
        <v>19</v>
      </c>
      <c r="H59">
        <f>H57+2*H58</f>
        <v>30.238794797835652</v>
      </c>
      <c r="I59">
        <f t="shared" ref="I59:K59" si="99">I57+2*I58</f>
        <v>71.387256267888972</v>
      </c>
      <c r="J59">
        <f t="shared" si="99"/>
        <v>76.288200343814466</v>
      </c>
      <c r="K59">
        <f t="shared" si="99"/>
        <v>99.064337486818246</v>
      </c>
      <c r="M59" t="s">
        <v>19</v>
      </c>
      <c r="N59">
        <f>N57+2*N58</f>
        <v>48.571620835368407</v>
      </c>
      <c r="O59">
        <f t="shared" ref="O59:Q59" si="100">O57+2*O58</f>
        <v>62.824531879749344</v>
      </c>
      <c r="P59">
        <f t="shared" si="100"/>
        <v>64.913956844928151</v>
      </c>
      <c r="Q59">
        <f t="shared" si="100"/>
        <v>135.23805000442991</v>
      </c>
      <c r="S59" s="4"/>
      <c r="U59" t="s">
        <v>19</v>
      </c>
      <c r="V59">
        <f>V57+2*V58</f>
        <v>100.31987090399498</v>
      </c>
      <c r="W59">
        <f t="shared" ref="W59:Y59" si="101">W57+2*W58</f>
        <v>102.37112790611167</v>
      </c>
      <c r="X59">
        <f t="shared" si="101"/>
        <v>90.640968142183411</v>
      </c>
      <c r="Y59">
        <f t="shared" si="101"/>
        <v>117.87596871032007</v>
      </c>
      <c r="AA59" t="s">
        <v>19</v>
      </c>
      <c r="AB59">
        <f>AB57+2*AB58</f>
        <v>30.238794797835652</v>
      </c>
      <c r="AC59">
        <f t="shared" ref="AC59:AE59" si="102">AC57+2*AC58</f>
        <v>50.613769170083188</v>
      </c>
      <c r="AD59">
        <f t="shared" si="102"/>
        <v>76.288200343814466</v>
      </c>
      <c r="AE59">
        <f t="shared" si="102"/>
        <v>99.064337486818246</v>
      </c>
      <c r="AG59" t="s">
        <v>19</v>
      </c>
      <c r="AH59">
        <f>AH57+2*AH58</f>
        <v>48.571620835368407</v>
      </c>
      <c r="AI59">
        <f t="shared" ref="AI59:AK59" si="103">AI57+2*AI58</f>
        <v>62.824531879749344</v>
      </c>
      <c r="AJ59">
        <f t="shared" si="103"/>
        <v>64.913956844928151</v>
      </c>
      <c r="AK59">
        <f t="shared" si="103"/>
        <v>92.370063607657556</v>
      </c>
    </row>
    <row r="60" spans="1:37" x14ac:dyDescent="0.25">
      <c r="A60" t="s">
        <v>20</v>
      </c>
      <c r="B60">
        <f>B57-2*B58</f>
        <v>-100.31987090399498</v>
      </c>
      <c r="C60">
        <f t="shared" ref="C60:E60" si="104">C57-2*C58</f>
        <v>-106.87581072366831</v>
      </c>
      <c r="D60">
        <f t="shared" si="104"/>
        <v>-78.999969927825944</v>
      </c>
      <c r="E60">
        <f t="shared" si="104"/>
        <v>-91.678737233359314</v>
      </c>
      <c r="G60" t="s">
        <v>20</v>
      </c>
      <c r="H60">
        <f>H57-2*H58</f>
        <v>-30.238794797835659</v>
      </c>
      <c r="I60">
        <f t="shared" ref="I60:K60" si="105">I57-2*I58</f>
        <v>-43.898708207798265</v>
      </c>
      <c r="J60">
        <f t="shared" si="105"/>
        <v>-41.918431184548297</v>
      </c>
      <c r="K60">
        <f t="shared" si="105"/>
        <v>3.6173993199103762</v>
      </c>
      <c r="M60" t="s">
        <v>20</v>
      </c>
      <c r="N60">
        <f>N57-2*N58</f>
        <v>-48.571620835368421</v>
      </c>
      <c r="O60">
        <f t="shared" ref="O60:Q60" si="106">O57-2*O58</f>
        <v>-88.340631879172776</v>
      </c>
      <c r="P60">
        <f t="shared" si="106"/>
        <v>-72.206261933415107</v>
      </c>
      <c r="Q60">
        <f t="shared" si="106"/>
        <v>-108.59463648622456</v>
      </c>
      <c r="S60" s="4"/>
      <c r="U60" t="s">
        <v>20</v>
      </c>
      <c r="V60">
        <f>V57-2*V58</f>
        <v>-100.31987090399498</v>
      </c>
      <c r="W60">
        <f t="shared" ref="W60:Y60" si="107">W57-2*W58</f>
        <v>-106.87581072366831</v>
      </c>
      <c r="X60">
        <f t="shared" si="107"/>
        <v>-78.999969927825944</v>
      </c>
      <c r="Y60">
        <f t="shared" si="107"/>
        <v>-91.678737233359314</v>
      </c>
      <c r="AA60" t="s">
        <v>20</v>
      </c>
      <c r="AB60">
        <f>AB57-2*AB58</f>
        <v>-30.238794797835659</v>
      </c>
      <c r="AC60">
        <f t="shared" ref="AC60:AE60" si="108">AC57-2*AC58</f>
        <v>-4.8811066236604148</v>
      </c>
      <c r="AD60">
        <f t="shared" si="108"/>
        <v>-41.918431184548297</v>
      </c>
      <c r="AE60">
        <f t="shared" si="108"/>
        <v>3.6173993199103762</v>
      </c>
      <c r="AG60" t="s">
        <v>20</v>
      </c>
      <c r="AH60">
        <f>AH57-2*AH58</f>
        <v>-48.571620835368421</v>
      </c>
      <c r="AI60">
        <f t="shared" ref="AI60:AK60" si="109">AI57-2*AI58</f>
        <v>-88.340631879172776</v>
      </c>
      <c r="AJ60">
        <f t="shared" si="109"/>
        <v>-72.206261933415107</v>
      </c>
      <c r="AK60">
        <f t="shared" si="109"/>
        <v>-27.33201662057251</v>
      </c>
    </row>
    <row r="61" spans="1:37" x14ac:dyDescent="0.25">
      <c r="A61" t="s">
        <v>21</v>
      </c>
      <c r="B61">
        <f>VAR(B37:B52)</f>
        <v>2516.0191245485548</v>
      </c>
      <c r="C61">
        <f t="shared" ref="C61:E61" si="110">VAR(C37:C52)</f>
        <v>2736.5175828709316</v>
      </c>
      <c r="D61">
        <f t="shared" si="110"/>
        <v>1798.6279918295465</v>
      </c>
      <c r="E61">
        <f t="shared" si="110"/>
        <v>2744.5734239463709</v>
      </c>
      <c r="G61" t="s">
        <v>21</v>
      </c>
      <c r="H61">
        <f>VAR(H37:H52)</f>
        <v>228.59617770640315</v>
      </c>
      <c r="I61">
        <f t="shared" ref="I61:K61" si="111">VAR(I37:I52)</f>
        <v>830.67835031808875</v>
      </c>
      <c r="J61">
        <f t="shared" si="111"/>
        <v>873.30048358013289</v>
      </c>
      <c r="K61">
        <f t="shared" si="111"/>
        <v>569.38237533984591</v>
      </c>
      <c r="M61" t="s">
        <v>21</v>
      </c>
      <c r="N61">
        <f>VAR(N37:N52)</f>
        <v>589.8005876436988</v>
      </c>
      <c r="O61">
        <f t="shared" ref="O61:Q61" si="112">VAR(O37:O52)</f>
        <v>1428.1816708913589</v>
      </c>
      <c r="P61">
        <f t="shared" si="112"/>
        <v>1175.1221498637951</v>
      </c>
      <c r="Q61">
        <f t="shared" si="112"/>
        <v>3715.8986875781111</v>
      </c>
      <c r="S61" s="4"/>
      <c r="U61" t="s">
        <v>21</v>
      </c>
      <c r="V61">
        <f>VAR(V37:V52)</f>
        <v>2516.0191245485548</v>
      </c>
      <c r="W61">
        <f t="shared" ref="W61:Y61" si="113">VAR(W37:W52)</f>
        <v>2736.5175828709316</v>
      </c>
      <c r="X61">
        <f t="shared" si="113"/>
        <v>1798.6279918295465</v>
      </c>
      <c r="Y61">
        <f t="shared" si="113"/>
        <v>2744.5734239463709</v>
      </c>
      <c r="AA61" t="s">
        <v>21</v>
      </c>
      <c r="AB61">
        <f>VAR(AB37:AB52)</f>
        <v>228.59617770640315</v>
      </c>
      <c r="AC61">
        <f t="shared" ref="AC61:AE61" si="114">VAR(AC37:AC52)</f>
        <v>192.48007746018934</v>
      </c>
      <c r="AD61">
        <f t="shared" si="114"/>
        <v>873.30048358013289</v>
      </c>
      <c r="AE61">
        <f t="shared" si="114"/>
        <v>569.38237533984591</v>
      </c>
      <c r="AG61" t="s">
        <v>21</v>
      </c>
      <c r="AH61">
        <f>VAR(AH37:AH52)</f>
        <v>589.8005876436988</v>
      </c>
      <c r="AI61">
        <f t="shared" ref="AI61:AK61" si="115">VAR(AI37:AI52)</f>
        <v>1428.1816708913589</v>
      </c>
      <c r="AJ61">
        <f t="shared" si="115"/>
        <v>1175.1221498637951</v>
      </c>
      <c r="AK61">
        <f t="shared" si="115"/>
        <v>895.53675068535188</v>
      </c>
    </row>
    <row r="62" spans="1:37" x14ac:dyDescent="0.25">
      <c r="S62" s="4"/>
    </row>
    <row r="63" spans="1:37" x14ac:dyDescent="0.25">
      <c r="A63" t="s">
        <v>22</v>
      </c>
      <c r="S63" s="4"/>
      <c r="U63" t="s">
        <v>22</v>
      </c>
    </row>
    <row r="64" spans="1:37" x14ac:dyDescent="0.25">
      <c r="A64" t="s">
        <v>1</v>
      </c>
      <c r="B64" t="e">
        <f>TTEST(B45:B52,H45:H52,2,3)</f>
        <v>#DIV/0!</v>
      </c>
      <c r="S64" s="4"/>
      <c r="U64" t="s">
        <v>1</v>
      </c>
      <c r="V64" t="e">
        <f>TTEST(V45:V52,AB45:AB52,2,3)</f>
        <v>#DIV/0!</v>
      </c>
    </row>
    <row r="65" spans="1:37" x14ac:dyDescent="0.25">
      <c r="A65" t="s">
        <v>2</v>
      </c>
      <c r="B65" t="e">
        <f>TTEST(C45:C52,I45:I52,2,3)</f>
        <v>#DIV/0!</v>
      </c>
      <c r="S65" s="4"/>
      <c r="U65" t="s">
        <v>2</v>
      </c>
      <c r="V65" t="e">
        <f>TTEST(W45:W52,AC45:AC52,2,3)</f>
        <v>#DIV/0!</v>
      </c>
    </row>
    <row r="66" spans="1:37" x14ac:dyDescent="0.25">
      <c r="A66" t="s">
        <v>3</v>
      </c>
      <c r="B66" t="e">
        <f>TTEST(D45:D52,J45:J52,2,3)</f>
        <v>#DIV/0!</v>
      </c>
      <c r="S66" s="4"/>
      <c r="U66" t="s">
        <v>3</v>
      </c>
      <c r="V66" t="e">
        <f>TTEST(X45:X52,AD45:AD52,2,3)</f>
        <v>#DIV/0!</v>
      </c>
    </row>
    <row r="67" spans="1:37" x14ac:dyDescent="0.25">
      <c r="A67" t="s">
        <v>4</v>
      </c>
      <c r="B67" t="e">
        <f>TTEST(E45:E52,K45:K52,2,3)</f>
        <v>#DIV/0!</v>
      </c>
      <c r="S67" s="4"/>
      <c r="U67" t="s">
        <v>4</v>
      </c>
      <c r="V67" t="e">
        <f>TTEST(Y45:Y52,AE45:AE52,2,3)</f>
        <v>#DIV/0!</v>
      </c>
    </row>
    <row r="68" spans="1:37" x14ac:dyDescent="0.25">
      <c r="S68" s="4"/>
    </row>
    <row r="69" spans="1:37" x14ac:dyDescent="0.25">
      <c r="A69" t="s">
        <v>26</v>
      </c>
      <c r="S69" s="4"/>
      <c r="U69" t="s">
        <v>26</v>
      </c>
    </row>
    <row r="70" spans="1:37" x14ac:dyDescent="0.25">
      <c r="A70" s="1" t="s">
        <v>29</v>
      </c>
      <c r="B70" s="1" t="s">
        <v>1</v>
      </c>
      <c r="C70" s="1" t="s">
        <v>2</v>
      </c>
      <c r="D70" s="1" t="s">
        <v>3</v>
      </c>
      <c r="E70" s="1" t="s">
        <v>4</v>
      </c>
      <c r="G70" s="1" t="s">
        <v>30</v>
      </c>
      <c r="H70" s="1" t="s">
        <v>1</v>
      </c>
      <c r="I70" s="1" t="s">
        <v>2</v>
      </c>
      <c r="J70" s="1" t="s">
        <v>3</v>
      </c>
      <c r="K70" s="1" t="s">
        <v>4</v>
      </c>
      <c r="M70" s="1" t="s">
        <v>31</v>
      </c>
      <c r="N70" s="1" t="s">
        <v>1</v>
      </c>
      <c r="O70" s="1" t="s">
        <v>2</v>
      </c>
      <c r="P70" s="1" t="s">
        <v>3</v>
      </c>
      <c r="Q70" s="1" t="s">
        <v>4</v>
      </c>
      <c r="R70" s="1"/>
      <c r="S70" s="4"/>
      <c r="U70" s="1" t="s">
        <v>29</v>
      </c>
      <c r="V70" s="1" t="s">
        <v>1</v>
      </c>
      <c r="W70" s="1" t="s">
        <v>2</v>
      </c>
      <c r="X70" s="1" t="s">
        <v>3</v>
      </c>
      <c r="Y70" s="1" t="s">
        <v>4</v>
      </c>
      <c r="AA70" s="1" t="s">
        <v>30</v>
      </c>
      <c r="AB70" s="1" t="s">
        <v>1</v>
      </c>
      <c r="AC70" s="1" t="s">
        <v>2</v>
      </c>
      <c r="AD70" s="1" t="s">
        <v>3</v>
      </c>
      <c r="AE70" s="1" t="s">
        <v>4</v>
      </c>
      <c r="AG70" s="1" t="s">
        <v>31</v>
      </c>
      <c r="AH70" s="1" t="s">
        <v>1</v>
      </c>
      <c r="AI70" s="1" t="s">
        <v>2</v>
      </c>
      <c r="AJ70" s="1" t="s">
        <v>3</v>
      </c>
      <c r="AK70" s="1" t="s">
        <v>4</v>
      </c>
    </row>
    <row r="71" spans="1:37" x14ac:dyDescent="0.25">
      <c r="A71" t="s">
        <v>5</v>
      </c>
      <c r="B71" s="3"/>
      <c r="C71" s="3">
        <f>-((C3-B$23)/B$23)*100</f>
        <v>-2.937756988723971</v>
      </c>
      <c r="D71" s="3">
        <f t="shared" ref="D71:E78" si="116">-((D3-C$23)/C$23)*100</f>
        <v>33.480117568498066</v>
      </c>
      <c r="E71" s="3">
        <f t="shared" si="116"/>
        <v>-61.283425330642949</v>
      </c>
      <c r="G71" t="s">
        <v>5</v>
      </c>
      <c r="H71" s="3"/>
      <c r="I71" s="3">
        <f>-((I3-H$23)/H$23)*100</f>
        <v>20.929434733374013</v>
      </c>
      <c r="J71" s="3">
        <f>-((J3-I$23)/I$23)*100</f>
        <v>27.970801853241252</v>
      </c>
      <c r="K71" s="3">
        <f>-((K3-J$23)/J$23)*100</f>
        <v>24.698973398545593</v>
      </c>
      <c r="M71" t="s">
        <v>5</v>
      </c>
      <c r="N71" s="3"/>
      <c r="O71" s="3">
        <f>-((O3-N$23)/N$23)*100</f>
        <v>-21.68607099187405</v>
      </c>
      <c r="P71" s="3">
        <f t="shared" ref="P71:Q78" si="117">-((P3-O$23)/O$23)*100</f>
        <v>-16.198232733749826</v>
      </c>
      <c r="Q71" s="3">
        <f t="shared" si="117"/>
        <v>-113.28289083148802</v>
      </c>
      <c r="R71" s="3"/>
      <c r="S71" s="4"/>
      <c r="U71" t="s">
        <v>5</v>
      </c>
      <c r="V71" s="3"/>
      <c r="W71" s="3">
        <f>-((W3-V$23)/V$23)*100</f>
        <v>-2.937756988723971</v>
      </c>
      <c r="X71" s="3">
        <f t="shared" ref="X71:X74" si="118">-((X3-W$23)/W$23)*100</f>
        <v>33.480117568498066</v>
      </c>
      <c r="Y71" s="3">
        <f t="shared" ref="Y71" si="119">-((Y3-X$23)/X$23)*100</f>
        <v>-61.283425330642949</v>
      </c>
      <c r="AA71" t="s">
        <v>5</v>
      </c>
      <c r="AB71" s="3"/>
      <c r="AC71" s="3">
        <f>-((AC3-AB$23)/AB$23)*100</f>
        <v>20.929434733374013</v>
      </c>
      <c r="AD71" s="3">
        <f>-((AD3-AC$23)/AC$23)*100</f>
        <v>19.452414493741951</v>
      </c>
      <c r="AE71" s="3">
        <f>-((AE3-AD$23)/AD$23)*100</f>
        <v>24.698973398545593</v>
      </c>
      <c r="AG71" t="s">
        <v>5</v>
      </c>
      <c r="AH71" s="3"/>
      <c r="AI71" s="3">
        <f>-((AI3-AH$23)/AH$23)*100</f>
        <v>-21.68607099187405</v>
      </c>
      <c r="AJ71" s="3">
        <f t="shared" ref="AJ71:AJ78" si="120">-((AJ3-AI$23)/AI$23)*100</f>
        <v>-16.198232733749826</v>
      </c>
      <c r="AK71" s="3"/>
    </row>
    <row r="72" spans="1:37" x14ac:dyDescent="0.25">
      <c r="A72" t="s">
        <v>7</v>
      </c>
      <c r="B72" s="3"/>
      <c r="C72" s="3">
        <f t="shared" ref="C72:C78" si="121">-((C4-B$23)/B$23)*100</f>
        <v>-80.223832881474806</v>
      </c>
      <c r="D72" s="3">
        <f t="shared" si="116"/>
        <v>37.188590811253555</v>
      </c>
      <c r="E72" s="3"/>
      <c r="G72" t="s">
        <v>7</v>
      </c>
      <c r="H72" s="3"/>
      <c r="I72" s="3">
        <f t="shared" ref="I72:K78" si="122">-((I4-H$23)/H$23)*100</f>
        <v>29.393083447295581</v>
      </c>
      <c r="J72" s="3">
        <f t="shared" si="122"/>
        <v>-2.7979711715778235</v>
      </c>
      <c r="K72" s="3">
        <f t="shared" si="122"/>
        <v>5.4652347729234538</v>
      </c>
      <c r="M72" t="s">
        <v>7</v>
      </c>
      <c r="N72" s="3"/>
      <c r="O72" s="3">
        <f t="shared" ref="O72:O78" si="123">-((O4-N$23)/N$23)*100</f>
        <v>-52.528334951308473</v>
      </c>
      <c r="P72" s="3">
        <f t="shared" si="117"/>
        <v>7.4640841649908847</v>
      </c>
      <c r="Q72" s="3">
        <f t="shared" si="117"/>
        <v>16.433317027411981</v>
      </c>
      <c r="R72" s="3"/>
      <c r="S72" s="4"/>
      <c r="U72" t="s">
        <v>7</v>
      </c>
      <c r="V72" s="3"/>
      <c r="W72" s="3">
        <f t="shared" ref="W72:W78" si="124">-((W4-V$23)/V$23)*100</f>
        <v>-80.223832881474806</v>
      </c>
      <c r="X72" s="3">
        <f t="shared" si="118"/>
        <v>37.188590811253555</v>
      </c>
      <c r="Y72" s="3"/>
      <c r="AA72" t="s">
        <v>7</v>
      </c>
      <c r="AB72" s="3"/>
      <c r="AC72" s="3">
        <f t="shared" ref="AC72:AE72" si="125">-((AC4-AB$23)/AB$23)*100</f>
        <v>29.393083447295581</v>
      </c>
      <c r="AD72" s="3">
        <f t="shared" si="125"/>
        <v>-14.955165208723248</v>
      </c>
      <c r="AE72" s="3">
        <f t="shared" si="125"/>
        <v>5.4652347729234538</v>
      </c>
      <c r="AG72" t="s">
        <v>7</v>
      </c>
      <c r="AH72" s="3"/>
      <c r="AI72" s="3">
        <f t="shared" ref="AI72:AI78" si="126">-((AI4-AH$23)/AH$23)*100</f>
        <v>-52.528334951308473</v>
      </c>
      <c r="AJ72" s="3">
        <f t="shared" si="120"/>
        <v>7.4640841649908847</v>
      </c>
      <c r="AK72" s="3">
        <f t="shared" ref="AK72:AK78" si="127">-((AK4-AJ$23)/AJ$23)*100</f>
        <v>16.433317027411981</v>
      </c>
    </row>
    <row r="73" spans="1:37" x14ac:dyDescent="0.25">
      <c r="A73" t="s">
        <v>8</v>
      </c>
      <c r="B73" s="3"/>
      <c r="C73" s="3">
        <f t="shared" si="121"/>
        <v>-46.362081117726092</v>
      </c>
      <c r="D73" s="3">
        <f t="shared" si="116"/>
        <v>-66.522060885473991</v>
      </c>
      <c r="E73" s="3">
        <f t="shared" si="116"/>
        <v>-34.258864064622848</v>
      </c>
      <c r="G73" t="s">
        <v>8</v>
      </c>
      <c r="H73" s="3"/>
      <c r="I73" s="3">
        <f t="shared" si="122"/>
        <v>-50.110126672116905</v>
      </c>
      <c r="J73" s="3">
        <f t="shared" si="122"/>
        <v>-52.674263510166995</v>
      </c>
      <c r="K73" s="3">
        <f t="shared" si="122"/>
        <v>49.886181523576738</v>
      </c>
      <c r="M73" t="s">
        <v>8</v>
      </c>
      <c r="N73" s="3"/>
      <c r="O73" s="3">
        <f t="shared" si="123"/>
        <v>-52.87074621235196</v>
      </c>
      <c r="P73" s="3">
        <f t="shared" si="117"/>
        <v>-29.352289119523</v>
      </c>
      <c r="Q73" s="3">
        <f t="shared" si="117"/>
        <v>45.558759532106976</v>
      </c>
      <c r="R73" s="3"/>
      <c r="S73" s="4"/>
      <c r="U73" t="s">
        <v>8</v>
      </c>
      <c r="V73" s="3"/>
      <c r="W73" s="3">
        <f t="shared" si="124"/>
        <v>-46.362081117726092</v>
      </c>
      <c r="X73" s="3">
        <f t="shared" si="118"/>
        <v>-66.522060885473991</v>
      </c>
      <c r="Y73" s="3">
        <f t="shared" ref="Y73:Y74" si="128">-((Y5-X$23)/X$23)*100</f>
        <v>-34.258864064622848</v>
      </c>
      <c r="AA73" t="s">
        <v>8</v>
      </c>
      <c r="AB73" s="3"/>
      <c r="AC73" s="3"/>
      <c r="AD73" s="3">
        <f t="shared" ref="AD73:AE73" si="129">-((AD5-AC$23)/AC$23)*100</f>
        <v>-70.729976330349132</v>
      </c>
      <c r="AE73" s="3">
        <f t="shared" si="129"/>
        <v>49.886181523576738</v>
      </c>
      <c r="AG73" t="s">
        <v>8</v>
      </c>
      <c r="AH73" s="3"/>
      <c r="AI73" s="3">
        <f t="shared" si="126"/>
        <v>-52.87074621235196</v>
      </c>
      <c r="AJ73" s="3">
        <f t="shared" si="120"/>
        <v>-29.352289119523</v>
      </c>
      <c r="AK73" s="3">
        <f t="shared" si="127"/>
        <v>45.558759532106976</v>
      </c>
    </row>
    <row r="74" spans="1:37" x14ac:dyDescent="0.25">
      <c r="A74" t="s">
        <v>9</v>
      </c>
      <c r="B74" s="3"/>
      <c r="C74" s="3">
        <f t="shared" si="121"/>
        <v>-29.967335005119061</v>
      </c>
      <c r="D74" s="3">
        <f t="shared" si="116"/>
        <v>35.450404355109853</v>
      </c>
      <c r="E74" s="3">
        <f t="shared" si="116"/>
        <v>10.650941914582233</v>
      </c>
      <c r="G74" t="s">
        <v>9</v>
      </c>
      <c r="H74" s="3"/>
      <c r="I74" s="3">
        <f t="shared" si="122"/>
        <v>26.071829862505346</v>
      </c>
      <c r="J74" s="3">
        <f t="shared" si="122"/>
        <v>5.3626363158707431</v>
      </c>
      <c r="K74" s="3">
        <f t="shared" si="122"/>
        <v>16.82976569426107</v>
      </c>
      <c r="M74" t="s">
        <v>9</v>
      </c>
      <c r="N74" s="3"/>
      <c r="O74" s="3">
        <f t="shared" si="123"/>
        <v>-41.303016399190994</v>
      </c>
      <c r="P74" s="3">
        <f t="shared" si="117"/>
        <v>-24.589494523656356</v>
      </c>
      <c r="Q74" s="3">
        <f t="shared" si="117"/>
        <v>20.665983040748827</v>
      </c>
      <c r="R74" s="3"/>
      <c r="S74" s="4"/>
      <c r="U74" t="s">
        <v>9</v>
      </c>
      <c r="V74" s="3"/>
      <c r="W74" s="3">
        <f t="shared" si="124"/>
        <v>-29.967335005119061</v>
      </c>
      <c r="X74" s="3">
        <f t="shared" si="118"/>
        <v>35.450404355109853</v>
      </c>
      <c r="Y74" s="3">
        <f t="shared" si="128"/>
        <v>10.650941914582233</v>
      </c>
      <c r="AA74" t="s">
        <v>9</v>
      </c>
      <c r="AB74" s="3"/>
      <c r="AC74" s="3">
        <f t="shared" ref="AC74:AE74" si="130">-((AC6-AB$23)/AB$23)*100</f>
        <v>26.071829862505346</v>
      </c>
      <c r="AD74" s="3">
        <f t="shared" si="130"/>
        <v>-5.8294599906949154</v>
      </c>
      <c r="AE74" s="3">
        <f t="shared" si="130"/>
        <v>16.82976569426107</v>
      </c>
      <c r="AG74" t="s">
        <v>9</v>
      </c>
      <c r="AH74" s="3"/>
      <c r="AI74" s="3">
        <f t="shared" si="126"/>
        <v>-41.303016399190994</v>
      </c>
      <c r="AJ74" s="3">
        <f t="shared" si="120"/>
        <v>-24.589494523656356</v>
      </c>
      <c r="AK74" s="3">
        <f t="shared" si="127"/>
        <v>20.665983040748827</v>
      </c>
    </row>
    <row r="75" spans="1:37" x14ac:dyDescent="0.25">
      <c r="A75" t="s">
        <v>10</v>
      </c>
      <c r="B75" s="3"/>
      <c r="C75" s="3">
        <f t="shared" si="121"/>
        <v>45.311426404267579</v>
      </c>
      <c r="D75" s="3"/>
      <c r="E75" s="3"/>
      <c r="G75" t="s">
        <v>10</v>
      </c>
      <c r="H75" s="3"/>
      <c r="I75" s="3">
        <f t="shared" si="122"/>
        <v>-4.3434946524709481</v>
      </c>
      <c r="J75" s="3">
        <f t="shared" si="122"/>
        <v>-40.165285020063237</v>
      </c>
      <c r="K75" s="3">
        <f t="shared" si="122"/>
        <v>73.589783604639564</v>
      </c>
      <c r="M75" t="s">
        <v>10</v>
      </c>
      <c r="N75" s="3"/>
      <c r="O75" s="3">
        <f t="shared" si="123"/>
        <v>38.629185653774854</v>
      </c>
      <c r="P75" s="3">
        <f t="shared" si="117"/>
        <v>13.073309827700177</v>
      </c>
      <c r="Q75" s="3">
        <f t="shared" si="117"/>
        <v>88.663285826951693</v>
      </c>
      <c r="R75" s="3"/>
      <c r="S75" s="4"/>
      <c r="U75" t="s">
        <v>10</v>
      </c>
      <c r="V75" s="3"/>
      <c r="W75" s="3">
        <f t="shared" si="124"/>
        <v>45.311426404267579</v>
      </c>
      <c r="X75" s="3"/>
      <c r="Y75" s="3"/>
      <c r="AA75" t="s">
        <v>10</v>
      </c>
      <c r="AB75" s="3"/>
      <c r="AC75" s="3">
        <f t="shared" ref="AC75:AE75" si="131">-((AC7-AB$23)/AB$23)*100</f>
        <v>-4.3434946524709481</v>
      </c>
      <c r="AD75" s="3">
        <f t="shared" si="131"/>
        <v>-56.741648812463055</v>
      </c>
      <c r="AE75" s="3">
        <f t="shared" si="131"/>
        <v>73.589783604639564</v>
      </c>
      <c r="AG75" t="s">
        <v>10</v>
      </c>
      <c r="AH75" s="3"/>
      <c r="AI75" s="3">
        <f t="shared" si="126"/>
        <v>38.629185653774854</v>
      </c>
      <c r="AJ75" s="3">
        <f t="shared" si="120"/>
        <v>13.073309827700177</v>
      </c>
      <c r="AK75" s="3">
        <f t="shared" si="127"/>
        <v>88.663285826951693</v>
      </c>
    </row>
    <row r="76" spans="1:37" x14ac:dyDescent="0.25">
      <c r="A76" t="s">
        <v>11</v>
      </c>
      <c r="B76" s="3"/>
      <c r="C76" s="3">
        <f t="shared" si="121"/>
        <v>74.612234026269974</v>
      </c>
      <c r="D76" s="3">
        <f t="shared" si="116"/>
        <v>23.370711572192334</v>
      </c>
      <c r="E76" s="3"/>
      <c r="G76" t="s">
        <v>11</v>
      </c>
      <c r="H76" s="3"/>
      <c r="I76" s="3">
        <f t="shared" si="122"/>
        <v>40.946182011997543</v>
      </c>
      <c r="J76" s="3">
        <f t="shared" si="122"/>
        <v>24.667876879460319</v>
      </c>
      <c r="K76" s="3">
        <f t="shared" si="122"/>
        <v>20.814213177721715</v>
      </c>
      <c r="M76" t="s">
        <v>11</v>
      </c>
      <c r="N76" s="3"/>
      <c r="O76" s="3">
        <f t="shared" si="123"/>
        <v>-25.608724869625437</v>
      </c>
      <c r="P76" s="3">
        <f t="shared" si="117"/>
        <v>59.150262364564455</v>
      </c>
      <c r="Q76" s="3">
        <f t="shared" si="117"/>
        <v>0.67828559205779182</v>
      </c>
      <c r="R76" s="3"/>
      <c r="S76" s="4"/>
      <c r="U76" t="s">
        <v>11</v>
      </c>
      <c r="V76" s="3"/>
      <c r="W76" s="3">
        <f t="shared" si="124"/>
        <v>74.612234026269974</v>
      </c>
      <c r="X76" s="3">
        <f t="shared" ref="X76" si="132">-((X8-W$23)/W$23)*100</f>
        <v>23.370711572192334</v>
      </c>
      <c r="Y76" s="3"/>
      <c r="AA76" t="s">
        <v>11</v>
      </c>
      <c r="AB76" s="3"/>
      <c r="AC76" s="3">
        <f t="shared" ref="AC76:AE76" si="133">-((AC8-AB$23)/AB$23)*100</f>
        <v>40.946182011997543</v>
      </c>
      <c r="AD76" s="3">
        <f t="shared" si="133"/>
        <v>15.758875781783569</v>
      </c>
      <c r="AE76" s="3">
        <f t="shared" si="133"/>
        <v>20.814213177721715</v>
      </c>
      <c r="AG76" t="s">
        <v>11</v>
      </c>
      <c r="AH76" s="3"/>
      <c r="AI76" s="3">
        <f t="shared" si="126"/>
        <v>-25.608724869625437</v>
      </c>
      <c r="AJ76" s="3">
        <f t="shared" si="120"/>
        <v>59.150262364564455</v>
      </c>
      <c r="AK76" s="3">
        <f t="shared" si="127"/>
        <v>0.67828559205779182</v>
      </c>
    </row>
    <row r="77" spans="1:37" x14ac:dyDescent="0.25">
      <c r="A77" t="s">
        <v>12</v>
      </c>
      <c r="B77" s="3"/>
      <c r="C77" s="3">
        <f t="shared" si="121"/>
        <v>41.20412546087767</v>
      </c>
      <c r="D77" s="3"/>
      <c r="E77" s="3">
        <f t="shared" si="116"/>
        <v>63.005661078395939</v>
      </c>
      <c r="G77" t="s">
        <v>12</v>
      </c>
      <c r="H77" s="3"/>
      <c r="I77" s="3">
        <f t="shared" si="122"/>
        <v>19.653632398805772</v>
      </c>
      <c r="J77" s="3">
        <f t="shared" si="122"/>
        <v>27.354207095232724</v>
      </c>
      <c r="K77" s="3">
        <f t="shared" si="122"/>
        <v>85.84418127655222</v>
      </c>
      <c r="M77" t="s">
        <v>12</v>
      </c>
      <c r="N77" s="3"/>
      <c r="O77" s="3">
        <f t="shared" si="123"/>
        <v>26.705107460485756</v>
      </c>
      <c r="P77" s="3">
        <f t="shared" si="117"/>
        <v>30.726707242850772</v>
      </c>
      <c r="Q77" s="3">
        <f t="shared" si="117"/>
        <v>47.956917400515295</v>
      </c>
      <c r="R77" s="3"/>
      <c r="S77" s="4"/>
      <c r="U77" t="s">
        <v>12</v>
      </c>
      <c r="V77" s="3"/>
      <c r="W77" s="3">
        <f t="shared" si="124"/>
        <v>41.20412546087767</v>
      </c>
      <c r="X77" s="3"/>
      <c r="Y77" s="3">
        <f t="shared" ref="Y77:Y78" si="134">-((Y9-X$23)/X$23)*100</f>
        <v>63.005661078395939</v>
      </c>
      <c r="AA77" t="s">
        <v>12</v>
      </c>
      <c r="AB77" s="3"/>
      <c r="AC77" s="3">
        <f t="shared" ref="AC77:AE77" si="135">-((AC9-AB$23)/AB$23)*100</f>
        <v>19.653632398805772</v>
      </c>
      <c r="AD77" s="3">
        <f t="shared" si="135"/>
        <v>18.762899404427618</v>
      </c>
      <c r="AE77" s="3">
        <f t="shared" si="135"/>
        <v>85.84418127655222</v>
      </c>
      <c r="AG77" t="s">
        <v>12</v>
      </c>
      <c r="AH77" s="3"/>
      <c r="AI77" s="3">
        <f t="shared" si="126"/>
        <v>26.705107460485756</v>
      </c>
      <c r="AJ77" s="3">
        <f t="shared" si="120"/>
        <v>30.726707242850772</v>
      </c>
      <c r="AK77" s="3">
        <f t="shared" si="127"/>
        <v>47.956917400515295</v>
      </c>
    </row>
    <row r="78" spans="1:37" x14ac:dyDescent="0.25">
      <c r="A78" t="s">
        <v>13</v>
      </c>
      <c r="B78" s="3"/>
      <c r="C78" s="3">
        <f t="shared" si="121"/>
        <v>-19.655511168597883</v>
      </c>
      <c r="D78" s="3">
        <f t="shared" si="116"/>
        <v>-15.597656851497915</v>
      </c>
      <c r="E78" s="3">
        <f t="shared" si="116"/>
        <v>60.525287176899567</v>
      </c>
      <c r="G78" t="s">
        <v>13</v>
      </c>
      <c r="H78" s="3"/>
      <c r="I78" s="3">
        <f t="shared" si="122"/>
        <v>27.41365111097242</v>
      </c>
      <c r="J78" s="3">
        <f t="shared" si="122"/>
        <v>42.192788508031761</v>
      </c>
      <c r="K78" s="3">
        <f t="shared" si="122"/>
        <v>52.820938738206166</v>
      </c>
      <c r="M78" t="s">
        <v>13</v>
      </c>
      <c r="N78" s="3"/>
      <c r="O78" s="3">
        <f t="shared" si="123"/>
        <v>26.598200312396564</v>
      </c>
      <c r="P78" s="3">
        <f t="shared" si="117"/>
        <v>24.373081181209468</v>
      </c>
      <c r="Q78" s="3">
        <f t="shared" si="117"/>
        <v>24.293938501501607</v>
      </c>
      <c r="R78" s="3"/>
      <c r="S78" s="4"/>
      <c r="U78" t="s">
        <v>13</v>
      </c>
      <c r="V78" s="3"/>
      <c r="W78" s="3">
        <f t="shared" si="124"/>
        <v>-19.655511168597883</v>
      </c>
      <c r="X78" s="3">
        <f t="shared" ref="X78" si="136">-((X10-W$23)/W$23)*100</f>
        <v>-15.597656851497915</v>
      </c>
      <c r="Y78" s="3">
        <f t="shared" si="134"/>
        <v>60.525287176899567</v>
      </c>
      <c r="AA78" t="s">
        <v>13</v>
      </c>
      <c r="AB78" s="3"/>
      <c r="AC78" s="3">
        <f t="shared" ref="AC78:AE78" si="137">-((AC10-AB$23)/AB$23)*100</f>
        <v>27.41365111097242</v>
      </c>
      <c r="AD78" s="3">
        <f t="shared" si="137"/>
        <v>35.356335620443375</v>
      </c>
      <c r="AE78" s="3">
        <f t="shared" si="137"/>
        <v>52.820938738206166</v>
      </c>
      <c r="AG78" t="s">
        <v>13</v>
      </c>
      <c r="AH78" s="3"/>
      <c r="AI78" s="3">
        <f t="shared" si="126"/>
        <v>26.598200312396564</v>
      </c>
      <c r="AJ78" s="3">
        <f t="shared" si="120"/>
        <v>24.373081181209468</v>
      </c>
      <c r="AK78" s="3">
        <f t="shared" si="127"/>
        <v>24.293938501501607</v>
      </c>
    </row>
    <row r="79" spans="1:37" x14ac:dyDescent="0.25">
      <c r="A79" t="s">
        <v>5</v>
      </c>
      <c r="C79" s="3"/>
      <c r="D79" s="3"/>
      <c r="E79" s="3"/>
      <c r="G79" t="s">
        <v>5</v>
      </c>
      <c r="I79" s="3"/>
      <c r="J79" s="3"/>
      <c r="K79" s="3"/>
      <c r="M79" t="s">
        <v>5</v>
      </c>
      <c r="O79" s="3"/>
      <c r="P79" s="3"/>
      <c r="Q79" s="3"/>
      <c r="S79" s="4"/>
      <c r="U79" t="s">
        <v>5</v>
      </c>
      <c r="W79" s="3"/>
      <c r="X79" s="3"/>
      <c r="Y79" s="3"/>
      <c r="AA79" t="s">
        <v>5</v>
      </c>
      <c r="AC79" s="3"/>
      <c r="AD79" s="3"/>
      <c r="AE79" s="3"/>
      <c r="AG79" t="s">
        <v>5</v>
      </c>
      <c r="AI79" s="3"/>
      <c r="AJ79" s="3"/>
      <c r="AK79" s="3"/>
    </row>
    <row r="80" spans="1:37" x14ac:dyDescent="0.25">
      <c r="A80" t="s">
        <v>7</v>
      </c>
      <c r="C80" s="3"/>
      <c r="D80" s="3"/>
      <c r="E80" s="3"/>
      <c r="G80" t="s">
        <v>7</v>
      </c>
      <c r="I80" s="3"/>
      <c r="J80" s="3"/>
      <c r="K80" s="3"/>
      <c r="M80" t="s">
        <v>7</v>
      </c>
      <c r="O80" s="3"/>
      <c r="P80" s="3"/>
      <c r="Q80" s="3"/>
      <c r="S80" s="4"/>
      <c r="U80" t="s">
        <v>7</v>
      </c>
      <c r="W80" s="3"/>
      <c r="X80" s="3"/>
      <c r="Y80" s="3"/>
      <c r="AA80" t="s">
        <v>7</v>
      </c>
      <c r="AC80" s="3"/>
      <c r="AD80" s="3"/>
      <c r="AE80" s="3"/>
      <c r="AG80" t="s">
        <v>7</v>
      </c>
      <c r="AI80" s="3"/>
      <c r="AJ80" s="3"/>
      <c r="AK80" s="3"/>
    </row>
    <row r="81" spans="1:37" x14ac:dyDescent="0.25">
      <c r="A81" t="s">
        <v>8</v>
      </c>
      <c r="C81" s="3"/>
      <c r="D81" s="3"/>
      <c r="E81" s="3"/>
      <c r="G81" t="s">
        <v>8</v>
      </c>
      <c r="I81" s="3"/>
      <c r="J81" s="3"/>
      <c r="K81" s="3"/>
      <c r="M81" t="s">
        <v>8</v>
      </c>
      <c r="O81" s="3"/>
      <c r="P81" s="3"/>
      <c r="Q81" s="3"/>
      <c r="S81" s="4"/>
      <c r="U81" t="s">
        <v>8</v>
      </c>
      <c r="W81" s="3"/>
      <c r="X81" s="3"/>
      <c r="Y81" s="3"/>
      <c r="AA81" t="s">
        <v>8</v>
      </c>
      <c r="AC81" s="3"/>
      <c r="AD81" s="3"/>
      <c r="AE81" s="3"/>
      <c r="AG81" t="s">
        <v>8</v>
      </c>
      <c r="AI81" s="3"/>
      <c r="AJ81" s="3"/>
      <c r="AK81" s="3"/>
    </row>
    <row r="82" spans="1:37" x14ac:dyDescent="0.25">
      <c r="A82" t="s">
        <v>9</v>
      </c>
      <c r="C82" s="3"/>
      <c r="D82" s="3"/>
      <c r="E82" s="3"/>
      <c r="G82" t="s">
        <v>9</v>
      </c>
      <c r="I82" s="3"/>
      <c r="J82" s="3"/>
      <c r="K82" s="3"/>
      <c r="M82" t="s">
        <v>9</v>
      </c>
      <c r="O82" s="3"/>
      <c r="P82" s="3"/>
      <c r="Q82" s="3"/>
      <c r="S82" s="4"/>
      <c r="U82" t="s">
        <v>9</v>
      </c>
      <c r="W82" s="3"/>
      <c r="X82" s="3"/>
      <c r="Y82" s="3"/>
      <c r="AA82" t="s">
        <v>9</v>
      </c>
      <c r="AC82" s="3"/>
      <c r="AD82" s="3"/>
      <c r="AE82" s="3"/>
      <c r="AG82" t="s">
        <v>9</v>
      </c>
      <c r="AI82" s="3"/>
      <c r="AJ82" s="3"/>
      <c r="AK82" s="3"/>
    </row>
    <row r="83" spans="1:37" x14ac:dyDescent="0.25">
      <c r="A83" t="s">
        <v>10</v>
      </c>
      <c r="C83" s="3"/>
      <c r="D83" s="3"/>
      <c r="E83" s="3"/>
      <c r="G83" t="s">
        <v>10</v>
      </c>
      <c r="I83" s="3"/>
      <c r="J83" s="3"/>
      <c r="K83" s="3"/>
      <c r="M83" t="s">
        <v>10</v>
      </c>
      <c r="O83" s="3"/>
      <c r="P83" s="3"/>
      <c r="Q83" s="3"/>
      <c r="S83" s="4"/>
      <c r="U83" t="s">
        <v>10</v>
      </c>
      <c r="W83" s="3"/>
      <c r="X83" s="3"/>
      <c r="Y83" s="3"/>
      <c r="AA83" t="s">
        <v>10</v>
      </c>
      <c r="AC83" s="3"/>
      <c r="AD83" s="3"/>
      <c r="AE83" s="3"/>
      <c r="AG83" t="s">
        <v>10</v>
      </c>
      <c r="AI83" s="3"/>
      <c r="AJ83" s="3"/>
      <c r="AK83" s="3"/>
    </row>
    <row r="84" spans="1:37" x14ac:dyDescent="0.25">
      <c r="A84" t="s">
        <v>11</v>
      </c>
      <c r="C84" s="3"/>
      <c r="D84" s="3"/>
      <c r="E84" s="3"/>
      <c r="G84" t="s">
        <v>11</v>
      </c>
      <c r="I84" s="3"/>
      <c r="J84" s="3"/>
      <c r="K84" s="3"/>
      <c r="M84" t="s">
        <v>11</v>
      </c>
      <c r="O84" s="3"/>
      <c r="P84" s="3"/>
      <c r="Q84" s="3"/>
      <c r="S84" s="4"/>
      <c r="U84" t="s">
        <v>11</v>
      </c>
      <c r="W84" s="3"/>
      <c r="X84" s="3"/>
      <c r="Y84" s="3"/>
      <c r="AA84" t="s">
        <v>11</v>
      </c>
      <c r="AC84" s="3"/>
      <c r="AD84" s="3"/>
      <c r="AE84" s="3"/>
      <c r="AG84" t="s">
        <v>11</v>
      </c>
      <c r="AI84" s="3"/>
      <c r="AJ84" s="3"/>
      <c r="AK84" s="3"/>
    </row>
    <row r="85" spans="1:37" x14ac:dyDescent="0.25">
      <c r="A85" t="s">
        <v>12</v>
      </c>
      <c r="C85" s="3"/>
      <c r="D85" s="3"/>
      <c r="E85" s="3"/>
      <c r="G85" t="s">
        <v>12</v>
      </c>
      <c r="I85" s="3"/>
      <c r="J85" s="3"/>
      <c r="K85" s="3"/>
      <c r="M85" t="s">
        <v>12</v>
      </c>
      <c r="O85" s="3"/>
      <c r="P85" s="3"/>
      <c r="Q85" s="3"/>
      <c r="S85" s="4"/>
      <c r="U85" t="s">
        <v>12</v>
      </c>
      <c r="W85" s="3"/>
      <c r="X85" s="3"/>
      <c r="Y85" s="3"/>
      <c r="AA85" t="s">
        <v>12</v>
      </c>
      <c r="AC85" s="3"/>
      <c r="AD85" s="3"/>
      <c r="AE85" s="3"/>
      <c r="AG85" t="s">
        <v>12</v>
      </c>
      <c r="AI85" s="3"/>
      <c r="AJ85" s="3"/>
      <c r="AK85" s="3"/>
    </row>
    <row r="86" spans="1:37" x14ac:dyDescent="0.25">
      <c r="A86" t="s">
        <v>13</v>
      </c>
      <c r="C86" s="3"/>
      <c r="D86" s="3"/>
      <c r="E86" s="3"/>
      <c r="G86" t="s">
        <v>13</v>
      </c>
      <c r="I86" s="3"/>
      <c r="J86" s="3"/>
      <c r="K86" s="3"/>
      <c r="M86" t="s">
        <v>13</v>
      </c>
      <c r="O86" s="3"/>
      <c r="P86" s="3"/>
      <c r="Q86" s="3"/>
      <c r="S86" s="4"/>
      <c r="U86" t="s">
        <v>13</v>
      </c>
      <c r="W86" s="3"/>
      <c r="X86" s="3"/>
      <c r="Y86" s="3"/>
      <c r="AA86" t="s">
        <v>13</v>
      </c>
      <c r="AC86" s="3"/>
      <c r="AD86" s="3"/>
      <c r="AE86" s="3"/>
      <c r="AG86" t="s">
        <v>13</v>
      </c>
      <c r="AI86" s="3"/>
      <c r="AJ86" s="3"/>
      <c r="AK86" s="3"/>
    </row>
    <row r="87" spans="1:37" x14ac:dyDescent="0.25">
      <c r="A87" s="2"/>
      <c r="B87" s="2"/>
      <c r="C87" s="2"/>
      <c r="D87" s="2"/>
      <c r="E87" s="2"/>
      <c r="G87" s="2"/>
      <c r="H87" s="2"/>
      <c r="I87" s="2"/>
      <c r="J87" s="2"/>
      <c r="K87" s="2"/>
      <c r="M87" s="2"/>
      <c r="N87" s="2"/>
      <c r="O87" s="2"/>
      <c r="P87" s="2"/>
      <c r="Q87" s="2"/>
      <c r="S87" s="4"/>
      <c r="U87" s="2"/>
      <c r="V87" s="2"/>
      <c r="W87" s="2"/>
      <c r="X87" s="2"/>
      <c r="Y87" s="2"/>
      <c r="AA87" s="2"/>
      <c r="AB87" s="2"/>
      <c r="AC87" s="2"/>
      <c r="AD87" s="2"/>
      <c r="AE87" s="2"/>
      <c r="AG87" s="2"/>
      <c r="AH87" s="2"/>
      <c r="AI87" s="2"/>
      <c r="AJ87" s="2"/>
      <c r="AK87" s="2"/>
    </row>
    <row r="88" spans="1:37" x14ac:dyDescent="0.25">
      <c r="A88" t="s">
        <v>14</v>
      </c>
      <c r="B88">
        <f>COUNT(B71:B86)</f>
        <v>0</v>
      </c>
      <c r="C88">
        <f t="shared" ref="C88:E88" si="138">COUNT(C71:C86)</f>
        <v>8</v>
      </c>
      <c r="D88">
        <f t="shared" si="138"/>
        <v>6</v>
      </c>
      <c r="E88">
        <f t="shared" si="138"/>
        <v>5</v>
      </c>
      <c r="G88" t="s">
        <v>14</v>
      </c>
      <c r="H88">
        <f>COUNT(H71:H86)</f>
        <v>0</v>
      </c>
      <c r="I88">
        <f t="shared" ref="I88:K88" si="139">COUNT(I71:I86)</f>
        <v>8</v>
      </c>
      <c r="J88">
        <f t="shared" si="139"/>
        <v>8</v>
      </c>
      <c r="K88">
        <f t="shared" si="139"/>
        <v>8</v>
      </c>
      <c r="M88" t="s">
        <v>14</v>
      </c>
      <c r="N88">
        <f>COUNT(N71:N86)</f>
        <v>0</v>
      </c>
      <c r="O88">
        <f t="shared" ref="O88:Q88" si="140">COUNT(O71:O86)</f>
        <v>8</v>
      </c>
      <c r="P88">
        <f t="shared" si="140"/>
        <v>8</v>
      </c>
      <c r="Q88">
        <f t="shared" si="140"/>
        <v>8</v>
      </c>
      <c r="S88" s="4"/>
      <c r="U88" t="s">
        <v>14</v>
      </c>
      <c r="V88">
        <f>COUNT(V71:V86)</f>
        <v>0</v>
      </c>
      <c r="W88">
        <f t="shared" ref="W88:Y88" si="141">COUNT(W71:W86)</f>
        <v>8</v>
      </c>
      <c r="X88">
        <f t="shared" si="141"/>
        <v>6</v>
      </c>
      <c r="Y88">
        <f t="shared" si="141"/>
        <v>5</v>
      </c>
      <c r="AA88" t="s">
        <v>14</v>
      </c>
      <c r="AB88">
        <f>COUNT(AB71:AB86)</f>
        <v>0</v>
      </c>
      <c r="AC88">
        <f t="shared" ref="AC88:AE88" si="142">COUNT(AC71:AC86)</f>
        <v>7</v>
      </c>
      <c r="AD88">
        <f t="shared" si="142"/>
        <v>8</v>
      </c>
      <c r="AE88">
        <f t="shared" si="142"/>
        <v>8</v>
      </c>
      <c r="AG88" t="s">
        <v>14</v>
      </c>
      <c r="AH88">
        <f>COUNT(AH71:AH86)</f>
        <v>0</v>
      </c>
      <c r="AI88">
        <f t="shared" ref="AI88:AK88" si="143">COUNT(AI71:AI86)</f>
        <v>8</v>
      </c>
      <c r="AJ88">
        <f t="shared" si="143"/>
        <v>8</v>
      </c>
      <c r="AK88">
        <f t="shared" si="143"/>
        <v>7</v>
      </c>
    </row>
    <row r="89" spans="1:37" x14ac:dyDescent="0.25">
      <c r="A89" t="s">
        <v>15</v>
      </c>
      <c r="B89">
        <f>MAX(B71:B86)</f>
        <v>0</v>
      </c>
      <c r="C89">
        <f t="shared" ref="C89:E89" si="144">MAX(C71:C86)</f>
        <v>74.612234026269974</v>
      </c>
      <c r="D89">
        <f t="shared" si="144"/>
        <v>37.188590811253555</v>
      </c>
      <c r="E89">
        <f t="shared" si="144"/>
        <v>63.005661078395939</v>
      </c>
      <c r="G89" t="s">
        <v>15</v>
      </c>
      <c r="H89">
        <f>MAX(H71:H86)</f>
        <v>0</v>
      </c>
      <c r="I89">
        <f t="shared" ref="I89:K89" si="145">MAX(I71:I86)</f>
        <v>40.946182011997543</v>
      </c>
      <c r="J89">
        <f t="shared" si="145"/>
        <v>42.192788508031761</v>
      </c>
      <c r="K89">
        <f t="shared" si="145"/>
        <v>85.84418127655222</v>
      </c>
      <c r="M89" t="s">
        <v>15</v>
      </c>
      <c r="N89">
        <f>MAX(N71:N86)</f>
        <v>0</v>
      </c>
      <c r="O89">
        <f t="shared" ref="O89:Q89" si="146">MAX(O71:O86)</f>
        <v>38.629185653774854</v>
      </c>
      <c r="P89">
        <f t="shared" si="146"/>
        <v>59.150262364564455</v>
      </c>
      <c r="Q89">
        <f t="shared" si="146"/>
        <v>88.663285826951693</v>
      </c>
      <c r="S89" s="4"/>
      <c r="U89" t="s">
        <v>15</v>
      </c>
      <c r="V89">
        <f>MAX(V71:V86)</f>
        <v>0</v>
      </c>
      <c r="W89">
        <f t="shared" ref="W89:Y89" si="147">MAX(W71:W86)</f>
        <v>74.612234026269974</v>
      </c>
      <c r="X89">
        <f t="shared" si="147"/>
        <v>37.188590811253555</v>
      </c>
      <c r="Y89">
        <f t="shared" si="147"/>
        <v>63.005661078395939</v>
      </c>
      <c r="AA89" t="s">
        <v>15</v>
      </c>
      <c r="AB89">
        <f>MAX(AB71:AB86)</f>
        <v>0</v>
      </c>
      <c r="AC89">
        <f t="shared" ref="AC89:AE89" si="148">MAX(AC71:AC86)</f>
        <v>40.946182011997543</v>
      </c>
      <c r="AD89">
        <f t="shared" si="148"/>
        <v>35.356335620443375</v>
      </c>
      <c r="AE89">
        <f t="shared" si="148"/>
        <v>85.84418127655222</v>
      </c>
      <c r="AG89" t="s">
        <v>15</v>
      </c>
      <c r="AH89">
        <f>MAX(AH71:AH86)</f>
        <v>0</v>
      </c>
      <c r="AI89">
        <f t="shared" ref="AI89:AK89" si="149">MAX(AI71:AI86)</f>
        <v>38.629185653774854</v>
      </c>
      <c r="AJ89">
        <f t="shared" si="149"/>
        <v>59.150262364564455</v>
      </c>
      <c r="AK89">
        <f t="shared" si="149"/>
        <v>88.663285826951693</v>
      </c>
    </row>
    <row r="90" spans="1:37" x14ac:dyDescent="0.25">
      <c r="A90" t="s">
        <v>16</v>
      </c>
      <c r="B90">
        <f>MIN(B71:B86)</f>
        <v>0</v>
      </c>
      <c r="C90">
        <f t="shared" ref="C90:E90" si="150">MIN(C71:C86)</f>
        <v>-80.223832881474806</v>
      </c>
      <c r="D90">
        <f t="shared" si="150"/>
        <v>-66.522060885473991</v>
      </c>
      <c r="E90">
        <f t="shared" si="150"/>
        <v>-61.283425330642949</v>
      </c>
      <c r="G90" t="s">
        <v>16</v>
      </c>
      <c r="H90">
        <f>MIN(H71:H86)</f>
        <v>0</v>
      </c>
      <c r="I90">
        <f t="shared" ref="I90:K90" si="151">MIN(I71:I86)</f>
        <v>-50.110126672116905</v>
      </c>
      <c r="J90">
        <f t="shared" si="151"/>
        <v>-52.674263510166995</v>
      </c>
      <c r="K90">
        <f t="shared" si="151"/>
        <v>5.4652347729234538</v>
      </c>
      <c r="M90" t="s">
        <v>16</v>
      </c>
      <c r="N90">
        <f>MIN(N71:N86)</f>
        <v>0</v>
      </c>
      <c r="O90">
        <f t="shared" ref="O90:Q90" si="152">MIN(O71:O86)</f>
        <v>-52.87074621235196</v>
      </c>
      <c r="P90">
        <f t="shared" si="152"/>
        <v>-29.352289119523</v>
      </c>
      <c r="Q90">
        <f t="shared" si="152"/>
        <v>-113.28289083148802</v>
      </c>
      <c r="S90" s="4"/>
      <c r="U90" t="s">
        <v>16</v>
      </c>
      <c r="V90">
        <f>MIN(V71:V86)</f>
        <v>0</v>
      </c>
      <c r="W90">
        <f t="shared" ref="W90:Y90" si="153">MIN(W71:W86)</f>
        <v>-80.223832881474806</v>
      </c>
      <c r="X90">
        <f t="shared" si="153"/>
        <v>-66.522060885473991</v>
      </c>
      <c r="Y90">
        <f t="shared" si="153"/>
        <v>-61.283425330642949</v>
      </c>
      <c r="AA90" t="s">
        <v>16</v>
      </c>
      <c r="AB90">
        <f>MIN(AB71:AB86)</f>
        <v>0</v>
      </c>
      <c r="AC90">
        <f t="shared" ref="AC90:AE90" si="154">MIN(AC71:AC86)</f>
        <v>-4.3434946524709481</v>
      </c>
      <c r="AD90">
        <f t="shared" si="154"/>
        <v>-70.729976330349132</v>
      </c>
      <c r="AE90">
        <f t="shared" si="154"/>
        <v>5.4652347729234538</v>
      </c>
      <c r="AG90" t="s">
        <v>16</v>
      </c>
      <c r="AH90">
        <f>MIN(AH71:AH86)</f>
        <v>0</v>
      </c>
      <c r="AI90">
        <f t="shared" ref="AI90:AK90" si="155">MIN(AI71:AI86)</f>
        <v>-52.87074621235196</v>
      </c>
      <c r="AJ90">
        <f t="shared" si="155"/>
        <v>-29.352289119523</v>
      </c>
      <c r="AK90">
        <f t="shared" si="155"/>
        <v>0.67828559205779182</v>
      </c>
    </row>
    <row r="91" spans="1:37" x14ac:dyDescent="0.25">
      <c r="A91" t="s">
        <v>17</v>
      </c>
      <c r="B91" t="e">
        <f>AVERAGE(B71:B86)</f>
        <v>#DIV/0!</v>
      </c>
      <c r="C91">
        <f t="shared" ref="C91:E91" si="156">AVERAGE(C71:C86)</f>
        <v>-2.2523414087783236</v>
      </c>
      <c r="D91">
        <f t="shared" si="156"/>
        <v>7.8950177616803172</v>
      </c>
      <c r="E91">
        <f t="shared" si="156"/>
        <v>7.7279201549223888</v>
      </c>
      <c r="G91" t="s">
        <v>17</v>
      </c>
      <c r="H91" t="e">
        <f>AVERAGE(H71:H86)</f>
        <v>#DIV/0!</v>
      </c>
      <c r="I91">
        <f t="shared" ref="I91:K91" si="157">AVERAGE(I71:I86)</f>
        <v>13.744274030045352</v>
      </c>
      <c r="J91">
        <f t="shared" si="157"/>
        <v>3.9888488687535935</v>
      </c>
      <c r="K91">
        <f t="shared" si="157"/>
        <v>41.243659023303316</v>
      </c>
      <c r="M91" t="s">
        <v>17</v>
      </c>
      <c r="N91" t="e">
        <f>AVERAGE(N71:N86)</f>
        <v>#DIV/0!</v>
      </c>
      <c r="O91">
        <f t="shared" ref="O91:Q91" si="158">AVERAGE(O71:O86)</f>
        <v>-12.758049999711719</v>
      </c>
      <c r="P91">
        <f t="shared" si="158"/>
        <v>8.0809285505483217</v>
      </c>
      <c r="Q91">
        <f t="shared" si="158"/>
        <v>16.370949511225767</v>
      </c>
      <c r="S91" s="4"/>
      <c r="U91" t="s">
        <v>17</v>
      </c>
      <c r="V91" t="e">
        <f>AVERAGE(V71:V86)</f>
        <v>#DIV/0!</v>
      </c>
      <c r="W91">
        <f t="shared" ref="W91:Y91" si="159">AVERAGE(W71:W86)</f>
        <v>-2.2523414087783236</v>
      </c>
      <c r="X91">
        <f t="shared" si="159"/>
        <v>7.8950177616803172</v>
      </c>
      <c r="Y91">
        <f t="shared" si="159"/>
        <v>7.7279201549223888</v>
      </c>
      <c r="AA91" t="s">
        <v>17</v>
      </c>
      <c r="AB91" t="e">
        <f>AVERAGE(AB71:AB86)</f>
        <v>#DIV/0!</v>
      </c>
      <c r="AC91">
        <f t="shared" ref="AC91:AE91" si="160">AVERAGE(AC71:AC86)</f>
        <v>22.866331273211387</v>
      </c>
      <c r="AD91">
        <f t="shared" si="160"/>
        <v>-7.3657156302292304</v>
      </c>
      <c r="AE91">
        <f t="shared" si="160"/>
        <v>41.243659023303316</v>
      </c>
      <c r="AG91" t="s">
        <v>17</v>
      </c>
      <c r="AH91" t="e">
        <f>AVERAGE(AH71:AH86)</f>
        <v>#DIV/0!</v>
      </c>
      <c r="AI91">
        <f t="shared" ref="AI91:AK91" si="161">AVERAGE(AI71:AI86)</f>
        <v>-12.758049999711719</v>
      </c>
      <c r="AJ91">
        <f t="shared" si="161"/>
        <v>8.0809285505483217</v>
      </c>
      <c r="AK91">
        <f t="shared" si="161"/>
        <v>34.892926703042022</v>
      </c>
    </row>
    <row r="92" spans="1:37" x14ac:dyDescent="0.25">
      <c r="A92" t="s">
        <v>18</v>
      </c>
      <c r="B92" t="e">
        <f>STDEV(B71:B86)</f>
        <v>#DIV/0!</v>
      </c>
      <c r="C92">
        <f t="shared" ref="C92:E92" si="162">STDEV(C71:C86)</f>
        <v>52.311734657444994</v>
      </c>
      <c r="D92">
        <f t="shared" si="162"/>
        <v>41.476052218655056</v>
      </c>
      <c r="E92">
        <f t="shared" si="162"/>
        <v>55.626411256457537</v>
      </c>
      <c r="G92" t="s">
        <v>18</v>
      </c>
      <c r="H92" t="e">
        <f>STDEV(H71:H86)</f>
        <v>#DIV/0!</v>
      </c>
      <c r="I92">
        <f t="shared" ref="I92:K92" si="163">STDEV(I71:I86)</f>
        <v>28.821491118921809</v>
      </c>
      <c r="J92">
        <f t="shared" si="163"/>
        <v>34.260517258163681</v>
      </c>
      <c r="K92">
        <f t="shared" si="163"/>
        <v>28.8132600197507</v>
      </c>
      <c r="M92" t="s">
        <v>18</v>
      </c>
      <c r="N92" t="e">
        <f>STDEV(N71:N86)</f>
        <v>#DIV/0!</v>
      </c>
      <c r="O92">
        <f t="shared" ref="O92:Q92" si="164">STDEV(O71:O86)</f>
        <v>37.79129093973053</v>
      </c>
      <c r="P92">
        <f t="shared" si="164"/>
        <v>30.401425614112213</v>
      </c>
      <c r="Q92">
        <f t="shared" si="164"/>
        <v>58.813733193465502</v>
      </c>
      <c r="S92" s="4"/>
      <c r="U92" t="s">
        <v>18</v>
      </c>
      <c r="V92" t="e">
        <f>STDEV(V71:V86)</f>
        <v>#DIV/0!</v>
      </c>
      <c r="W92">
        <f t="shared" ref="W92:Y92" si="165">STDEV(W71:W86)</f>
        <v>52.311734657444994</v>
      </c>
      <c r="X92">
        <f t="shared" si="165"/>
        <v>41.476052218655056</v>
      </c>
      <c r="Y92">
        <f t="shared" si="165"/>
        <v>55.626411256457537</v>
      </c>
      <c r="AA92" t="s">
        <v>18</v>
      </c>
      <c r="AB92" t="e">
        <f>STDEV(AB71:AB86)</f>
        <v>#DIV/0!</v>
      </c>
      <c r="AC92">
        <f t="shared" ref="AC92:AE92" si="166">STDEV(AC71:AC86)</f>
        <v>13.873718948435901</v>
      </c>
      <c r="AD92">
        <f t="shared" si="166"/>
        <v>38.312268001622179</v>
      </c>
      <c r="AE92">
        <f t="shared" si="166"/>
        <v>28.8132600197507</v>
      </c>
      <c r="AG92" t="s">
        <v>18</v>
      </c>
      <c r="AH92" t="e">
        <f>STDEV(AH71:AH86)</f>
        <v>#DIV/0!</v>
      </c>
      <c r="AI92">
        <f t="shared" ref="AI92:AK92" si="167">STDEV(AI71:AI86)</f>
        <v>37.79129093973053</v>
      </c>
      <c r="AJ92">
        <f t="shared" si="167"/>
        <v>30.401425614112213</v>
      </c>
      <c r="AK92">
        <f t="shared" si="167"/>
        <v>28.87277464957824</v>
      </c>
    </row>
    <row r="93" spans="1:37" x14ac:dyDescent="0.25">
      <c r="A93" t="s">
        <v>19</v>
      </c>
      <c r="B93" t="e">
        <f>B91+2*B92</f>
        <v>#DIV/0!</v>
      </c>
      <c r="C93">
        <f t="shared" ref="C93:E93" si="168">C91+2*C92</f>
        <v>102.37112790611167</v>
      </c>
      <c r="D93">
        <f t="shared" si="168"/>
        <v>90.847122198990434</v>
      </c>
      <c r="E93">
        <f t="shared" si="168"/>
        <v>118.98074266783746</v>
      </c>
      <c r="G93" t="s">
        <v>19</v>
      </c>
      <c r="H93" t="e">
        <f>H91+2*H92</f>
        <v>#DIV/0!</v>
      </c>
      <c r="I93">
        <f t="shared" ref="I93:K93" si="169">I91+2*I92</f>
        <v>71.387256267888972</v>
      </c>
      <c r="J93">
        <f t="shared" si="169"/>
        <v>72.509883385080954</v>
      </c>
      <c r="K93">
        <f t="shared" si="169"/>
        <v>98.870179062804709</v>
      </c>
      <c r="M93" t="s">
        <v>19</v>
      </c>
      <c r="N93" t="e">
        <f>N91+2*N92</f>
        <v>#DIV/0!</v>
      </c>
      <c r="O93">
        <f t="shared" ref="O93:Q93" si="170">O91+2*O92</f>
        <v>62.824531879749344</v>
      </c>
      <c r="P93">
        <f t="shared" si="170"/>
        <v>68.883779778772748</v>
      </c>
      <c r="Q93">
        <f t="shared" si="170"/>
        <v>133.99841589815676</v>
      </c>
      <c r="S93" s="4"/>
      <c r="U93" t="s">
        <v>19</v>
      </c>
      <c r="V93" t="e">
        <f>V91+2*V92</f>
        <v>#DIV/0!</v>
      </c>
      <c r="W93">
        <f t="shared" ref="W93:Y93" si="171">W91+2*W92</f>
        <v>102.37112790611167</v>
      </c>
      <c r="X93">
        <f t="shared" si="171"/>
        <v>90.847122198990434</v>
      </c>
      <c r="Y93">
        <f t="shared" si="171"/>
        <v>118.98074266783746</v>
      </c>
      <c r="AA93" t="s">
        <v>19</v>
      </c>
      <c r="AB93" t="e">
        <f>AB91+2*AB92</f>
        <v>#DIV/0!</v>
      </c>
      <c r="AC93">
        <f t="shared" ref="AC93:AE93" si="172">AC91+2*AC92</f>
        <v>50.613769170083188</v>
      </c>
      <c r="AD93">
        <f t="shared" si="172"/>
        <v>69.258820373015126</v>
      </c>
      <c r="AE93">
        <f t="shared" si="172"/>
        <v>98.870179062804709</v>
      </c>
      <c r="AG93" t="s">
        <v>19</v>
      </c>
      <c r="AH93" t="e">
        <f>AH91+2*AH92</f>
        <v>#DIV/0!</v>
      </c>
      <c r="AI93">
        <f t="shared" ref="AI93:AK93" si="173">AI91+2*AI92</f>
        <v>62.824531879749344</v>
      </c>
      <c r="AJ93">
        <f t="shared" si="173"/>
        <v>68.883779778772748</v>
      </c>
      <c r="AK93">
        <f t="shared" si="173"/>
        <v>92.638476002198502</v>
      </c>
    </row>
    <row r="94" spans="1:37" x14ac:dyDescent="0.25">
      <c r="A94" t="s">
        <v>20</v>
      </c>
      <c r="B94" t="e">
        <f>B91-2*B92</f>
        <v>#DIV/0!</v>
      </c>
      <c r="C94">
        <f t="shared" ref="C94:E94" si="174">C91-2*C92</f>
        <v>-106.87581072366831</v>
      </c>
      <c r="D94">
        <f t="shared" si="174"/>
        <v>-75.05708667562979</v>
      </c>
      <c r="E94">
        <f t="shared" si="174"/>
        <v>-103.52490235799269</v>
      </c>
      <c r="G94" t="s">
        <v>20</v>
      </c>
      <c r="H94" t="e">
        <f>H91-2*H92</f>
        <v>#DIV/0!</v>
      </c>
      <c r="I94">
        <f t="shared" ref="I94:K94" si="175">I91-2*I92</f>
        <v>-43.898708207798265</v>
      </c>
      <c r="J94">
        <f t="shared" si="175"/>
        <v>-64.532185647573769</v>
      </c>
      <c r="K94">
        <f t="shared" si="175"/>
        <v>-16.382861016198085</v>
      </c>
      <c r="M94" t="s">
        <v>20</v>
      </c>
      <c r="N94" t="e">
        <f>N91-2*N92</f>
        <v>#DIV/0!</v>
      </c>
      <c r="O94">
        <f t="shared" ref="O94:Q94" si="176">O91-2*O92</f>
        <v>-88.340631879172776</v>
      </c>
      <c r="P94">
        <f t="shared" si="176"/>
        <v>-52.721922677676105</v>
      </c>
      <c r="Q94">
        <f t="shared" si="176"/>
        <v>-101.25651687570524</v>
      </c>
      <c r="S94" s="4"/>
      <c r="U94" t="s">
        <v>20</v>
      </c>
      <c r="V94" t="e">
        <f>V91-2*V92</f>
        <v>#DIV/0!</v>
      </c>
      <c r="W94">
        <f t="shared" ref="W94:Y94" si="177">W91-2*W92</f>
        <v>-106.87581072366831</v>
      </c>
      <c r="X94">
        <f t="shared" si="177"/>
        <v>-75.05708667562979</v>
      </c>
      <c r="Y94">
        <f t="shared" si="177"/>
        <v>-103.52490235799269</v>
      </c>
      <c r="AA94" t="s">
        <v>20</v>
      </c>
      <c r="AB94" t="e">
        <f>AB91-2*AB92</f>
        <v>#DIV/0!</v>
      </c>
      <c r="AC94">
        <f t="shared" ref="AC94:AE94" si="178">AC91-2*AC92</f>
        <v>-4.8811066236604148</v>
      </c>
      <c r="AD94">
        <f t="shared" si="178"/>
        <v>-83.990251633473591</v>
      </c>
      <c r="AE94">
        <f t="shared" si="178"/>
        <v>-16.382861016198085</v>
      </c>
      <c r="AG94" t="s">
        <v>20</v>
      </c>
      <c r="AH94" t="e">
        <f>AH91-2*AH92</f>
        <v>#DIV/0!</v>
      </c>
      <c r="AI94">
        <f t="shared" ref="AI94:AK94" si="179">AI91-2*AI92</f>
        <v>-88.340631879172776</v>
      </c>
      <c r="AJ94">
        <f t="shared" si="179"/>
        <v>-52.721922677676105</v>
      </c>
      <c r="AK94">
        <f t="shared" si="179"/>
        <v>-22.852622596114458</v>
      </c>
    </row>
    <row r="95" spans="1:37" x14ac:dyDescent="0.25">
      <c r="A95" t="s">
        <v>21</v>
      </c>
      <c r="B95" t="e">
        <f>VAR(B71:B86)</f>
        <v>#DIV/0!</v>
      </c>
      <c r="C95">
        <f t="shared" ref="C95:E95" si="180">VAR(C71:C86)</f>
        <v>2736.5175828709316</v>
      </c>
      <c r="D95">
        <f t="shared" si="180"/>
        <v>1720.262907644601</v>
      </c>
      <c r="E95">
        <f t="shared" si="180"/>
        <v>3094.2976292725457</v>
      </c>
      <c r="G95" t="s">
        <v>21</v>
      </c>
      <c r="H95" t="e">
        <f>VAR(H71:H86)</f>
        <v>#DIV/0!</v>
      </c>
      <c r="I95">
        <f t="shared" ref="I95:K95" si="181">VAR(I71:I86)</f>
        <v>830.67835031808875</v>
      </c>
      <c r="J95">
        <f t="shared" si="181"/>
        <v>1173.7830427969316</v>
      </c>
      <c r="K95">
        <f t="shared" si="181"/>
        <v>830.20395296576419</v>
      </c>
      <c r="M95" t="s">
        <v>21</v>
      </c>
      <c r="N95" t="e">
        <f>VAR(N71:N86)</f>
        <v>#DIV/0!</v>
      </c>
      <c r="O95">
        <f t="shared" ref="O95:Q95" si="182">VAR(O71:O86)</f>
        <v>1428.1816708913589</v>
      </c>
      <c r="P95">
        <f t="shared" si="182"/>
        <v>924.24667937039817</v>
      </c>
      <c r="Q95">
        <f t="shared" si="182"/>
        <v>3459.0552121521459</v>
      </c>
      <c r="S95" s="4"/>
      <c r="U95" t="s">
        <v>21</v>
      </c>
      <c r="V95" t="e">
        <f>VAR(V71:V86)</f>
        <v>#DIV/0!</v>
      </c>
      <c r="W95">
        <f t="shared" ref="W95:Y95" si="183">VAR(W71:W86)</f>
        <v>2736.5175828709316</v>
      </c>
      <c r="X95">
        <f t="shared" si="183"/>
        <v>1720.262907644601</v>
      </c>
      <c r="Y95">
        <f t="shared" si="183"/>
        <v>3094.2976292725457</v>
      </c>
      <c r="AA95" t="s">
        <v>21</v>
      </c>
      <c r="AB95" t="e">
        <f>VAR(AB71:AB86)</f>
        <v>#DIV/0!</v>
      </c>
      <c r="AC95">
        <f t="shared" ref="AC95:AE95" si="184">VAR(AC71:AC86)</f>
        <v>192.48007746018934</v>
      </c>
      <c r="AD95">
        <f t="shared" si="184"/>
        <v>1467.8298794281229</v>
      </c>
      <c r="AE95">
        <f t="shared" si="184"/>
        <v>830.20395296576419</v>
      </c>
      <c r="AG95" t="s">
        <v>21</v>
      </c>
      <c r="AH95" t="e">
        <f>VAR(AH71:AH86)</f>
        <v>#DIV/0!</v>
      </c>
      <c r="AI95">
        <f t="shared" ref="AI95:AK95" si="185">VAR(AI71:AI86)</f>
        <v>1428.1816708913589</v>
      </c>
      <c r="AJ95">
        <f t="shared" si="185"/>
        <v>924.24667937039817</v>
      </c>
      <c r="AK95">
        <f t="shared" si="185"/>
        <v>833.63711596532778</v>
      </c>
    </row>
    <row r="96" spans="1:37" x14ac:dyDescent="0.25">
      <c r="S96" s="4"/>
    </row>
    <row r="97" spans="1:37" x14ac:dyDescent="0.25">
      <c r="A97" t="s">
        <v>22</v>
      </c>
      <c r="S97" s="4"/>
      <c r="U97" t="s">
        <v>22</v>
      </c>
    </row>
    <row r="98" spans="1:37" x14ac:dyDescent="0.25">
      <c r="A98" t="s">
        <v>1</v>
      </c>
      <c r="B98" t="e">
        <f>TTEST(B79:B86,H79:H86,2,3)</f>
        <v>#DIV/0!</v>
      </c>
      <c r="S98" s="4"/>
      <c r="U98" t="s">
        <v>1</v>
      </c>
      <c r="V98" t="e">
        <f>TTEST(V79:V86,AB79:AB86,2,3)</f>
        <v>#DIV/0!</v>
      </c>
    </row>
    <row r="99" spans="1:37" x14ac:dyDescent="0.25">
      <c r="A99" t="s">
        <v>2</v>
      </c>
      <c r="B99" t="e">
        <f>TTEST(C79:C86,I79:I86,2,3)</f>
        <v>#DIV/0!</v>
      </c>
      <c r="S99" s="4"/>
      <c r="U99" t="s">
        <v>2</v>
      </c>
      <c r="V99" t="e">
        <f>TTEST(W79:W86,AC79:AC86,2,3)</f>
        <v>#DIV/0!</v>
      </c>
    </row>
    <row r="100" spans="1:37" x14ac:dyDescent="0.25">
      <c r="A100" t="s">
        <v>3</v>
      </c>
      <c r="B100" t="e">
        <f>TTEST(D79:D86,J79:J86,2,3)</f>
        <v>#DIV/0!</v>
      </c>
      <c r="S100" s="4"/>
      <c r="U100" t="s">
        <v>3</v>
      </c>
      <c r="V100" t="e">
        <f>TTEST(X79:X86,AD79:AD86,2,3)</f>
        <v>#DIV/0!</v>
      </c>
    </row>
    <row r="101" spans="1:37" x14ac:dyDescent="0.25">
      <c r="A101" t="s">
        <v>4</v>
      </c>
      <c r="B101" t="e">
        <f>TTEST(E79:E86,K79:K86,2,3)</f>
        <v>#DIV/0!</v>
      </c>
      <c r="S101" s="4"/>
      <c r="U101" t="s">
        <v>4</v>
      </c>
      <c r="V101" t="e">
        <f>TTEST(Y79:Y86,AE79:AE86,2,3)</f>
        <v>#DIV/0!</v>
      </c>
    </row>
    <row r="102" spans="1:37" x14ac:dyDescent="0.25">
      <c r="S102" s="4"/>
    </row>
    <row r="103" spans="1:37" x14ac:dyDescent="0.25">
      <c r="A103" t="s">
        <v>27</v>
      </c>
      <c r="S103" s="4"/>
      <c r="U103" t="s">
        <v>27</v>
      </c>
    </row>
    <row r="104" spans="1:37" x14ac:dyDescent="0.25">
      <c r="A104" s="1" t="s">
        <v>29</v>
      </c>
      <c r="B104" s="1" t="s">
        <v>1</v>
      </c>
      <c r="C104" s="1" t="s">
        <v>2</v>
      </c>
      <c r="D104" s="1" t="s">
        <v>3</v>
      </c>
      <c r="E104" s="1" t="s">
        <v>4</v>
      </c>
      <c r="G104" s="1" t="s">
        <v>30</v>
      </c>
      <c r="H104" s="1" t="s">
        <v>1</v>
      </c>
      <c r="I104" s="1" t="s">
        <v>2</v>
      </c>
      <c r="J104" s="1" t="s">
        <v>3</v>
      </c>
      <c r="K104" s="1" t="s">
        <v>4</v>
      </c>
      <c r="M104" s="1" t="s">
        <v>31</v>
      </c>
      <c r="N104" s="1" t="s">
        <v>1</v>
      </c>
      <c r="O104" s="1" t="s">
        <v>2</v>
      </c>
      <c r="P104" s="1" t="s">
        <v>3</v>
      </c>
      <c r="Q104" s="1" t="s">
        <v>4</v>
      </c>
      <c r="R104" s="1"/>
      <c r="S104" s="4"/>
      <c r="U104" s="1" t="s">
        <v>29</v>
      </c>
      <c r="V104" s="1" t="s">
        <v>1</v>
      </c>
      <c r="W104" s="1" t="s">
        <v>2</v>
      </c>
      <c r="X104" s="1" t="s">
        <v>3</v>
      </c>
      <c r="Y104" s="1" t="s">
        <v>4</v>
      </c>
      <c r="AA104" s="1" t="s">
        <v>30</v>
      </c>
      <c r="AB104" s="1" t="s">
        <v>1</v>
      </c>
      <c r="AC104" s="1" t="s">
        <v>2</v>
      </c>
      <c r="AD104" s="1" t="s">
        <v>3</v>
      </c>
      <c r="AE104" s="1" t="s">
        <v>4</v>
      </c>
      <c r="AG104" s="1" t="s">
        <v>31</v>
      </c>
      <c r="AH104" s="1" t="s">
        <v>1</v>
      </c>
      <c r="AI104" s="1" t="s">
        <v>2</v>
      </c>
      <c r="AJ104" s="1" t="s">
        <v>3</v>
      </c>
      <c r="AK104" s="1" t="s">
        <v>4</v>
      </c>
    </row>
    <row r="105" spans="1:37" x14ac:dyDescent="0.25">
      <c r="A105" t="s">
        <v>5</v>
      </c>
      <c r="B105" s="3"/>
      <c r="C105" s="3">
        <f>(B$23-C3)/7</f>
        <v>-1.9052958773949544</v>
      </c>
      <c r="D105" s="3">
        <f t="shared" ref="D105:E112" si="186">(C$23-D3)/7</f>
        <v>22.202751359787491</v>
      </c>
      <c r="E105" s="3">
        <f t="shared" si="186"/>
        <v>-37.432253699007859</v>
      </c>
      <c r="G105" t="s">
        <v>5</v>
      </c>
      <c r="H105" s="3"/>
      <c r="I105" s="3">
        <f>(H$29-I3)/7</f>
        <v>16.178641670135708</v>
      </c>
      <c r="J105" s="3">
        <f t="shared" ref="J105:K112" si="187">(I$29-J3)/7</f>
        <v>18.649938700397659</v>
      </c>
      <c r="K105" s="3">
        <f t="shared" si="187"/>
        <v>15.811499953132584</v>
      </c>
      <c r="M105" t="s">
        <v>5</v>
      </c>
      <c r="N105" s="3"/>
      <c r="O105" s="3">
        <f>(N$29-O3)/7</f>
        <v>-15.876937501353106</v>
      </c>
      <c r="P105" s="3">
        <f t="shared" ref="P105:Q112" si="188">(O$29-P3)/7</f>
        <v>-13.37214420374406</v>
      </c>
      <c r="Q105" s="3">
        <f t="shared" si="188"/>
        <v>-85.961377923747023</v>
      </c>
      <c r="R105" s="3"/>
      <c r="S105" s="4"/>
      <c r="U105" t="s">
        <v>5</v>
      </c>
      <c r="V105" s="3"/>
      <c r="W105" s="3">
        <f>(V$23-W3)/7</f>
        <v>-1.9052958773949544</v>
      </c>
      <c r="X105" s="3">
        <f t="shared" ref="X105:X108" si="189">(W$23-X3)/7</f>
        <v>22.202751359787491</v>
      </c>
      <c r="Y105" s="3">
        <f t="shared" ref="Y105" si="190">(X$23-Y3)/7</f>
        <v>-37.432253699007859</v>
      </c>
      <c r="AA105" t="s">
        <v>5</v>
      </c>
      <c r="AB105" s="3"/>
      <c r="AC105" s="3">
        <f>(AB$29-AC3)/7</f>
        <v>16.178641670135708</v>
      </c>
      <c r="AD105" s="3">
        <f t="shared" ref="AD105:AD112" si="191">(AC$29-AD3)/7</f>
        <v>11.598506241196324</v>
      </c>
      <c r="AE105" s="3">
        <f t="shared" ref="AE105:AE112" si="192">(AD$29-AE3)/7</f>
        <v>15.811499953132584</v>
      </c>
      <c r="AG105" t="s">
        <v>5</v>
      </c>
      <c r="AH105" s="3"/>
      <c r="AI105" s="3">
        <f>(AH$29-AI3)/7</f>
        <v>-15.876937501353106</v>
      </c>
      <c r="AJ105" s="3">
        <f t="shared" ref="AJ105:AJ112" si="193">(AI$29-AJ3)/7</f>
        <v>-13.37214420374406</v>
      </c>
      <c r="AK105" s="3"/>
    </row>
    <row r="106" spans="1:37" x14ac:dyDescent="0.25">
      <c r="A106" t="s">
        <v>7</v>
      </c>
      <c r="B106" s="3"/>
      <c r="C106" s="3">
        <f t="shared" ref="C106:C112" si="194">(B$23-C4)/7</f>
        <v>-52.029537720302372</v>
      </c>
      <c r="D106" s="3">
        <f t="shared" si="186"/>
        <v>24.662070959393628</v>
      </c>
      <c r="E106" s="3"/>
      <c r="G106" t="s">
        <v>7</v>
      </c>
      <c r="H106" s="3"/>
      <c r="I106" s="3">
        <f t="shared" ref="I106:I112" si="195">(H$29-I4)/7</f>
        <v>22.721118402490706</v>
      </c>
      <c r="J106" s="3">
        <f t="shared" si="187"/>
        <v>-1.865587948075196</v>
      </c>
      <c r="K106" s="3">
        <f t="shared" si="187"/>
        <v>3.4986700848475851</v>
      </c>
      <c r="M106" t="s">
        <v>7</v>
      </c>
      <c r="N106" s="3"/>
      <c r="O106" s="3">
        <f t="shared" ref="O106:O112" si="196">(N$29-O4)/7</f>
        <v>-38.457362395639542</v>
      </c>
      <c r="P106" s="3">
        <f t="shared" si="188"/>
        <v>6.1618332964916522</v>
      </c>
      <c r="Q106" s="3">
        <f t="shared" si="188"/>
        <v>12.469937562199416</v>
      </c>
      <c r="R106" s="3"/>
      <c r="S106" s="4"/>
      <c r="U106" t="s">
        <v>7</v>
      </c>
      <c r="V106" s="3"/>
      <c r="W106" s="3">
        <f t="shared" ref="W106:W112" si="197">(V$23-W4)/7</f>
        <v>-52.029537720302372</v>
      </c>
      <c r="X106" s="3">
        <f t="shared" si="189"/>
        <v>24.662070959393628</v>
      </c>
      <c r="Y106" s="3"/>
      <c r="AA106" t="s">
        <v>7</v>
      </c>
      <c r="AB106" s="3"/>
      <c r="AC106" s="3">
        <f t="shared" ref="AC106:AC112" si="198">(AB$29-AC4)/7</f>
        <v>22.721118402490706</v>
      </c>
      <c r="AD106" s="3">
        <f t="shared" si="191"/>
        <v>-8.9170204072765298</v>
      </c>
      <c r="AE106" s="3">
        <f t="shared" si="192"/>
        <v>3.4986700848475851</v>
      </c>
      <c r="AG106" t="s">
        <v>7</v>
      </c>
      <c r="AH106" s="3"/>
      <c r="AI106" s="3">
        <f t="shared" ref="AI106:AI112" si="199">(AH$29-AI4)/7</f>
        <v>-38.457362395639542</v>
      </c>
      <c r="AJ106" s="3">
        <f t="shared" si="193"/>
        <v>6.1618332964916522</v>
      </c>
      <c r="AK106" s="3">
        <f t="shared" ref="AK106:AK112" si="200">(AJ$29-AK4)/7</f>
        <v>12.469937562199416</v>
      </c>
    </row>
    <row r="107" spans="1:37" x14ac:dyDescent="0.25">
      <c r="A107" t="s">
        <v>8</v>
      </c>
      <c r="B107" s="3"/>
      <c r="C107" s="3">
        <f t="shared" si="194"/>
        <v>-30.068342058279661</v>
      </c>
      <c r="D107" s="3">
        <f t="shared" si="186"/>
        <v>-44.114922080516507</v>
      </c>
      <c r="E107" s="3">
        <f t="shared" si="186"/>
        <v>-20.925502844984855</v>
      </c>
      <c r="G107" t="s">
        <v>8</v>
      </c>
      <c r="H107" s="3"/>
      <c r="I107" s="3">
        <f t="shared" si="195"/>
        <v>-38.735579522390431</v>
      </c>
      <c r="J107" s="3">
        <f t="shared" si="187"/>
        <v>-35.121330833044055</v>
      </c>
      <c r="K107" s="3">
        <f t="shared" si="187"/>
        <v>31.935552303904441</v>
      </c>
      <c r="M107" t="s">
        <v>8</v>
      </c>
      <c r="N107" s="3"/>
      <c r="O107" s="3">
        <f t="shared" si="196"/>
        <v>-38.708050599758394</v>
      </c>
      <c r="P107" s="3">
        <f t="shared" si="188"/>
        <v>-24.231226286707788</v>
      </c>
      <c r="Q107" s="3">
        <f t="shared" si="188"/>
        <v>34.570919907951271</v>
      </c>
      <c r="R107" s="3"/>
      <c r="S107" s="4"/>
      <c r="U107" t="s">
        <v>8</v>
      </c>
      <c r="V107" s="3"/>
      <c r="W107" s="3">
        <f t="shared" si="197"/>
        <v>-30.068342058279661</v>
      </c>
      <c r="X107" s="3">
        <f t="shared" si="189"/>
        <v>-44.114922080516507</v>
      </c>
      <c r="Y107" s="3">
        <f t="shared" ref="Y107:Y108" si="201">(X$23-Y5)/7</f>
        <v>-20.925502844984855</v>
      </c>
      <c r="AA107" t="s">
        <v>8</v>
      </c>
      <c r="AB107" s="3"/>
      <c r="AC107" s="3"/>
      <c r="AD107" s="3">
        <f t="shared" si="191"/>
        <v>-42.172763292245392</v>
      </c>
      <c r="AE107" s="3">
        <f t="shared" si="192"/>
        <v>31.935552303904441</v>
      </c>
      <c r="AG107" t="s">
        <v>8</v>
      </c>
      <c r="AH107" s="3"/>
      <c r="AI107" s="3">
        <f t="shared" si="199"/>
        <v>-38.708050599758394</v>
      </c>
      <c r="AJ107" s="3">
        <f t="shared" si="193"/>
        <v>-24.231226286707788</v>
      </c>
      <c r="AK107" s="3">
        <f t="shared" si="200"/>
        <v>34.570919907951271</v>
      </c>
    </row>
    <row r="108" spans="1:37" x14ac:dyDescent="0.25">
      <c r="A108" t="s">
        <v>9</v>
      </c>
      <c r="B108" s="3"/>
      <c r="C108" s="3">
        <f t="shared" si="194"/>
        <v>-19.43545366785667</v>
      </c>
      <c r="D108" s="3">
        <f t="shared" si="186"/>
        <v>23.5093712526572</v>
      </c>
      <c r="E108" s="3">
        <f t="shared" si="186"/>
        <v>6.5056539795057153</v>
      </c>
      <c r="G108" t="s">
        <v>9</v>
      </c>
      <c r="H108" s="3"/>
      <c r="I108" s="3">
        <f t="shared" si="195"/>
        <v>20.153759449489851</v>
      </c>
      <c r="J108" s="3">
        <f t="shared" si="187"/>
        <v>3.5756157112788043</v>
      </c>
      <c r="K108" s="3">
        <f t="shared" si="187"/>
        <v>10.773882589861444</v>
      </c>
      <c r="M108" t="s">
        <v>9</v>
      </c>
      <c r="N108" s="3"/>
      <c r="O108" s="3">
        <f t="shared" si="196"/>
        <v>-30.239014260952963</v>
      </c>
      <c r="P108" s="3">
        <f t="shared" si="188"/>
        <v>-20.299391425732924</v>
      </c>
      <c r="Q108" s="3">
        <f t="shared" si="188"/>
        <v>15.681771230345126</v>
      </c>
      <c r="R108" s="3"/>
      <c r="S108" s="4"/>
      <c r="U108" t="s">
        <v>9</v>
      </c>
      <c r="V108" s="3"/>
      <c r="W108" s="3">
        <f t="shared" si="197"/>
        <v>-19.43545366785667</v>
      </c>
      <c r="X108" s="3">
        <f t="shared" si="189"/>
        <v>23.5093712526572</v>
      </c>
      <c r="Y108" s="3">
        <f t="shared" si="201"/>
        <v>6.5056539795057153</v>
      </c>
      <c r="AA108" t="s">
        <v>9</v>
      </c>
      <c r="AB108" s="3"/>
      <c r="AC108" s="3">
        <f t="shared" si="198"/>
        <v>20.153759449489851</v>
      </c>
      <c r="AD108" s="3">
        <f t="shared" si="191"/>
        <v>-3.4758167479225301</v>
      </c>
      <c r="AE108" s="3">
        <f t="shared" si="192"/>
        <v>10.773882589861444</v>
      </c>
      <c r="AG108" t="s">
        <v>9</v>
      </c>
      <c r="AH108" s="3"/>
      <c r="AI108" s="3">
        <f t="shared" si="199"/>
        <v>-30.239014260952963</v>
      </c>
      <c r="AJ108" s="3">
        <f t="shared" si="193"/>
        <v>-20.299391425732924</v>
      </c>
      <c r="AK108" s="3">
        <f t="shared" si="200"/>
        <v>15.681771230345126</v>
      </c>
    </row>
    <row r="109" spans="1:37" x14ac:dyDescent="0.25">
      <c r="A109" t="s">
        <v>10</v>
      </c>
      <c r="B109" s="3"/>
      <c r="C109" s="3">
        <f t="shared" si="194"/>
        <v>29.386935086293335</v>
      </c>
      <c r="D109" s="3"/>
      <c r="E109" s="3"/>
      <c r="G109" t="s">
        <v>10</v>
      </c>
      <c r="H109" s="3"/>
      <c r="I109" s="3">
        <f t="shared" si="195"/>
        <v>-3.3575605110071529</v>
      </c>
      <c r="J109" s="3">
        <f t="shared" si="187"/>
        <v>-26.780787602675634</v>
      </c>
      <c r="K109" s="3">
        <f t="shared" si="187"/>
        <v>47.109847087179439</v>
      </c>
      <c r="M109" t="s">
        <v>10</v>
      </c>
      <c r="N109" s="3"/>
      <c r="O109" s="3">
        <f t="shared" si="196"/>
        <v>28.281433118196599</v>
      </c>
      <c r="P109" s="3">
        <f t="shared" si="188"/>
        <v>10.792423291461221</v>
      </c>
      <c r="Q109" s="3">
        <f t="shared" si="188"/>
        <v>67.279517365682366</v>
      </c>
      <c r="R109" s="3"/>
      <c r="S109" s="4"/>
      <c r="U109" t="s">
        <v>10</v>
      </c>
      <c r="V109" s="3"/>
      <c r="W109" s="3">
        <f t="shared" si="197"/>
        <v>29.386935086293335</v>
      </c>
      <c r="X109" s="3"/>
      <c r="Y109" s="3"/>
      <c r="AA109" t="s">
        <v>10</v>
      </c>
      <c r="AB109" s="3"/>
      <c r="AC109" s="3">
        <f t="shared" si="198"/>
        <v>-3.3575605110071529</v>
      </c>
      <c r="AD109" s="3">
        <f t="shared" si="191"/>
        <v>-33.832220061876967</v>
      </c>
      <c r="AE109" s="3">
        <f t="shared" si="192"/>
        <v>47.109847087179439</v>
      </c>
      <c r="AG109" t="s">
        <v>10</v>
      </c>
      <c r="AH109" s="3"/>
      <c r="AI109" s="3">
        <f t="shared" si="199"/>
        <v>28.281433118196599</v>
      </c>
      <c r="AJ109" s="3">
        <f t="shared" si="193"/>
        <v>10.792423291461221</v>
      </c>
      <c r="AK109" s="3">
        <f t="shared" si="200"/>
        <v>67.279517365682366</v>
      </c>
    </row>
    <row r="110" spans="1:37" x14ac:dyDescent="0.25">
      <c r="A110" t="s">
        <v>11</v>
      </c>
      <c r="B110" s="3"/>
      <c r="C110" s="3">
        <f t="shared" si="194"/>
        <v>48.390109338222331</v>
      </c>
      <c r="D110" s="3">
        <f t="shared" si="186"/>
        <v>15.498574551808913</v>
      </c>
      <c r="E110" s="3"/>
      <c r="G110" t="s">
        <v>11</v>
      </c>
      <c r="H110" s="3"/>
      <c r="I110" s="3">
        <f t="shared" si="195"/>
        <v>31.651767712384419</v>
      </c>
      <c r="J110" s="3">
        <f t="shared" si="187"/>
        <v>16.447665465034952</v>
      </c>
      <c r="K110" s="3">
        <f t="shared" si="187"/>
        <v>13.324599584508153</v>
      </c>
      <c r="M110" t="s">
        <v>11</v>
      </c>
      <c r="N110" s="3"/>
      <c r="O110" s="3">
        <f t="shared" si="196"/>
        <v>-18.74881459148326</v>
      </c>
      <c r="P110" s="3">
        <f t="shared" si="188"/>
        <v>48.830378661014933</v>
      </c>
      <c r="Q110" s="3">
        <f t="shared" si="188"/>
        <v>0.51469700050155809</v>
      </c>
      <c r="R110" s="3"/>
      <c r="S110" s="4"/>
      <c r="U110" t="s">
        <v>11</v>
      </c>
      <c r="V110" s="3"/>
      <c r="W110" s="3">
        <f t="shared" si="197"/>
        <v>48.390109338222331</v>
      </c>
      <c r="X110" s="3">
        <f t="shared" ref="X110" si="202">(W$23-X8)/7</f>
        <v>15.498574551808913</v>
      </c>
      <c r="Y110" s="3"/>
      <c r="AA110" t="s">
        <v>11</v>
      </c>
      <c r="AB110" s="3"/>
      <c r="AC110" s="3">
        <f t="shared" si="198"/>
        <v>31.651767712384419</v>
      </c>
      <c r="AD110" s="3">
        <f t="shared" si="191"/>
        <v>9.3962330058336168</v>
      </c>
      <c r="AE110" s="3">
        <f t="shared" si="192"/>
        <v>13.324599584508153</v>
      </c>
      <c r="AG110" t="s">
        <v>11</v>
      </c>
      <c r="AH110" s="3"/>
      <c r="AI110" s="3">
        <f t="shared" si="199"/>
        <v>-18.74881459148326</v>
      </c>
      <c r="AJ110" s="3">
        <f t="shared" si="193"/>
        <v>48.830378661014933</v>
      </c>
      <c r="AK110" s="3">
        <f t="shared" si="200"/>
        <v>0.51469700050155809</v>
      </c>
    </row>
    <row r="111" spans="1:37" x14ac:dyDescent="0.25">
      <c r="A111" t="s">
        <v>12</v>
      </c>
      <c r="B111" s="3"/>
      <c r="C111" s="3">
        <f t="shared" si="194"/>
        <v>26.723126069857194</v>
      </c>
      <c r="D111" s="3"/>
      <c r="E111" s="3">
        <f t="shared" si="186"/>
        <v>38.484204778628005</v>
      </c>
      <c r="G111" t="s">
        <v>12</v>
      </c>
      <c r="H111" s="3"/>
      <c r="I111" s="3">
        <f t="shared" si="195"/>
        <v>15.192434967668564</v>
      </c>
      <c r="J111" s="3">
        <f t="shared" si="187"/>
        <v>18.238815183089091</v>
      </c>
      <c r="K111" s="3">
        <f t="shared" si="187"/>
        <v>54.954724082209715</v>
      </c>
      <c r="M111" t="s">
        <v>12</v>
      </c>
      <c r="N111" s="3"/>
      <c r="O111" s="3">
        <f t="shared" si="196"/>
        <v>19.551504847324598</v>
      </c>
      <c r="P111" s="3">
        <f t="shared" si="188"/>
        <v>25.365851133965652</v>
      </c>
      <c r="Q111" s="3">
        <f t="shared" si="188"/>
        <v>36.390691219699555</v>
      </c>
      <c r="R111" s="3"/>
      <c r="S111" s="4"/>
      <c r="U111" t="s">
        <v>12</v>
      </c>
      <c r="V111" s="3"/>
      <c r="W111" s="3">
        <f t="shared" si="197"/>
        <v>26.723126069857194</v>
      </c>
      <c r="X111" s="3"/>
      <c r="Y111" s="3">
        <f t="shared" ref="Y111:Y112" si="203">(X$23-Y9)/7</f>
        <v>38.484204778628005</v>
      </c>
      <c r="AA111" t="s">
        <v>12</v>
      </c>
      <c r="AB111" s="3"/>
      <c r="AC111" s="3">
        <f t="shared" si="198"/>
        <v>15.192434967668564</v>
      </c>
      <c r="AD111" s="3">
        <f t="shared" si="191"/>
        <v>11.187382723887756</v>
      </c>
      <c r="AE111" s="3">
        <f t="shared" si="192"/>
        <v>54.954724082209715</v>
      </c>
      <c r="AG111" t="s">
        <v>12</v>
      </c>
      <c r="AH111" s="3"/>
      <c r="AI111" s="3">
        <f t="shared" si="199"/>
        <v>19.551504847324598</v>
      </c>
      <c r="AJ111" s="3">
        <f t="shared" si="193"/>
        <v>25.365851133965652</v>
      </c>
      <c r="AK111" s="3">
        <f t="shared" si="200"/>
        <v>36.390691219699555</v>
      </c>
    </row>
    <row r="112" spans="1:37" x14ac:dyDescent="0.25">
      <c r="A112" t="s">
        <v>13</v>
      </c>
      <c r="B112" s="3"/>
      <c r="C112" s="3">
        <f t="shared" si="194"/>
        <v>-12.747672643231949</v>
      </c>
      <c r="D112" s="3">
        <f t="shared" si="186"/>
        <v>-10.343777800677231</v>
      </c>
      <c r="E112" s="3">
        <f t="shared" si="186"/>
        <v>36.969178739396725</v>
      </c>
      <c r="G112" t="s">
        <v>13</v>
      </c>
      <c r="H112" s="3"/>
      <c r="I112" s="3">
        <f t="shared" si="195"/>
        <v>21.190999367379561</v>
      </c>
      <c r="J112" s="3">
        <f t="shared" si="187"/>
        <v>28.132655023704665</v>
      </c>
      <c r="K112" s="3">
        <f t="shared" si="187"/>
        <v>33.814290857641296</v>
      </c>
      <c r="M112" t="s">
        <v>13</v>
      </c>
      <c r="N112" s="3"/>
      <c r="O112" s="3">
        <f t="shared" si="196"/>
        <v>19.473235339247456</v>
      </c>
      <c r="P112" s="3">
        <f t="shared" si="188"/>
        <v>20.120735490213217</v>
      </c>
      <c r="Q112" s="3">
        <f t="shared" si="188"/>
        <v>18.43473814497127</v>
      </c>
      <c r="R112" s="3"/>
      <c r="S112" s="4"/>
      <c r="U112" t="s">
        <v>13</v>
      </c>
      <c r="V112" s="3"/>
      <c r="W112" s="3">
        <f t="shared" si="197"/>
        <v>-12.747672643231949</v>
      </c>
      <c r="X112" s="3">
        <f t="shared" ref="X112" si="204">(W$23-X10)/7</f>
        <v>-10.343777800677231</v>
      </c>
      <c r="Y112" s="3">
        <f t="shared" si="203"/>
        <v>36.969178739396725</v>
      </c>
      <c r="AA112" t="s">
        <v>13</v>
      </c>
      <c r="AB112" s="3"/>
      <c r="AC112" s="3">
        <f t="shared" si="198"/>
        <v>21.190999367379561</v>
      </c>
      <c r="AD112" s="3">
        <f t="shared" si="191"/>
        <v>21.081222564503328</v>
      </c>
      <c r="AE112" s="3">
        <f t="shared" si="192"/>
        <v>33.814290857641296</v>
      </c>
      <c r="AG112" t="s">
        <v>13</v>
      </c>
      <c r="AH112" s="3"/>
      <c r="AI112" s="3">
        <f t="shared" si="199"/>
        <v>19.473235339247456</v>
      </c>
      <c r="AJ112" s="3">
        <f t="shared" si="193"/>
        <v>20.120735490213217</v>
      </c>
      <c r="AK112" s="3">
        <f t="shared" si="200"/>
        <v>18.43473814497127</v>
      </c>
    </row>
    <row r="113" spans="1:37" x14ac:dyDescent="0.25">
      <c r="A113" t="s">
        <v>5</v>
      </c>
      <c r="C113" s="3"/>
      <c r="D113" s="3"/>
      <c r="E113" s="3"/>
      <c r="G113" t="s">
        <v>5</v>
      </c>
      <c r="I113" s="3"/>
      <c r="J113" s="3"/>
      <c r="K113" s="3"/>
      <c r="M113" t="s">
        <v>5</v>
      </c>
      <c r="O113" s="3"/>
      <c r="P113" s="3"/>
      <c r="Q113" s="3"/>
      <c r="R113" s="3"/>
      <c r="S113" s="4"/>
      <c r="U113" t="s">
        <v>5</v>
      </c>
      <c r="W113" s="3"/>
      <c r="X113" s="3"/>
      <c r="Y113" s="3"/>
      <c r="AA113" t="s">
        <v>5</v>
      </c>
      <c r="AC113" s="3"/>
      <c r="AD113" s="3"/>
      <c r="AE113" s="3"/>
      <c r="AG113" t="s">
        <v>5</v>
      </c>
      <c r="AI113" s="3"/>
      <c r="AJ113" s="3"/>
      <c r="AK113" s="3"/>
    </row>
    <row r="114" spans="1:37" x14ac:dyDescent="0.25">
      <c r="A114" t="s">
        <v>7</v>
      </c>
      <c r="C114" s="3"/>
      <c r="D114" s="3"/>
      <c r="E114" s="3"/>
      <c r="G114" t="s">
        <v>7</v>
      </c>
      <c r="I114" s="3"/>
      <c r="J114" s="3"/>
      <c r="K114" s="3"/>
      <c r="M114" t="s">
        <v>7</v>
      </c>
      <c r="O114" s="3"/>
      <c r="P114" s="3"/>
      <c r="Q114" s="3"/>
      <c r="R114" s="3"/>
      <c r="S114" s="4"/>
      <c r="U114" t="s">
        <v>7</v>
      </c>
      <c r="W114" s="3"/>
      <c r="X114" s="3"/>
      <c r="Y114" s="3"/>
      <c r="AA114" t="s">
        <v>7</v>
      </c>
      <c r="AC114" s="3"/>
      <c r="AD114" s="3"/>
      <c r="AE114" s="3"/>
      <c r="AG114" t="s">
        <v>7</v>
      </c>
      <c r="AI114" s="3"/>
      <c r="AJ114" s="3"/>
      <c r="AK114" s="3"/>
    </row>
    <row r="115" spans="1:37" x14ac:dyDescent="0.25">
      <c r="A115" t="s">
        <v>8</v>
      </c>
      <c r="C115" s="3"/>
      <c r="D115" s="3"/>
      <c r="E115" s="3"/>
      <c r="G115" t="s">
        <v>8</v>
      </c>
      <c r="I115" s="3"/>
      <c r="J115" s="3"/>
      <c r="K115" s="3"/>
      <c r="M115" t="s">
        <v>8</v>
      </c>
      <c r="O115" s="3"/>
      <c r="P115" s="3"/>
      <c r="Q115" s="3"/>
      <c r="R115" s="3"/>
      <c r="S115" s="4"/>
      <c r="U115" t="s">
        <v>8</v>
      </c>
      <c r="W115" s="3"/>
      <c r="X115" s="3"/>
      <c r="Y115" s="3"/>
      <c r="AA115" t="s">
        <v>8</v>
      </c>
      <c r="AC115" s="3"/>
      <c r="AD115" s="3"/>
      <c r="AE115" s="3"/>
      <c r="AG115" t="s">
        <v>8</v>
      </c>
      <c r="AI115" s="3"/>
      <c r="AJ115" s="3"/>
      <c r="AK115" s="3"/>
    </row>
    <row r="116" spans="1:37" x14ac:dyDescent="0.25">
      <c r="A116" t="s">
        <v>9</v>
      </c>
      <c r="C116" s="3"/>
      <c r="D116" s="3"/>
      <c r="E116" s="3"/>
      <c r="G116" t="s">
        <v>9</v>
      </c>
      <c r="I116" s="3"/>
      <c r="J116" s="3"/>
      <c r="K116" s="3"/>
      <c r="M116" t="s">
        <v>9</v>
      </c>
      <c r="O116" s="3"/>
      <c r="P116" s="3"/>
      <c r="Q116" s="3"/>
      <c r="R116" s="3"/>
      <c r="S116" s="4"/>
      <c r="U116" t="s">
        <v>9</v>
      </c>
      <c r="W116" s="3"/>
      <c r="X116" s="3"/>
      <c r="Y116" s="3"/>
      <c r="AA116" t="s">
        <v>9</v>
      </c>
      <c r="AC116" s="3"/>
      <c r="AD116" s="3"/>
      <c r="AE116" s="3"/>
      <c r="AG116" t="s">
        <v>9</v>
      </c>
      <c r="AI116" s="3"/>
      <c r="AJ116" s="3"/>
      <c r="AK116" s="3"/>
    </row>
    <row r="117" spans="1:37" x14ac:dyDescent="0.25">
      <c r="A117" t="s">
        <v>10</v>
      </c>
      <c r="C117" s="3"/>
      <c r="D117" s="3"/>
      <c r="E117" s="3"/>
      <c r="G117" t="s">
        <v>10</v>
      </c>
      <c r="I117" s="3"/>
      <c r="J117" s="3"/>
      <c r="K117" s="3"/>
      <c r="M117" t="s">
        <v>10</v>
      </c>
      <c r="O117" s="3"/>
      <c r="P117" s="3"/>
      <c r="Q117" s="3"/>
      <c r="R117" s="3"/>
      <c r="S117" s="4"/>
      <c r="U117" t="s">
        <v>10</v>
      </c>
      <c r="W117" s="3"/>
      <c r="X117" s="3"/>
      <c r="Y117" s="3"/>
      <c r="AA117" t="s">
        <v>10</v>
      </c>
      <c r="AC117" s="3"/>
      <c r="AD117" s="3"/>
      <c r="AE117" s="3"/>
      <c r="AG117" t="s">
        <v>10</v>
      </c>
      <c r="AI117" s="3"/>
      <c r="AJ117" s="3"/>
      <c r="AK117" s="3"/>
    </row>
    <row r="118" spans="1:37" x14ac:dyDescent="0.25">
      <c r="A118" t="s">
        <v>11</v>
      </c>
      <c r="C118" s="3"/>
      <c r="D118" s="3"/>
      <c r="E118" s="3"/>
      <c r="G118" t="s">
        <v>11</v>
      </c>
      <c r="I118" s="3"/>
      <c r="J118" s="3"/>
      <c r="K118" s="3"/>
      <c r="M118" t="s">
        <v>11</v>
      </c>
      <c r="O118" s="3"/>
      <c r="P118" s="3"/>
      <c r="Q118" s="3"/>
      <c r="R118" s="3"/>
      <c r="S118" s="4"/>
      <c r="U118" t="s">
        <v>11</v>
      </c>
      <c r="W118" s="3"/>
      <c r="X118" s="3"/>
      <c r="Y118" s="3"/>
      <c r="AA118" t="s">
        <v>11</v>
      </c>
      <c r="AC118" s="3"/>
      <c r="AD118" s="3"/>
      <c r="AE118" s="3"/>
      <c r="AG118" t="s">
        <v>11</v>
      </c>
      <c r="AI118" s="3"/>
      <c r="AJ118" s="3"/>
      <c r="AK118" s="3"/>
    </row>
    <row r="119" spans="1:37" x14ac:dyDescent="0.25">
      <c r="A119" t="s">
        <v>12</v>
      </c>
      <c r="C119" s="3"/>
      <c r="D119" s="3"/>
      <c r="E119" s="3"/>
      <c r="G119" t="s">
        <v>12</v>
      </c>
      <c r="I119" s="3"/>
      <c r="J119" s="3"/>
      <c r="K119" s="3"/>
      <c r="M119" t="s">
        <v>12</v>
      </c>
      <c r="O119" s="3"/>
      <c r="P119" s="3"/>
      <c r="Q119" s="3"/>
      <c r="R119" s="3"/>
      <c r="S119" s="4"/>
      <c r="U119" t="s">
        <v>12</v>
      </c>
      <c r="W119" s="3"/>
      <c r="X119" s="3"/>
      <c r="Y119" s="3"/>
      <c r="AA119" t="s">
        <v>12</v>
      </c>
      <c r="AC119" s="3"/>
      <c r="AD119" s="3"/>
      <c r="AE119" s="3"/>
      <c r="AG119" t="s">
        <v>12</v>
      </c>
      <c r="AI119" s="3"/>
      <c r="AJ119" s="3"/>
      <c r="AK119" s="3"/>
    </row>
    <row r="120" spans="1:37" x14ac:dyDescent="0.25">
      <c r="A120" t="s">
        <v>13</v>
      </c>
      <c r="C120" s="3"/>
      <c r="D120" s="3"/>
      <c r="E120" s="3"/>
      <c r="G120" t="s">
        <v>13</v>
      </c>
      <c r="I120" s="3"/>
      <c r="J120" s="3"/>
      <c r="K120" s="3"/>
      <c r="M120" t="s">
        <v>13</v>
      </c>
      <c r="O120" s="3"/>
      <c r="P120" s="3"/>
      <c r="Q120" s="3"/>
      <c r="R120" s="3"/>
      <c r="S120" s="4"/>
      <c r="U120" t="s">
        <v>13</v>
      </c>
      <c r="W120" s="3"/>
      <c r="X120" s="3"/>
      <c r="Y120" s="3"/>
      <c r="AA120" t="s">
        <v>13</v>
      </c>
      <c r="AC120" s="3"/>
      <c r="AD120" s="3"/>
      <c r="AE120" s="3"/>
      <c r="AG120" t="s">
        <v>13</v>
      </c>
      <c r="AI120" s="3"/>
      <c r="AJ120" s="3"/>
      <c r="AK120" s="3"/>
    </row>
    <row r="121" spans="1:37" x14ac:dyDescent="0.25">
      <c r="A121" s="2"/>
      <c r="B121" s="2"/>
      <c r="C121" s="2"/>
      <c r="D121" s="2"/>
      <c r="E121" s="2"/>
      <c r="G121" s="2"/>
      <c r="H121" s="2"/>
      <c r="I121" s="2"/>
      <c r="J121" s="2"/>
      <c r="K121" s="2"/>
      <c r="M121" s="2"/>
      <c r="N121" s="2"/>
      <c r="O121" s="2"/>
      <c r="P121" s="2"/>
      <c r="Q121" s="2"/>
      <c r="R121" s="3"/>
      <c r="S121" s="4"/>
      <c r="U121" s="2"/>
      <c r="V121" s="2"/>
      <c r="W121" s="2"/>
      <c r="X121" s="2"/>
      <c r="Y121" s="2"/>
      <c r="AA121" s="2"/>
      <c r="AB121" s="2"/>
      <c r="AC121" s="2"/>
      <c r="AD121" s="2"/>
      <c r="AE121" s="2"/>
      <c r="AG121" s="2"/>
      <c r="AH121" s="2"/>
      <c r="AI121" s="2"/>
      <c r="AJ121" s="2"/>
      <c r="AK121" s="2"/>
    </row>
    <row r="122" spans="1:37" x14ac:dyDescent="0.25">
      <c r="A122" t="s">
        <v>14</v>
      </c>
      <c r="B122">
        <f>COUNT(B105:B120)</f>
        <v>0</v>
      </c>
      <c r="C122">
        <f t="shared" ref="C122:E122" si="205">COUNT(C105:C120)</f>
        <v>8</v>
      </c>
      <c r="D122">
        <f t="shared" si="205"/>
        <v>6</v>
      </c>
      <c r="E122">
        <f t="shared" si="205"/>
        <v>5</v>
      </c>
      <c r="G122" t="s">
        <v>14</v>
      </c>
      <c r="H122">
        <f>COUNT(H105:H120)</f>
        <v>0</v>
      </c>
      <c r="I122">
        <f t="shared" ref="I122:K122" si="206">COUNT(I105:I120)</f>
        <v>8</v>
      </c>
      <c r="J122">
        <f t="shared" si="206"/>
        <v>8</v>
      </c>
      <c r="K122">
        <f t="shared" si="206"/>
        <v>8</v>
      </c>
      <c r="M122" t="s">
        <v>14</v>
      </c>
      <c r="N122">
        <f>COUNT(N105:N120)</f>
        <v>0</v>
      </c>
      <c r="O122">
        <f t="shared" ref="O122:Q122" si="207">COUNT(O105:O120)</f>
        <v>8</v>
      </c>
      <c r="P122">
        <f t="shared" si="207"/>
        <v>8</v>
      </c>
      <c r="Q122">
        <f t="shared" si="207"/>
        <v>8</v>
      </c>
      <c r="R122" s="3"/>
      <c r="S122" s="4"/>
      <c r="U122" t="s">
        <v>14</v>
      </c>
      <c r="V122">
        <f>COUNT(V105:V120)</f>
        <v>0</v>
      </c>
      <c r="W122">
        <f t="shared" ref="W122:Y122" si="208">COUNT(W105:W120)</f>
        <v>8</v>
      </c>
      <c r="X122">
        <f t="shared" si="208"/>
        <v>6</v>
      </c>
      <c r="Y122">
        <f t="shared" si="208"/>
        <v>5</v>
      </c>
      <c r="AA122" t="s">
        <v>14</v>
      </c>
      <c r="AB122">
        <f>COUNT(AB105:AB120)</f>
        <v>0</v>
      </c>
      <c r="AC122">
        <f t="shared" ref="AC122:AE122" si="209">COUNT(AC105:AC120)</f>
        <v>7</v>
      </c>
      <c r="AD122">
        <f t="shared" si="209"/>
        <v>8</v>
      </c>
      <c r="AE122">
        <f t="shared" si="209"/>
        <v>8</v>
      </c>
      <c r="AG122" t="s">
        <v>14</v>
      </c>
      <c r="AH122">
        <f>COUNT(AH105:AH120)</f>
        <v>0</v>
      </c>
      <c r="AI122">
        <f t="shared" ref="AI122:AK122" si="210">COUNT(AI105:AI120)</f>
        <v>8</v>
      </c>
      <c r="AJ122">
        <f t="shared" si="210"/>
        <v>8</v>
      </c>
      <c r="AK122">
        <f t="shared" si="210"/>
        <v>7</v>
      </c>
    </row>
    <row r="123" spans="1:37" x14ac:dyDescent="0.25">
      <c r="A123" t="s">
        <v>15</v>
      </c>
      <c r="B123">
        <f>MAX(B105:B120)</f>
        <v>0</v>
      </c>
      <c r="C123">
        <f t="shared" ref="C123:E123" si="211">MAX(C105:C120)</f>
        <v>48.390109338222331</v>
      </c>
      <c r="D123">
        <f t="shared" si="211"/>
        <v>24.662070959393628</v>
      </c>
      <c r="E123">
        <f t="shared" si="211"/>
        <v>38.484204778628005</v>
      </c>
      <c r="G123" t="s">
        <v>15</v>
      </c>
      <c r="H123">
        <f>MAX(H105:H120)</f>
        <v>0</v>
      </c>
      <c r="I123">
        <f t="shared" ref="I123:K123" si="212">MAX(I105:I120)</f>
        <v>31.651767712384419</v>
      </c>
      <c r="J123">
        <f t="shared" si="212"/>
        <v>28.132655023704665</v>
      </c>
      <c r="K123">
        <f t="shared" si="212"/>
        <v>54.954724082209715</v>
      </c>
      <c r="M123" t="s">
        <v>15</v>
      </c>
      <c r="N123">
        <f>MAX(N105:N120)</f>
        <v>0</v>
      </c>
      <c r="O123">
        <f t="shared" ref="O123:Q123" si="213">MAX(O105:O120)</f>
        <v>28.281433118196599</v>
      </c>
      <c r="P123">
        <f t="shared" si="213"/>
        <v>48.830378661014933</v>
      </c>
      <c r="Q123">
        <f t="shared" si="213"/>
        <v>67.279517365682366</v>
      </c>
      <c r="R123" s="3"/>
      <c r="S123" s="4"/>
      <c r="U123" t="s">
        <v>15</v>
      </c>
      <c r="V123">
        <f>MAX(V105:V120)</f>
        <v>0</v>
      </c>
      <c r="W123">
        <f t="shared" ref="W123:Y123" si="214">MAX(W105:W120)</f>
        <v>48.390109338222331</v>
      </c>
      <c r="X123">
        <f t="shared" si="214"/>
        <v>24.662070959393628</v>
      </c>
      <c r="Y123">
        <f t="shared" si="214"/>
        <v>38.484204778628005</v>
      </c>
      <c r="AA123" t="s">
        <v>15</v>
      </c>
      <c r="AB123">
        <f>MAX(AB105:AB120)</f>
        <v>0</v>
      </c>
      <c r="AC123">
        <f t="shared" ref="AC123:AE123" si="215">MAX(AC105:AC120)</f>
        <v>31.651767712384419</v>
      </c>
      <c r="AD123">
        <f t="shared" si="215"/>
        <v>21.081222564503328</v>
      </c>
      <c r="AE123">
        <f t="shared" si="215"/>
        <v>54.954724082209715</v>
      </c>
      <c r="AG123" t="s">
        <v>15</v>
      </c>
      <c r="AH123">
        <f>MAX(AH105:AH120)</f>
        <v>0</v>
      </c>
      <c r="AI123">
        <f t="shared" ref="AI123:AK123" si="216">MAX(AI105:AI120)</f>
        <v>28.281433118196599</v>
      </c>
      <c r="AJ123">
        <f t="shared" si="216"/>
        <v>48.830378661014933</v>
      </c>
      <c r="AK123">
        <f t="shared" si="216"/>
        <v>67.279517365682366</v>
      </c>
    </row>
    <row r="124" spans="1:37" x14ac:dyDescent="0.25">
      <c r="A124" t="s">
        <v>16</v>
      </c>
      <c r="B124">
        <f>MIN(B105:B120)</f>
        <v>0</v>
      </c>
      <c r="C124">
        <f t="shared" ref="C124:E124" si="217">MIN(C105:C120)</f>
        <v>-52.029537720302372</v>
      </c>
      <c r="D124">
        <f t="shared" si="217"/>
        <v>-44.114922080516507</v>
      </c>
      <c r="E124">
        <f t="shared" si="217"/>
        <v>-37.432253699007859</v>
      </c>
      <c r="G124" t="s">
        <v>16</v>
      </c>
      <c r="H124">
        <f>MIN(H105:H120)</f>
        <v>0</v>
      </c>
      <c r="I124">
        <f t="shared" ref="I124:K124" si="218">MIN(I105:I120)</f>
        <v>-38.735579522390431</v>
      </c>
      <c r="J124">
        <f t="shared" si="218"/>
        <v>-35.121330833044055</v>
      </c>
      <c r="K124">
        <f t="shared" si="218"/>
        <v>3.4986700848475851</v>
      </c>
      <c r="M124" t="s">
        <v>16</v>
      </c>
      <c r="N124">
        <f>MIN(N105:N120)</f>
        <v>0</v>
      </c>
      <c r="O124">
        <f t="shared" ref="O124:Q124" si="219">MIN(O105:O120)</f>
        <v>-38.708050599758394</v>
      </c>
      <c r="P124">
        <f t="shared" si="219"/>
        <v>-24.231226286707788</v>
      </c>
      <c r="Q124">
        <f t="shared" si="219"/>
        <v>-85.961377923747023</v>
      </c>
      <c r="S124" s="4"/>
      <c r="U124" t="s">
        <v>16</v>
      </c>
      <c r="V124">
        <f>MIN(V105:V120)</f>
        <v>0</v>
      </c>
      <c r="W124">
        <f t="shared" ref="W124:Y124" si="220">MIN(W105:W120)</f>
        <v>-52.029537720302372</v>
      </c>
      <c r="X124">
        <f t="shared" si="220"/>
        <v>-44.114922080516507</v>
      </c>
      <c r="Y124">
        <f t="shared" si="220"/>
        <v>-37.432253699007859</v>
      </c>
      <c r="AA124" t="s">
        <v>16</v>
      </c>
      <c r="AB124">
        <f>MIN(AB105:AB120)</f>
        <v>0</v>
      </c>
      <c r="AC124">
        <f t="shared" ref="AC124:AE124" si="221">MIN(AC105:AC120)</f>
        <v>-3.3575605110071529</v>
      </c>
      <c r="AD124">
        <f t="shared" si="221"/>
        <v>-42.172763292245392</v>
      </c>
      <c r="AE124">
        <f t="shared" si="221"/>
        <v>3.4986700848475851</v>
      </c>
      <c r="AG124" t="s">
        <v>16</v>
      </c>
      <c r="AH124">
        <f>MIN(AH105:AH120)</f>
        <v>0</v>
      </c>
      <c r="AI124">
        <f t="shared" ref="AI124:AK124" si="222">MIN(AI105:AI120)</f>
        <v>-38.708050599758394</v>
      </c>
      <c r="AJ124">
        <f t="shared" si="222"/>
        <v>-24.231226286707788</v>
      </c>
      <c r="AK124">
        <f t="shared" si="222"/>
        <v>0.51469700050155809</v>
      </c>
    </row>
    <row r="125" spans="1:37" x14ac:dyDescent="0.25">
      <c r="A125" t="s">
        <v>17</v>
      </c>
      <c r="B125" t="e">
        <f>AVERAGE(B105:B120)</f>
        <v>#DIV/0!</v>
      </c>
      <c r="C125">
        <f t="shared" ref="C125:E125" si="223">AVERAGE(C105:C120)</f>
        <v>-1.4607664340865927</v>
      </c>
      <c r="D125">
        <f t="shared" si="223"/>
        <v>5.2356780404089145</v>
      </c>
      <c r="E125">
        <f t="shared" si="223"/>
        <v>4.7202561907075467</v>
      </c>
      <c r="G125" t="s">
        <v>17</v>
      </c>
      <c r="H125" t="e">
        <f>AVERAGE(H105:H120)</f>
        <v>#DIV/0!</v>
      </c>
      <c r="I125">
        <f t="shared" ref="I125:K125" si="224">AVERAGE(I105:I120)</f>
        <v>10.624447692018903</v>
      </c>
      <c r="J125">
        <f t="shared" si="224"/>
        <v>2.6596229624637862</v>
      </c>
      <c r="K125">
        <f t="shared" si="224"/>
        <v>26.402883317910579</v>
      </c>
      <c r="M125" t="s">
        <v>17</v>
      </c>
      <c r="N125" t="e">
        <f>AVERAGE(N105:N120)</f>
        <v>#DIV/0!</v>
      </c>
      <c r="O125">
        <f t="shared" ref="O125:Q125" si="225">AVERAGE(O105:O120)</f>
        <v>-9.340500755552327</v>
      </c>
      <c r="P125">
        <f t="shared" si="225"/>
        <v>6.6710574946202374</v>
      </c>
      <c r="Q125">
        <f t="shared" si="225"/>
        <v>12.422611813450445</v>
      </c>
      <c r="S125" s="4"/>
      <c r="U125" t="s">
        <v>17</v>
      </c>
      <c r="V125" t="e">
        <f>AVERAGE(V105:V120)</f>
        <v>#DIV/0!</v>
      </c>
      <c r="W125">
        <f t="shared" ref="W125:Y125" si="226">AVERAGE(W105:W120)</f>
        <v>-1.4607664340865927</v>
      </c>
      <c r="X125">
        <f t="shared" si="226"/>
        <v>5.2356780404089145</v>
      </c>
      <c r="Y125">
        <f t="shared" si="226"/>
        <v>4.7202561907075467</v>
      </c>
      <c r="AA125" t="s">
        <v>17</v>
      </c>
      <c r="AB125" t="e">
        <f>AVERAGE(AB105:AB120)</f>
        <v>#DIV/0!</v>
      </c>
      <c r="AC125">
        <f t="shared" ref="AC125:AE125" si="227">AVERAGE(AC105:AC120)</f>
        <v>17.675880151220237</v>
      </c>
      <c r="AD125">
        <f t="shared" si="227"/>
        <v>-4.3918094967375492</v>
      </c>
      <c r="AE125">
        <f t="shared" si="227"/>
        <v>26.402883317910579</v>
      </c>
      <c r="AG125" t="s">
        <v>17</v>
      </c>
      <c r="AH125" t="e">
        <f>AVERAGE(AH105:AH120)</f>
        <v>#DIV/0!</v>
      </c>
      <c r="AI125">
        <f t="shared" ref="AI125:AK125" si="228">AVERAGE(AI105:AI120)</f>
        <v>-9.340500755552327</v>
      </c>
      <c r="AJ125">
        <f t="shared" si="228"/>
        <v>6.6710574946202374</v>
      </c>
      <c r="AK125">
        <f t="shared" si="228"/>
        <v>26.477467490192939</v>
      </c>
    </row>
    <row r="126" spans="1:37" x14ac:dyDescent="0.25">
      <c r="A126" t="s">
        <v>18</v>
      </c>
      <c r="B126" t="e">
        <f>STDEV(B105:B120)</f>
        <v>#DIV/0!</v>
      </c>
      <c r="C126">
        <f t="shared" ref="C126:E126" si="229">STDEV(C105:C120)</f>
        <v>33.927017368955553</v>
      </c>
      <c r="D126">
        <f t="shared" si="229"/>
        <v>27.505353674827962</v>
      </c>
      <c r="E126">
        <f t="shared" si="229"/>
        <v>33.976918347544</v>
      </c>
      <c r="G126" t="s">
        <v>18</v>
      </c>
      <c r="H126" t="e">
        <f>STDEV(H105:H120)</f>
        <v>#DIV/0!</v>
      </c>
      <c r="I126">
        <f t="shared" ref="I126:K126" si="230">STDEV(I105:I120)</f>
        <v>22.279272381326475</v>
      </c>
      <c r="J126">
        <f t="shared" si="230"/>
        <v>22.843697869699319</v>
      </c>
      <c r="K126">
        <f t="shared" si="230"/>
        <v>18.445335848603015</v>
      </c>
      <c r="M126" t="s">
        <v>18</v>
      </c>
      <c r="N126" t="e">
        <f>STDEV(N105:N120)</f>
        <v>#DIV/0!</v>
      </c>
      <c r="O126">
        <f t="shared" ref="O126:Q126" si="231">STDEV(O105:O120)</f>
        <v>27.667988570653588</v>
      </c>
      <c r="P126">
        <f t="shared" si="231"/>
        <v>25.097321046898944</v>
      </c>
      <c r="Q126">
        <f t="shared" si="231"/>
        <v>44.629065422336765</v>
      </c>
      <c r="S126" s="4"/>
      <c r="U126" t="s">
        <v>18</v>
      </c>
      <c r="V126" t="e">
        <f>STDEV(V105:V120)</f>
        <v>#DIV/0!</v>
      </c>
      <c r="W126">
        <f t="shared" ref="W126:Y126" si="232">STDEV(W105:W120)</f>
        <v>33.927017368955553</v>
      </c>
      <c r="X126">
        <f t="shared" si="232"/>
        <v>27.505353674827962</v>
      </c>
      <c r="Y126">
        <f t="shared" si="232"/>
        <v>33.976918347544</v>
      </c>
      <c r="AA126" t="s">
        <v>18</v>
      </c>
      <c r="AB126" t="e">
        <f>STDEV(AB105:AB120)</f>
        <v>#DIV/0!</v>
      </c>
      <c r="AC126">
        <f t="shared" ref="AC126:AE126" si="233">STDEV(AC105:AC120)</f>
        <v>10.724509780524379</v>
      </c>
      <c r="AD126">
        <f t="shared" si="233"/>
        <v>22.843697869699319</v>
      </c>
      <c r="AE126">
        <f t="shared" si="233"/>
        <v>18.445335848603015</v>
      </c>
      <c r="AG126" t="s">
        <v>18</v>
      </c>
      <c r="AH126" t="e">
        <f>STDEV(AH105:AH120)</f>
        <v>#DIV/0!</v>
      </c>
      <c r="AI126">
        <f t="shared" ref="AI126:AK126" si="234">STDEV(AI105:AI120)</f>
        <v>27.667988570653588</v>
      </c>
      <c r="AJ126">
        <f t="shared" si="234"/>
        <v>25.097321046898944</v>
      </c>
      <c r="AK126">
        <f t="shared" si="234"/>
        <v>21.909252801921777</v>
      </c>
    </row>
    <row r="127" spans="1:37" x14ac:dyDescent="0.25">
      <c r="A127" t="s">
        <v>19</v>
      </c>
      <c r="B127" t="e">
        <f>B125+2*B126</f>
        <v>#DIV/0!</v>
      </c>
      <c r="C127">
        <f t="shared" ref="C127:E127" si="235">C125+2*C126</f>
        <v>66.393268303824513</v>
      </c>
      <c r="D127">
        <f t="shared" si="235"/>
        <v>60.246385390064837</v>
      </c>
      <c r="E127">
        <f t="shared" si="235"/>
        <v>72.674092885795545</v>
      </c>
      <c r="G127" t="s">
        <v>19</v>
      </c>
      <c r="H127" t="e">
        <f>H125+2*H126</f>
        <v>#DIV/0!</v>
      </c>
      <c r="I127">
        <f t="shared" ref="I127:K127" si="236">I125+2*I126</f>
        <v>55.182992454671854</v>
      </c>
      <c r="J127">
        <f t="shared" si="236"/>
        <v>48.347018701862424</v>
      </c>
      <c r="K127">
        <f t="shared" si="236"/>
        <v>63.29355501511661</v>
      </c>
      <c r="M127" t="s">
        <v>19</v>
      </c>
      <c r="N127" t="e">
        <f>N125+2*N126</f>
        <v>#DIV/0!</v>
      </c>
      <c r="O127">
        <f t="shared" ref="O127:Q127" si="237">O125+2*O126</f>
        <v>45.995476385754849</v>
      </c>
      <c r="P127">
        <f t="shared" si="237"/>
        <v>56.865699588418124</v>
      </c>
      <c r="Q127">
        <f t="shared" si="237"/>
        <v>101.68074265812398</v>
      </c>
      <c r="S127" s="4"/>
      <c r="U127" t="s">
        <v>19</v>
      </c>
      <c r="V127" t="e">
        <f>V125+2*V126</f>
        <v>#DIV/0!</v>
      </c>
      <c r="W127">
        <f t="shared" ref="W127:Y127" si="238">W125+2*W126</f>
        <v>66.393268303824513</v>
      </c>
      <c r="X127">
        <f t="shared" si="238"/>
        <v>60.246385390064837</v>
      </c>
      <c r="Y127">
        <f t="shared" si="238"/>
        <v>72.674092885795545</v>
      </c>
      <c r="AA127" t="s">
        <v>19</v>
      </c>
      <c r="AB127" t="e">
        <f>AB125+2*AB126</f>
        <v>#DIV/0!</v>
      </c>
      <c r="AC127">
        <f t="shared" ref="AC127:AE127" si="239">AC125+2*AC126</f>
        <v>39.124899712268999</v>
      </c>
      <c r="AD127">
        <f t="shared" si="239"/>
        <v>41.295586242661088</v>
      </c>
      <c r="AE127">
        <f t="shared" si="239"/>
        <v>63.29355501511661</v>
      </c>
      <c r="AG127" t="s">
        <v>19</v>
      </c>
      <c r="AH127" t="e">
        <f>AH125+2*AH126</f>
        <v>#DIV/0!</v>
      </c>
      <c r="AI127">
        <f t="shared" ref="AI127:AK127" si="240">AI125+2*AI126</f>
        <v>45.995476385754849</v>
      </c>
      <c r="AJ127">
        <f t="shared" si="240"/>
        <v>56.865699588418124</v>
      </c>
      <c r="AK127">
        <f t="shared" si="240"/>
        <v>70.295973094036498</v>
      </c>
    </row>
    <row r="128" spans="1:37" x14ac:dyDescent="0.25">
      <c r="A128" t="s">
        <v>20</v>
      </c>
      <c r="B128" t="e">
        <f>B125-2*B126</f>
        <v>#DIV/0!</v>
      </c>
      <c r="C128">
        <f t="shared" ref="C128:E128" si="241">C125-2*C126</f>
        <v>-69.314801171997701</v>
      </c>
      <c r="D128">
        <f t="shared" si="241"/>
        <v>-49.77502930924701</v>
      </c>
      <c r="E128">
        <f t="shared" si="241"/>
        <v>-63.233580504380456</v>
      </c>
      <c r="G128" t="s">
        <v>20</v>
      </c>
      <c r="H128" t="e">
        <f>H125-2*H126</f>
        <v>#DIV/0!</v>
      </c>
      <c r="I128">
        <f t="shared" ref="I128:K128" si="242">I125-2*I126</f>
        <v>-33.934097070634046</v>
      </c>
      <c r="J128">
        <f t="shared" si="242"/>
        <v>-43.027772776934853</v>
      </c>
      <c r="K128">
        <f t="shared" si="242"/>
        <v>-10.487788379295452</v>
      </c>
      <c r="M128" t="s">
        <v>20</v>
      </c>
      <c r="N128" t="e">
        <f>N125-2*N126</f>
        <v>#DIV/0!</v>
      </c>
      <c r="O128">
        <f t="shared" ref="O128:Q128" si="243">O125-2*O126</f>
        <v>-64.676477896859495</v>
      </c>
      <c r="P128">
        <f t="shared" si="243"/>
        <v>-43.523584599177653</v>
      </c>
      <c r="Q128">
        <f t="shared" si="243"/>
        <v>-76.835519031223086</v>
      </c>
      <c r="S128" s="4"/>
      <c r="U128" t="s">
        <v>20</v>
      </c>
      <c r="V128" t="e">
        <f>V125-2*V126</f>
        <v>#DIV/0!</v>
      </c>
      <c r="W128">
        <f t="shared" ref="W128:Y128" si="244">W125-2*W126</f>
        <v>-69.314801171997701</v>
      </c>
      <c r="X128">
        <f t="shared" si="244"/>
        <v>-49.77502930924701</v>
      </c>
      <c r="Y128">
        <f t="shared" si="244"/>
        <v>-63.233580504380456</v>
      </c>
      <c r="AA128" t="s">
        <v>20</v>
      </c>
      <c r="AB128" t="e">
        <f>AB125-2*AB126</f>
        <v>#DIV/0!</v>
      </c>
      <c r="AC128">
        <f t="shared" ref="AC128:AE128" si="245">AC125-2*AC126</f>
        <v>-3.77313940982852</v>
      </c>
      <c r="AD128">
        <f t="shared" si="245"/>
        <v>-50.07920523613619</v>
      </c>
      <c r="AE128">
        <f t="shared" si="245"/>
        <v>-10.487788379295452</v>
      </c>
      <c r="AG128" t="s">
        <v>20</v>
      </c>
      <c r="AH128" t="e">
        <f>AH125-2*AH126</f>
        <v>#DIV/0!</v>
      </c>
      <c r="AI128">
        <f t="shared" ref="AI128:AK128" si="246">AI125-2*AI126</f>
        <v>-64.676477896859495</v>
      </c>
      <c r="AJ128">
        <f t="shared" si="246"/>
        <v>-43.523584599177653</v>
      </c>
      <c r="AK128">
        <f t="shared" si="246"/>
        <v>-17.341038113650615</v>
      </c>
    </row>
    <row r="129" spans="1:37" x14ac:dyDescent="0.25">
      <c r="A129" t="s">
        <v>21</v>
      </c>
      <c r="B129" t="e">
        <f>VAR(B105:B120)</f>
        <v>#DIV/0!</v>
      </c>
      <c r="C129">
        <f t="shared" ref="C129:E129" si="247">VAR(C105:C120)</f>
        <v>1151.0425075534117</v>
      </c>
      <c r="D129">
        <f t="shared" si="247"/>
        <v>756.54448077737209</v>
      </c>
      <c r="E129">
        <f t="shared" si="247"/>
        <v>1154.4309803956719</v>
      </c>
      <c r="G129" t="s">
        <v>21</v>
      </c>
      <c r="H129" t="e">
        <f>VAR(H105:H120)</f>
        <v>#DIV/0!</v>
      </c>
      <c r="I129">
        <f t="shared" ref="I129:K129" si="248">VAR(I105:I120)</f>
        <v>496.36597784133664</v>
      </c>
      <c r="J129">
        <f t="shared" si="248"/>
        <v>521.83453236210516</v>
      </c>
      <c r="K129">
        <f t="shared" si="248"/>
        <v>340.23041456775951</v>
      </c>
      <c r="M129" t="s">
        <v>21</v>
      </c>
      <c r="N129" t="e">
        <f>VAR(N105:N120)</f>
        <v>#DIV/0!</v>
      </c>
      <c r="O129">
        <f t="shared" ref="O129:Q129" si="249">VAR(O105:O120)</f>
        <v>765.51759154581748</v>
      </c>
      <c r="P129">
        <f t="shared" si="249"/>
        <v>629.87552373111669</v>
      </c>
      <c r="Q129">
        <f t="shared" si="249"/>
        <v>1991.7534804712152</v>
      </c>
      <c r="S129" s="4"/>
      <c r="U129" t="s">
        <v>21</v>
      </c>
      <c r="V129" t="e">
        <f>VAR(V105:V120)</f>
        <v>#DIV/0!</v>
      </c>
      <c r="W129">
        <f t="shared" ref="W129:Y129" si="250">VAR(W105:W120)</f>
        <v>1151.0425075534117</v>
      </c>
      <c r="X129">
        <f t="shared" si="250"/>
        <v>756.54448077737209</v>
      </c>
      <c r="Y129">
        <f t="shared" si="250"/>
        <v>1154.4309803956719</v>
      </c>
      <c r="AA129" t="s">
        <v>21</v>
      </c>
      <c r="AB129" t="e">
        <f>VAR(AB105:AB120)</f>
        <v>#DIV/0!</v>
      </c>
      <c r="AC129">
        <f t="shared" ref="AC129:AE129" si="251">VAR(AC105:AC120)</f>
        <v>115.01511003256307</v>
      </c>
      <c r="AD129">
        <f t="shared" si="251"/>
        <v>521.83453236210528</v>
      </c>
      <c r="AE129">
        <f t="shared" si="251"/>
        <v>340.23041456775951</v>
      </c>
      <c r="AG129" t="s">
        <v>21</v>
      </c>
      <c r="AH129" t="e">
        <f>VAR(AH105:AH120)</f>
        <v>#DIV/0!</v>
      </c>
      <c r="AI129">
        <f t="shared" ref="AI129:AK129" si="252">VAR(AI105:AI120)</f>
        <v>765.51759154581748</v>
      </c>
      <c r="AJ129">
        <f t="shared" si="252"/>
        <v>629.87552373111669</v>
      </c>
      <c r="AK129">
        <f t="shared" si="252"/>
        <v>480.01535833851722</v>
      </c>
    </row>
    <row r="130" spans="1:37" x14ac:dyDescent="0.25">
      <c r="S130" s="4"/>
    </row>
    <row r="131" spans="1:37" x14ac:dyDescent="0.25">
      <c r="A131" t="s">
        <v>22</v>
      </c>
      <c r="S131" s="4"/>
      <c r="U131" t="s">
        <v>22</v>
      </c>
    </row>
    <row r="132" spans="1:37" x14ac:dyDescent="0.25">
      <c r="A132" t="s">
        <v>1</v>
      </c>
      <c r="B132" t="e">
        <f>TTEST(B113:B120,H113:H120,2,3)</f>
        <v>#DIV/0!</v>
      </c>
      <c r="S132" s="4"/>
      <c r="U132" t="s">
        <v>1</v>
      </c>
      <c r="V132" t="e">
        <f>TTEST(V113:V120,AB113:AB120,2,3)</f>
        <v>#DIV/0!</v>
      </c>
    </row>
    <row r="133" spans="1:37" x14ac:dyDescent="0.25">
      <c r="A133" t="s">
        <v>2</v>
      </c>
      <c r="B133" t="e">
        <f>TTEST(C113:C120,I113:I120,2,3)</f>
        <v>#DIV/0!</v>
      </c>
      <c r="S133" s="4"/>
      <c r="U133" t="s">
        <v>2</v>
      </c>
      <c r="V133" t="e">
        <f>TTEST(W113:W120,AC113:AC120,2,3)</f>
        <v>#DIV/0!</v>
      </c>
    </row>
    <row r="134" spans="1:37" x14ac:dyDescent="0.25">
      <c r="A134" t="s">
        <v>3</v>
      </c>
      <c r="B134" t="e">
        <f>TTEST(D113:D120,J113:J120,2,3)</f>
        <v>#DIV/0!</v>
      </c>
      <c r="S134" s="4"/>
      <c r="U134" t="s">
        <v>3</v>
      </c>
      <c r="V134" t="e">
        <f>TTEST(X113:X120,AD113:AD120,2,3)</f>
        <v>#DIV/0!</v>
      </c>
    </row>
    <row r="135" spans="1:37" x14ac:dyDescent="0.25">
      <c r="A135" t="s">
        <v>4</v>
      </c>
      <c r="B135" t="e">
        <f>TTEST(E113:E120,K113:K120,2,3)</f>
        <v>#DIV/0!</v>
      </c>
      <c r="S135" s="4"/>
      <c r="U135" t="s">
        <v>4</v>
      </c>
      <c r="V135" t="e">
        <f>TTEST(Y113:Y120,AE113:AE120,2,3)</f>
        <v>#DIV/0!</v>
      </c>
    </row>
  </sheetData>
  <conditionalFormatting sqref="B30:B33">
    <cfRule type="cellIs" dxfId="196" priority="83" operator="lessThan">
      <formula>0.05</formula>
    </cfRule>
  </conditionalFormatting>
  <conditionalFormatting sqref="B64:B67">
    <cfRule type="cellIs" dxfId="195" priority="53" operator="lessThan">
      <formula>0.05</formula>
    </cfRule>
  </conditionalFormatting>
  <conditionalFormatting sqref="B98:B101">
    <cfRule type="cellIs" dxfId="194" priority="52" operator="lessThan">
      <formula>0.05</formula>
    </cfRule>
  </conditionalFormatting>
  <conditionalFormatting sqref="B105:B120">
    <cfRule type="cellIs" dxfId="193" priority="46" operator="greaterThan">
      <formula>B$93</formula>
    </cfRule>
    <cfRule type="cellIs" dxfId="192" priority="45" operator="lessThan">
      <formula>B$94</formula>
    </cfRule>
  </conditionalFormatting>
  <conditionalFormatting sqref="B132:B135">
    <cfRule type="cellIs" dxfId="191" priority="47" operator="lessThan">
      <formula>0.05</formula>
    </cfRule>
  </conditionalFormatting>
  <conditionalFormatting sqref="B3:E18">
    <cfRule type="cellIs" dxfId="190" priority="81" operator="lessThan">
      <formula>B$26</formula>
    </cfRule>
    <cfRule type="cellIs" dxfId="189" priority="82" operator="greaterThan">
      <formula>B$25</formula>
    </cfRule>
  </conditionalFormatting>
  <conditionalFormatting sqref="B37:E52">
    <cfRule type="cellIs" dxfId="188" priority="7" operator="lessThan">
      <formula>B$60</formula>
    </cfRule>
  </conditionalFormatting>
  <conditionalFormatting sqref="B45:E52">
    <cfRule type="cellIs" dxfId="187" priority="51" operator="greaterThan">
      <formula>B$59</formula>
    </cfRule>
  </conditionalFormatting>
  <conditionalFormatting sqref="B71:E86">
    <cfRule type="cellIs" dxfId="186" priority="49" operator="greaterThan">
      <formula>B$93</formula>
    </cfRule>
    <cfRule type="cellIs" dxfId="185" priority="48" operator="lessThan">
      <formula>B$94</formula>
    </cfRule>
  </conditionalFormatting>
  <conditionalFormatting sqref="C105:E120">
    <cfRule type="cellIs" dxfId="184" priority="44" operator="greaterThan">
      <formula>C$127</formula>
    </cfRule>
    <cfRule type="cellIs" dxfId="183" priority="43" operator="lessThan">
      <formula>C$128</formula>
    </cfRule>
  </conditionalFormatting>
  <conditionalFormatting sqref="H3:K18">
    <cfRule type="cellIs" dxfId="182" priority="79" operator="lessThan">
      <formula>H$26</formula>
    </cfRule>
    <cfRule type="cellIs" dxfId="181" priority="80" operator="greaterThan">
      <formula>H$25</formula>
    </cfRule>
  </conditionalFormatting>
  <conditionalFormatting sqref="H37:K52">
    <cfRule type="cellIs" dxfId="180" priority="8" operator="greaterThan">
      <formula>H$59</formula>
    </cfRule>
  </conditionalFormatting>
  <conditionalFormatting sqref="H45:K52">
    <cfRule type="cellIs" dxfId="179" priority="73" operator="lessThan">
      <formula>H$60</formula>
    </cfRule>
  </conditionalFormatting>
  <conditionalFormatting sqref="I71:K86">
    <cfRule type="cellIs" dxfId="178" priority="57" operator="greaterThan">
      <formula>I$93</formula>
    </cfRule>
    <cfRule type="cellIs" dxfId="177" priority="56" operator="lessThan">
      <formula>I$94</formula>
    </cfRule>
  </conditionalFormatting>
  <conditionalFormatting sqref="I105:K120">
    <cfRule type="cellIs" dxfId="176" priority="66" operator="lessThan">
      <formula>I$128</formula>
    </cfRule>
    <cfRule type="cellIs" dxfId="175" priority="67" operator="greaterThan">
      <formula>I$127</formula>
    </cfRule>
  </conditionalFormatting>
  <conditionalFormatting sqref="N3:R18 R19">
    <cfRule type="cellIs" dxfId="174" priority="63" operator="greaterThan">
      <formula>N$25</formula>
    </cfRule>
    <cfRule type="cellIs" dxfId="173" priority="62" operator="lessThan">
      <formula>N$26</formula>
    </cfRule>
  </conditionalFormatting>
  <conditionalFormatting sqref="N37:R52">
    <cfRule type="cellIs" dxfId="172" priority="5" operator="lessThan">
      <formula>N$60</formula>
    </cfRule>
    <cfRule type="cellIs" dxfId="171" priority="6" operator="greaterThan">
      <formula>N$59</formula>
    </cfRule>
  </conditionalFormatting>
  <conditionalFormatting sqref="O71:Q86">
    <cfRule type="cellIs" dxfId="170" priority="55" operator="greaterThan">
      <formula>O$93</formula>
    </cfRule>
    <cfRule type="cellIs" dxfId="169" priority="54" operator="lessThan">
      <formula>O$94</formula>
    </cfRule>
  </conditionalFormatting>
  <conditionalFormatting sqref="O105:R120 R121:R123">
    <cfRule type="cellIs" dxfId="168" priority="59" operator="greaterThan">
      <formula>O$127</formula>
    </cfRule>
    <cfRule type="cellIs" dxfId="167" priority="58" operator="lessThan">
      <formula>O$128</formula>
    </cfRule>
  </conditionalFormatting>
  <conditionalFormatting sqref="R53">
    <cfRule type="cellIs" dxfId="166" priority="61" operator="greaterThan">
      <formula>R$59</formula>
    </cfRule>
    <cfRule type="cellIs" dxfId="165" priority="60" operator="lessThan">
      <formula>R$60</formula>
    </cfRule>
  </conditionalFormatting>
  <conditionalFormatting sqref="R71:R88">
    <cfRule type="cellIs" dxfId="164" priority="64" operator="lessThan">
      <formula>R$94</formula>
    </cfRule>
    <cfRule type="cellIs" dxfId="163" priority="65" operator="greaterThan">
      <formula>R$93</formula>
    </cfRule>
  </conditionalFormatting>
  <conditionalFormatting sqref="V30:V33">
    <cfRule type="cellIs" dxfId="162" priority="42" operator="lessThan">
      <formula>0.05</formula>
    </cfRule>
  </conditionalFormatting>
  <conditionalFormatting sqref="V64:V67">
    <cfRule type="cellIs" dxfId="161" priority="23" operator="lessThan">
      <formula>0.05</formula>
    </cfRule>
  </conditionalFormatting>
  <conditionalFormatting sqref="V98:V101">
    <cfRule type="cellIs" dxfId="160" priority="22" operator="lessThan">
      <formula>0.05</formula>
    </cfRule>
  </conditionalFormatting>
  <conditionalFormatting sqref="V105:V120">
    <cfRule type="cellIs" dxfId="159" priority="16" operator="greaterThan">
      <formula>V$93</formula>
    </cfRule>
    <cfRule type="cellIs" dxfId="158" priority="15" operator="lessThan">
      <formula>V$94</formula>
    </cfRule>
  </conditionalFormatting>
  <conditionalFormatting sqref="V132:V135">
    <cfRule type="cellIs" dxfId="157" priority="17" operator="lessThan">
      <formula>0.05</formula>
    </cfRule>
  </conditionalFormatting>
  <conditionalFormatting sqref="V3:Y18">
    <cfRule type="cellIs" dxfId="156" priority="41" operator="greaterThan">
      <formula>V$25</formula>
    </cfRule>
    <cfRule type="cellIs" dxfId="155" priority="40" operator="lessThan">
      <formula>V$26</formula>
    </cfRule>
  </conditionalFormatting>
  <conditionalFormatting sqref="V37:Y52">
    <cfRule type="cellIs" dxfId="154" priority="3" operator="lessThan">
      <formula>V$60</formula>
    </cfRule>
  </conditionalFormatting>
  <conditionalFormatting sqref="V45:Y52">
    <cfRule type="cellIs" dxfId="153" priority="21" operator="greaterThan">
      <formula>V$59</formula>
    </cfRule>
  </conditionalFormatting>
  <conditionalFormatting sqref="V71:Y86">
    <cfRule type="cellIs" dxfId="152" priority="19" operator="greaterThan">
      <formula>V$93</formula>
    </cfRule>
    <cfRule type="cellIs" dxfId="151" priority="18" operator="lessThan">
      <formula>V$94</formula>
    </cfRule>
  </conditionalFormatting>
  <conditionalFormatting sqref="W105:Y120">
    <cfRule type="cellIs" dxfId="150" priority="14" operator="greaterThan">
      <formula>W$127</formula>
    </cfRule>
    <cfRule type="cellIs" dxfId="149" priority="13" operator="lessThan">
      <formula>W$128</formula>
    </cfRule>
  </conditionalFormatting>
  <conditionalFormatting sqref="AB3:AE18">
    <cfRule type="cellIs" dxfId="148" priority="39" operator="greaterThan">
      <formula>AB$25</formula>
    </cfRule>
    <cfRule type="cellIs" dxfId="147" priority="38" operator="lessThan">
      <formula>AB$26</formula>
    </cfRule>
  </conditionalFormatting>
  <conditionalFormatting sqref="AB37:AE52">
    <cfRule type="cellIs" dxfId="146" priority="4" operator="greaterThan">
      <formula>AB$59</formula>
    </cfRule>
  </conditionalFormatting>
  <conditionalFormatting sqref="AB45:AE52">
    <cfRule type="cellIs" dxfId="145" priority="36" operator="lessThan">
      <formula>AB$60</formula>
    </cfRule>
  </conditionalFormatting>
  <conditionalFormatting sqref="AC71:AE86">
    <cfRule type="cellIs" dxfId="144" priority="27" operator="greaterThan">
      <formula>AC$93</formula>
    </cfRule>
    <cfRule type="cellIs" dxfId="143" priority="26" operator="lessThan">
      <formula>AC$94</formula>
    </cfRule>
  </conditionalFormatting>
  <conditionalFormatting sqref="AC105:AE120">
    <cfRule type="cellIs" dxfId="142" priority="35" operator="greaterThan">
      <formula>AC$127</formula>
    </cfRule>
    <cfRule type="cellIs" dxfId="141" priority="34" operator="lessThan">
      <formula>AC$128</formula>
    </cfRule>
  </conditionalFormatting>
  <conditionalFormatting sqref="AH3:AK18">
    <cfRule type="cellIs" dxfId="140" priority="33" operator="greaterThan">
      <formula>AH$25</formula>
    </cfRule>
    <cfRule type="cellIs" dxfId="139" priority="32" operator="lessThan">
      <formula>AH$26</formula>
    </cfRule>
  </conditionalFormatting>
  <conditionalFormatting sqref="AH37:AK52">
    <cfRule type="cellIs" dxfId="138" priority="1" operator="lessThan">
      <formula>AH$60</formula>
    </cfRule>
    <cfRule type="cellIs" dxfId="137" priority="2" operator="greaterThan">
      <formula>AH$59</formula>
    </cfRule>
  </conditionalFormatting>
  <conditionalFormatting sqref="AI71:AK86">
    <cfRule type="cellIs" dxfId="136" priority="25" operator="greaterThan">
      <formula>AI$93</formula>
    </cfRule>
    <cfRule type="cellIs" dxfId="135" priority="24" operator="lessThan">
      <formula>AI$94</formula>
    </cfRule>
  </conditionalFormatting>
  <conditionalFormatting sqref="AI105:AK120">
    <cfRule type="cellIs" dxfId="134" priority="29" operator="greaterThan">
      <formula>AI$127</formula>
    </cfRule>
    <cfRule type="cellIs" dxfId="133" priority="28" operator="lessThan">
      <formula>AI$128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DEDA-DE7D-47B0-A369-9F23013B3E35}">
  <sheetPr codeName="Sheet8"/>
  <dimension ref="A1:AK135"/>
  <sheetViews>
    <sheetView workbookViewId="0">
      <selection sqref="A1:Q10"/>
    </sheetView>
  </sheetViews>
  <sheetFormatPr defaultRowHeight="15" x14ac:dyDescent="0.25"/>
  <sheetData>
    <row r="1" spans="1:37" x14ac:dyDescent="0.25">
      <c r="A1" t="s">
        <v>0</v>
      </c>
      <c r="S1" s="4"/>
      <c r="U1" t="s">
        <v>0</v>
      </c>
    </row>
    <row r="2" spans="1:3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  <c r="R2" s="1"/>
      <c r="S2" s="4"/>
      <c r="U2" s="1" t="s">
        <v>29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30</v>
      </c>
      <c r="AB2" s="1" t="s">
        <v>1</v>
      </c>
      <c r="AC2" s="1" t="s">
        <v>2</v>
      </c>
      <c r="AD2" s="1" t="s">
        <v>3</v>
      </c>
      <c r="AE2" s="1" t="s">
        <v>4</v>
      </c>
      <c r="AG2" s="1" t="s">
        <v>31</v>
      </c>
      <c r="AH2" s="1" t="s">
        <v>1</v>
      </c>
      <c r="AI2" s="1" t="s">
        <v>2</v>
      </c>
      <c r="AJ2" s="1" t="s">
        <v>3</v>
      </c>
      <c r="AK2" s="1" t="s">
        <v>4</v>
      </c>
    </row>
    <row r="3" spans="1:37" x14ac:dyDescent="0.25">
      <c r="A3" t="s">
        <v>5</v>
      </c>
      <c r="B3">
        <v>23</v>
      </c>
      <c r="C3">
        <v>10</v>
      </c>
      <c r="D3">
        <v>6</v>
      </c>
      <c r="E3">
        <v>2</v>
      </c>
      <c r="G3" t="s">
        <v>5</v>
      </c>
      <c r="H3">
        <v>41</v>
      </c>
      <c r="I3">
        <v>0</v>
      </c>
      <c r="J3">
        <v>2</v>
      </c>
      <c r="K3">
        <v>9</v>
      </c>
      <c r="M3" t="s">
        <v>5</v>
      </c>
      <c r="N3">
        <v>49</v>
      </c>
      <c r="O3">
        <v>4</v>
      </c>
      <c r="P3">
        <v>6</v>
      </c>
      <c r="Q3">
        <v>0</v>
      </c>
      <c r="S3" s="4"/>
      <c r="U3" t="s">
        <v>5</v>
      </c>
      <c r="V3">
        <v>23</v>
      </c>
      <c r="W3">
        <v>10</v>
      </c>
      <c r="X3">
        <v>6</v>
      </c>
      <c r="Y3">
        <v>2</v>
      </c>
      <c r="AA3" t="s">
        <v>5</v>
      </c>
      <c r="AB3">
        <v>41</v>
      </c>
      <c r="AC3">
        <v>0</v>
      </c>
      <c r="AD3">
        <v>2</v>
      </c>
      <c r="AE3">
        <v>9</v>
      </c>
      <c r="AG3" t="s">
        <v>5</v>
      </c>
      <c r="AH3">
        <v>49</v>
      </c>
      <c r="AI3">
        <v>4</v>
      </c>
      <c r="AJ3">
        <v>6</v>
      </c>
      <c r="AK3">
        <v>0</v>
      </c>
    </row>
    <row r="4" spans="1:37" x14ac:dyDescent="0.25">
      <c r="A4" t="s">
        <v>7</v>
      </c>
      <c r="B4">
        <v>10</v>
      </c>
      <c r="C4">
        <v>10</v>
      </c>
      <c r="D4">
        <v>2</v>
      </c>
      <c r="G4" t="s">
        <v>7</v>
      </c>
      <c r="H4">
        <v>43</v>
      </c>
      <c r="I4">
        <v>2</v>
      </c>
      <c r="J4">
        <v>4</v>
      </c>
      <c r="K4">
        <v>8</v>
      </c>
      <c r="M4" t="s">
        <v>7</v>
      </c>
      <c r="N4">
        <v>37</v>
      </c>
      <c r="O4">
        <v>4</v>
      </c>
      <c r="P4">
        <v>6</v>
      </c>
      <c r="Q4">
        <v>2</v>
      </c>
      <c r="S4" s="4"/>
      <c r="U4" t="s">
        <v>7</v>
      </c>
      <c r="V4">
        <v>10</v>
      </c>
      <c r="W4">
        <v>10</v>
      </c>
      <c r="X4">
        <v>2</v>
      </c>
      <c r="AA4" t="s">
        <v>7</v>
      </c>
      <c r="AB4">
        <v>43</v>
      </c>
      <c r="AC4">
        <v>2</v>
      </c>
      <c r="AD4">
        <v>4</v>
      </c>
      <c r="AE4">
        <v>8</v>
      </c>
      <c r="AG4" t="s">
        <v>7</v>
      </c>
      <c r="AH4">
        <v>37</v>
      </c>
      <c r="AI4">
        <v>4</v>
      </c>
      <c r="AJ4">
        <v>6</v>
      </c>
      <c r="AK4">
        <v>2</v>
      </c>
    </row>
    <row r="5" spans="1:37" x14ac:dyDescent="0.25">
      <c r="A5" t="s">
        <v>8</v>
      </c>
      <c r="B5">
        <v>9</v>
      </c>
      <c r="C5">
        <v>3</v>
      </c>
      <c r="D5">
        <v>2</v>
      </c>
      <c r="E5">
        <v>1</v>
      </c>
      <c r="G5" t="s">
        <v>8</v>
      </c>
      <c r="H5">
        <v>74</v>
      </c>
      <c r="I5">
        <v>1</v>
      </c>
      <c r="J5">
        <v>0</v>
      </c>
      <c r="K5">
        <v>8</v>
      </c>
      <c r="M5" t="s">
        <v>8</v>
      </c>
      <c r="N5">
        <v>58</v>
      </c>
      <c r="O5">
        <v>2</v>
      </c>
      <c r="P5">
        <v>3</v>
      </c>
      <c r="Q5">
        <v>16</v>
      </c>
      <c r="S5" s="4"/>
      <c r="U5" t="s">
        <v>8</v>
      </c>
      <c r="V5">
        <v>9</v>
      </c>
      <c r="W5">
        <v>3</v>
      </c>
      <c r="X5">
        <v>2</v>
      </c>
      <c r="Y5">
        <v>1</v>
      </c>
      <c r="AA5" t="s">
        <v>8</v>
      </c>
      <c r="AB5">
        <v>74</v>
      </c>
      <c r="AC5">
        <v>1</v>
      </c>
      <c r="AD5">
        <v>0</v>
      </c>
      <c r="AE5">
        <v>8</v>
      </c>
      <c r="AG5" t="s">
        <v>8</v>
      </c>
      <c r="AH5">
        <v>58</v>
      </c>
      <c r="AI5">
        <v>2</v>
      </c>
      <c r="AJ5">
        <v>3</v>
      </c>
      <c r="AK5">
        <v>16</v>
      </c>
    </row>
    <row r="6" spans="1:37" x14ac:dyDescent="0.25">
      <c r="A6" t="s">
        <v>9</v>
      </c>
      <c r="B6">
        <v>29</v>
      </c>
      <c r="C6">
        <v>11</v>
      </c>
      <c r="D6">
        <v>9</v>
      </c>
      <c r="E6">
        <v>0</v>
      </c>
      <c r="G6" t="s">
        <v>9</v>
      </c>
      <c r="H6">
        <v>52</v>
      </c>
      <c r="I6">
        <v>0</v>
      </c>
      <c r="J6">
        <v>3</v>
      </c>
      <c r="K6">
        <v>0</v>
      </c>
      <c r="M6" t="s">
        <v>9</v>
      </c>
      <c r="N6">
        <v>83</v>
      </c>
      <c r="O6">
        <v>1</v>
      </c>
      <c r="P6">
        <v>0</v>
      </c>
      <c r="Q6">
        <v>5</v>
      </c>
      <c r="S6" s="4"/>
      <c r="U6" t="s">
        <v>9</v>
      </c>
      <c r="V6">
        <v>29</v>
      </c>
      <c r="W6">
        <v>11</v>
      </c>
      <c r="X6">
        <v>9</v>
      </c>
      <c r="Y6">
        <v>0</v>
      </c>
      <c r="AA6" t="s">
        <v>9</v>
      </c>
      <c r="AB6">
        <v>52</v>
      </c>
      <c r="AC6">
        <v>0</v>
      </c>
      <c r="AD6">
        <v>3</v>
      </c>
      <c r="AE6">
        <v>0</v>
      </c>
      <c r="AG6" t="s">
        <v>9</v>
      </c>
      <c r="AH6">
        <v>83</v>
      </c>
      <c r="AI6">
        <v>1</v>
      </c>
      <c r="AJ6">
        <v>0</v>
      </c>
      <c r="AK6">
        <v>5</v>
      </c>
    </row>
    <row r="7" spans="1:37" x14ac:dyDescent="0.25">
      <c r="A7" t="s">
        <v>10</v>
      </c>
      <c r="B7">
        <v>15</v>
      </c>
      <c r="C7">
        <v>24</v>
      </c>
      <c r="D7" t="s">
        <v>6</v>
      </c>
      <c r="E7" t="s">
        <v>6</v>
      </c>
      <c r="G7" t="s">
        <v>10</v>
      </c>
      <c r="H7">
        <v>39</v>
      </c>
      <c r="I7">
        <v>9</v>
      </c>
      <c r="J7">
        <v>8</v>
      </c>
      <c r="K7">
        <v>10</v>
      </c>
      <c r="M7" t="s">
        <v>10</v>
      </c>
      <c r="N7">
        <v>52</v>
      </c>
      <c r="O7">
        <v>25</v>
      </c>
      <c r="P7">
        <v>7</v>
      </c>
      <c r="Q7">
        <v>7</v>
      </c>
      <c r="S7" s="4"/>
      <c r="U7" t="s">
        <v>10</v>
      </c>
      <c r="V7">
        <v>15</v>
      </c>
      <c r="W7">
        <v>24</v>
      </c>
      <c r="X7" t="s">
        <v>6</v>
      </c>
      <c r="Y7" t="s">
        <v>6</v>
      </c>
      <c r="AA7" t="s">
        <v>10</v>
      </c>
      <c r="AB7">
        <v>39</v>
      </c>
      <c r="AC7">
        <v>9</v>
      </c>
      <c r="AD7">
        <v>8</v>
      </c>
      <c r="AE7">
        <v>10</v>
      </c>
      <c r="AG7" t="s">
        <v>10</v>
      </c>
      <c r="AH7">
        <v>52</v>
      </c>
      <c r="AI7">
        <v>25</v>
      </c>
      <c r="AJ7">
        <v>7</v>
      </c>
      <c r="AK7">
        <v>7</v>
      </c>
    </row>
    <row r="8" spans="1:37" x14ac:dyDescent="0.25">
      <c r="A8" t="s">
        <v>11</v>
      </c>
      <c r="B8">
        <v>25</v>
      </c>
      <c r="C8">
        <v>17</v>
      </c>
      <c r="D8">
        <v>0</v>
      </c>
      <c r="E8" t="s">
        <v>6</v>
      </c>
      <c r="G8" t="s">
        <v>11</v>
      </c>
      <c r="H8">
        <v>22</v>
      </c>
      <c r="I8">
        <v>12</v>
      </c>
      <c r="J8">
        <v>2</v>
      </c>
      <c r="K8">
        <v>3</v>
      </c>
      <c r="M8" t="s">
        <v>11</v>
      </c>
      <c r="N8">
        <v>35</v>
      </c>
      <c r="O8">
        <v>1</v>
      </c>
      <c r="P8">
        <v>23</v>
      </c>
      <c r="Q8">
        <v>2</v>
      </c>
      <c r="S8" s="4"/>
      <c r="U8" t="s">
        <v>11</v>
      </c>
      <c r="V8">
        <v>25</v>
      </c>
      <c r="W8">
        <v>17</v>
      </c>
      <c r="X8">
        <v>0</v>
      </c>
      <c r="Y8" t="s">
        <v>6</v>
      </c>
      <c r="AA8" t="s">
        <v>11</v>
      </c>
      <c r="AB8">
        <v>22</v>
      </c>
      <c r="AC8">
        <v>12</v>
      </c>
      <c r="AD8">
        <v>2</v>
      </c>
      <c r="AE8">
        <v>3</v>
      </c>
      <c r="AG8" t="s">
        <v>11</v>
      </c>
      <c r="AH8">
        <v>35</v>
      </c>
      <c r="AI8">
        <v>1</v>
      </c>
      <c r="AK8">
        <v>2</v>
      </c>
    </row>
    <row r="9" spans="1:37" x14ac:dyDescent="0.25">
      <c r="A9" t="s">
        <v>12</v>
      </c>
      <c r="B9">
        <v>8</v>
      </c>
      <c r="C9">
        <v>18</v>
      </c>
      <c r="D9" t="s">
        <v>6</v>
      </c>
      <c r="E9">
        <v>1</v>
      </c>
      <c r="G9" t="s">
        <v>12</v>
      </c>
      <c r="H9">
        <v>20</v>
      </c>
      <c r="I9">
        <v>23</v>
      </c>
      <c r="J9">
        <v>5</v>
      </c>
      <c r="K9">
        <v>10</v>
      </c>
      <c r="M9" t="s">
        <v>12</v>
      </c>
      <c r="N9">
        <v>18</v>
      </c>
      <c r="O9">
        <v>1</v>
      </c>
      <c r="P9">
        <v>14</v>
      </c>
      <c r="Q9">
        <v>14</v>
      </c>
      <c r="S9" s="4"/>
      <c r="U9" t="s">
        <v>12</v>
      </c>
      <c r="V9">
        <v>8</v>
      </c>
      <c r="W9">
        <v>18</v>
      </c>
      <c r="X9" t="s">
        <v>6</v>
      </c>
      <c r="Y9">
        <v>1</v>
      </c>
      <c r="AA9" t="s">
        <v>12</v>
      </c>
      <c r="AB9">
        <v>20</v>
      </c>
      <c r="AD9">
        <v>5</v>
      </c>
      <c r="AE9">
        <v>10</v>
      </c>
      <c r="AG9" t="s">
        <v>12</v>
      </c>
      <c r="AH9">
        <v>18</v>
      </c>
      <c r="AI9">
        <v>1</v>
      </c>
      <c r="AJ9">
        <v>14</v>
      </c>
      <c r="AK9">
        <v>14</v>
      </c>
    </row>
    <row r="10" spans="1:37" x14ac:dyDescent="0.25">
      <c r="A10" t="s">
        <v>13</v>
      </c>
      <c r="B10">
        <v>4</v>
      </c>
      <c r="C10">
        <v>3</v>
      </c>
      <c r="D10">
        <v>1</v>
      </c>
      <c r="E10">
        <v>0</v>
      </c>
      <c r="G10" t="s">
        <v>13</v>
      </c>
      <c r="H10">
        <v>13</v>
      </c>
      <c r="I10">
        <v>8</v>
      </c>
      <c r="J10">
        <v>4</v>
      </c>
      <c r="K10">
        <v>16</v>
      </c>
      <c r="M10" t="s">
        <v>13</v>
      </c>
      <c r="N10">
        <v>28</v>
      </c>
      <c r="O10">
        <v>40</v>
      </c>
      <c r="P10">
        <v>1</v>
      </c>
      <c r="Q10">
        <v>1</v>
      </c>
      <c r="S10" s="4"/>
      <c r="U10" t="s">
        <v>13</v>
      </c>
      <c r="V10">
        <v>4</v>
      </c>
      <c r="W10">
        <v>3</v>
      </c>
      <c r="X10">
        <v>1</v>
      </c>
      <c r="Y10">
        <v>0</v>
      </c>
      <c r="AA10" t="s">
        <v>13</v>
      </c>
      <c r="AB10">
        <v>13</v>
      </c>
      <c r="AC10">
        <v>8</v>
      </c>
      <c r="AD10">
        <v>4</v>
      </c>
      <c r="AE10">
        <v>16</v>
      </c>
      <c r="AG10" t="s">
        <v>13</v>
      </c>
      <c r="AH10">
        <v>28</v>
      </c>
      <c r="AJ10">
        <v>1</v>
      </c>
      <c r="AK10">
        <v>1</v>
      </c>
    </row>
    <row r="11" spans="1:37" x14ac:dyDescent="0.25">
      <c r="A11" t="s">
        <v>5</v>
      </c>
      <c r="G11" t="s">
        <v>5</v>
      </c>
      <c r="M11" t="s">
        <v>5</v>
      </c>
      <c r="S11" s="4"/>
      <c r="U11" t="s">
        <v>5</v>
      </c>
      <c r="AA11" t="s">
        <v>5</v>
      </c>
      <c r="AG11" t="s">
        <v>5</v>
      </c>
    </row>
    <row r="12" spans="1:37" x14ac:dyDescent="0.25">
      <c r="A12" t="s">
        <v>7</v>
      </c>
      <c r="G12" t="s">
        <v>7</v>
      </c>
      <c r="M12" t="s">
        <v>7</v>
      </c>
      <c r="S12" s="4"/>
      <c r="U12" t="s">
        <v>7</v>
      </c>
      <c r="AA12" t="s">
        <v>7</v>
      </c>
      <c r="AG12" t="s">
        <v>7</v>
      </c>
    </row>
    <row r="13" spans="1:37" x14ac:dyDescent="0.25">
      <c r="A13" t="s">
        <v>8</v>
      </c>
      <c r="G13" t="s">
        <v>8</v>
      </c>
      <c r="M13" t="s">
        <v>8</v>
      </c>
      <c r="S13" s="4"/>
      <c r="U13" t="s">
        <v>8</v>
      </c>
      <c r="AA13" t="s">
        <v>8</v>
      </c>
      <c r="AG13" t="s">
        <v>8</v>
      </c>
    </row>
    <row r="14" spans="1:37" x14ac:dyDescent="0.25">
      <c r="A14" t="s">
        <v>9</v>
      </c>
      <c r="G14" t="s">
        <v>9</v>
      </c>
      <c r="M14" t="s">
        <v>9</v>
      </c>
      <c r="S14" s="4"/>
      <c r="U14" t="s">
        <v>9</v>
      </c>
      <c r="AA14" t="s">
        <v>9</v>
      </c>
      <c r="AG14" t="s">
        <v>9</v>
      </c>
    </row>
    <row r="15" spans="1:37" x14ac:dyDescent="0.25">
      <c r="A15" t="s">
        <v>10</v>
      </c>
      <c r="G15" t="s">
        <v>10</v>
      </c>
      <c r="M15" t="s">
        <v>10</v>
      </c>
      <c r="S15" s="4"/>
      <c r="U15" t="s">
        <v>10</v>
      </c>
      <c r="AA15" t="s">
        <v>10</v>
      </c>
      <c r="AG15" t="s">
        <v>10</v>
      </c>
    </row>
    <row r="16" spans="1:37" x14ac:dyDescent="0.25">
      <c r="A16" t="s">
        <v>11</v>
      </c>
      <c r="G16" t="s">
        <v>11</v>
      </c>
      <c r="M16" t="s">
        <v>11</v>
      </c>
      <c r="S16" s="4"/>
      <c r="U16" t="s">
        <v>11</v>
      </c>
      <c r="AA16" t="s">
        <v>11</v>
      </c>
      <c r="AG16" t="s">
        <v>11</v>
      </c>
    </row>
    <row r="17" spans="1:37" x14ac:dyDescent="0.25">
      <c r="A17" t="s">
        <v>12</v>
      </c>
      <c r="G17" t="s">
        <v>12</v>
      </c>
      <c r="M17" t="s">
        <v>12</v>
      </c>
      <c r="S17" s="4"/>
      <c r="U17" t="s">
        <v>12</v>
      </c>
      <c r="AA17" t="s">
        <v>12</v>
      </c>
      <c r="AG17" t="s">
        <v>12</v>
      </c>
    </row>
    <row r="18" spans="1:37" x14ac:dyDescent="0.25">
      <c r="A18" t="s">
        <v>13</v>
      </c>
      <c r="G18" t="s">
        <v>13</v>
      </c>
      <c r="M18" t="s">
        <v>13</v>
      </c>
      <c r="S18" s="4"/>
      <c r="U18" t="s">
        <v>13</v>
      </c>
      <c r="AA18" t="s">
        <v>13</v>
      </c>
      <c r="AG18" t="s">
        <v>13</v>
      </c>
    </row>
    <row r="19" spans="1:3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  <c r="S19" s="4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</row>
    <row r="20" spans="1:37" x14ac:dyDescent="0.25">
      <c r="A20" t="s">
        <v>14</v>
      </c>
      <c r="B20">
        <f>COUNT(B3:B18)</f>
        <v>8</v>
      </c>
      <c r="C20">
        <f t="shared" ref="C20:E20" si="0">COUNT(C3:C18)</f>
        <v>8</v>
      </c>
      <c r="D20">
        <f t="shared" si="0"/>
        <v>6</v>
      </c>
      <c r="E20">
        <f t="shared" si="0"/>
        <v>5</v>
      </c>
      <c r="G20" t="s">
        <v>14</v>
      </c>
      <c r="H20">
        <f>COUNT(H3:H18)</f>
        <v>8</v>
      </c>
      <c r="I20">
        <f t="shared" ref="I20:K20" si="1">COUNT(I3:I18)</f>
        <v>8</v>
      </c>
      <c r="J20">
        <f t="shared" si="1"/>
        <v>8</v>
      </c>
      <c r="K20">
        <f t="shared" si="1"/>
        <v>8</v>
      </c>
      <c r="M20" t="s">
        <v>14</v>
      </c>
      <c r="N20">
        <f>COUNT(N3:N18)</f>
        <v>8</v>
      </c>
      <c r="O20">
        <f t="shared" ref="O20:Q20" si="2">COUNT(O3:O18)</f>
        <v>8</v>
      </c>
      <c r="P20">
        <f t="shared" si="2"/>
        <v>8</v>
      </c>
      <c r="Q20">
        <f t="shared" si="2"/>
        <v>8</v>
      </c>
      <c r="S20" s="4"/>
      <c r="U20" t="s">
        <v>14</v>
      </c>
      <c r="V20">
        <f>COUNT(V3:V18)</f>
        <v>8</v>
      </c>
      <c r="W20">
        <f t="shared" ref="W20:Y20" si="3">COUNT(W3:W18)</f>
        <v>8</v>
      </c>
      <c r="X20">
        <f t="shared" si="3"/>
        <v>6</v>
      </c>
      <c r="Y20">
        <f t="shared" si="3"/>
        <v>5</v>
      </c>
      <c r="AA20" t="s">
        <v>14</v>
      </c>
      <c r="AB20">
        <f>COUNT(AB3:AB18)</f>
        <v>8</v>
      </c>
      <c r="AC20">
        <f t="shared" ref="AC20:AE20" si="4">COUNT(AC3:AC18)</f>
        <v>7</v>
      </c>
      <c r="AD20">
        <f t="shared" si="4"/>
        <v>8</v>
      </c>
      <c r="AE20">
        <f t="shared" si="4"/>
        <v>8</v>
      </c>
      <c r="AG20" t="s">
        <v>14</v>
      </c>
      <c r="AH20">
        <f>COUNT(AH3:AH18)</f>
        <v>8</v>
      </c>
      <c r="AI20">
        <f t="shared" ref="AI20:AK20" si="5">COUNT(AI3:AI18)</f>
        <v>7</v>
      </c>
      <c r="AJ20">
        <f t="shared" si="5"/>
        <v>7</v>
      </c>
      <c r="AK20">
        <f t="shared" si="5"/>
        <v>8</v>
      </c>
    </row>
    <row r="21" spans="1:37" x14ac:dyDescent="0.25">
      <c r="A21" t="s">
        <v>15</v>
      </c>
      <c r="B21">
        <f>MAX(B3:B18)</f>
        <v>29</v>
      </c>
      <c r="C21">
        <f t="shared" ref="C21:E21" si="6">MAX(C3:C18)</f>
        <v>24</v>
      </c>
      <c r="D21">
        <f t="shared" si="6"/>
        <v>9</v>
      </c>
      <c r="E21">
        <f t="shared" si="6"/>
        <v>2</v>
      </c>
      <c r="G21" t="s">
        <v>15</v>
      </c>
      <c r="H21">
        <f>MAX(H3:H18)</f>
        <v>74</v>
      </c>
      <c r="I21">
        <f t="shared" ref="I21:K21" si="7">MAX(I3:I18)</f>
        <v>23</v>
      </c>
      <c r="J21">
        <f t="shared" si="7"/>
        <v>8</v>
      </c>
      <c r="K21">
        <f t="shared" si="7"/>
        <v>16</v>
      </c>
      <c r="M21" t="s">
        <v>15</v>
      </c>
      <c r="N21">
        <f>MAX(N3:N18)</f>
        <v>83</v>
      </c>
      <c r="O21">
        <f t="shared" ref="O21:Q21" si="8">MAX(O3:O18)</f>
        <v>40</v>
      </c>
      <c r="P21">
        <f t="shared" si="8"/>
        <v>23</v>
      </c>
      <c r="Q21">
        <f t="shared" si="8"/>
        <v>16</v>
      </c>
      <c r="S21" s="4"/>
      <c r="U21" t="s">
        <v>15</v>
      </c>
      <c r="V21">
        <f>MAX(V3:V18)</f>
        <v>29</v>
      </c>
      <c r="W21">
        <f t="shared" ref="W21:Y21" si="9">MAX(W3:W18)</f>
        <v>24</v>
      </c>
      <c r="X21">
        <f t="shared" si="9"/>
        <v>9</v>
      </c>
      <c r="Y21">
        <f t="shared" si="9"/>
        <v>2</v>
      </c>
      <c r="AA21" t="s">
        <v>15</v>
      </c>
      <c r="AB21">
        <f>MAX(AB3:AB18)</f>
        <v>74</v>
      </c>
      <c r="AC21">
        <f t="shared" ref="AC21:AE21" si="10">MAX(AC3:AC18)</f>
        <v>12</v>
      </c>
      <c r="AD21">
        <f t="shared" si="10"/>
        <v>8</v>
      </c>
      <c r="AE21">
        <f t="shared" si="10"/>
        <v>16</v>
      </c>
      <c r="AG21" t="s">
        <v>15</v>
      </c>
      <c r="AH21">
        <f>MAX(AH3:AH18)</f>
        <v>83</v>
      </c>
      <c r="AI21">
        <f t="shared" ref="AI21:AK21" si="11">MAX(AI3:AI18)</f>
        <v>25</v>
      </c>
      <c r="AJ21">
        <f t="shared" si="11"/>
        <v>14</v>
      </c>
      <c r="AK21">
        <f t="shared" si="11"/>
        <v>16</v>
      </c>
    </row>
    <row r="22" spans="1:37" x14ac:dyDescent="0.25">
      <c r="A22" t="s">
        <v>16</v>
      </c>
      <c r="B22">
        <f>MIN(B3:B18)</f>
        <v>4</v>
      </c>
      <c r="C22">
        <f t="shared" ref="C22:E22" si="12">MIN(C3:C18)</f>
        <v>3</v>
      </c>
      <c r="D22">
        <f t="shared" si="12"/>
        <v>0</v>
      </c>
      <c r="E22">
        <f t="shared" si="12"/>
        <v>0</v>
      </c>
      <c r="G22" t="s">
        <v>16</v>
      </c>
      <c r="H22">
        <f>MIN(H3:H18)</f>
        <v>13</v>
      </c>
      <c r="I22">
        <f t="shared" ref="I22:K22" si="13">MIN(I3:I18)</f>
        <v>0</v>
      </c>
      <c r="J22">
        <f t="shared" si="13"/>
        <v>0</v>
      </c>
      <c r="K22">
        <f t="shared" si="13"/>
        <v>0</v>
      </c>
      <c r="M22" t="s">
        <v>16</v>
      </c>
      <c r="N22">
        <f>MIN(N3:N18)</f>
        <v>18</v>
      </c>
      <c r="O22">
        <f t="shared" ref="O22:Q22" si="14">MIN(O3:O18)</f>
        <v>1</v>
      </c>
      <c r="P22">
        <f t="shared" si="14"/>
        <v>0</v>
      </c>
      <c r="Q22">
        <f t="shared" si="14"/>
        <v>0</v>
      </c>
      <c r="S22" s="4"/>
      <c r="U22" t="s">
        <v>16</v>
      </c>
      <c r="V22">
        <f>MIN(V3:V18)</f>
        <v>4</v>
      </c>
      <c r="W22">
        <f t="shared" ref="W22:Y22" si="15">MIN(W3:W18)</f>
        <v>3</v>
      </c>
      <c r="X22">
        <f t="shared" si="15"/>
        <v>0</v>
      </c>
      <c r="Y22">
        <f t="shared" si="15"/>
        <v>0</v>
      </c>
      <c r="AA22" t="s">
        <v>16</v>
      </c>
      <c r="AB22">
        <f>MIN(AB3:AB18)</f>
        <v>13</v>
      </c>
      <c r="AC22">
        <f t="shared" ref="AC22:AE22" si="16">MIN(AC3:AC18)</f>
        <v>0</v>
      </c>
      <c r="AD22">
        <f t="shared" si="16"/>
        <v>0</v>
      </c>
      <c r="AE22">
        <f t="shared" si="16"/>
        <v>0</v>
      </c>
      <c r="AG22" t="s">
        <v>16</v>
      </c>
      <c r="AH22">
        <f>MIN(AH3:AH18)</f>
        <v>18</v>
      </c>
      <c r="AI22">
        <f t="shared" ref="AI22:AK22" si="17">MIN(AI3:AI18)</f>
        <v>1</v>
      </c>
      <c r="AJ22">
        <f t="shared" si="17"/>
        <v>0</v>
      </c>
      <c r="AK22">
        <f t="shared" si="17"/>
        <v>0</v>
      </c>
    </row>
    <row r="23" spans="1:37" x14ac:dyDescent="0.25">
      <c r="A23" t="s">
        <v>17</v>
      </c>
      <c r="B23">
        <f>AVERAGE(B3:B18)</f>
        <v>15.375</v>
      </c>
      <c r="C23">
        <f t="shared" ref="C23:E23" si="18">AVERAGE(C3:C18)</f>
        <v>12</v>
      </c>
      <c r="D23">
        <f t="shared" si="18"/>
        <v>3.3333333333333335</v>
      </c>
      <c r="E23">
        <f t="shared" si="18"/>
        <v>0.8</v>
      </c>
      <c r="G23" t="s">
        <v>17</v>
      </c>
      <c r="H23">
        <f>AVERAGE(H3:H18)</f>
        <v>38</v>
      </c>
      <c r="I23">
        <f t="shared" ref="I23:K23" si="19">AVERAGE(I3:I18)</f>
        <v>6.875</v>
      </c>
      <c r="J23">
        <f t="shared" si="19"/>
        <v>3.5</v>
      </c>
      <c r="K23">
        <f t="shared" si="19"/>
        <v>8</v>
      </c>
      <c r="M23" t="s">
        <v>17</v>
      </c>
      <c r="N23">
        <f>AVERAGE(N3:N18)</f>
        <v>45</v>
      </c>
      <c r="O23">
        <f t="shared" ref="O23:Q23" si="20">AVERAGE(O3:O18)</f>
        <v>9.75</v>
      </c>
      <c r="P23">
        <f t="shared" si="20"/>
        <v>7.5</v>
      </c>
      <c r="Q23">
        <f t="shared" si="20"/>
        <v>5.875</v>
      </c>
      <c r="S23" s="4"/>
      <c r="U23" t="s">
        <v>17</v>
      </c>
      <c r="V23">
        <f>AVERAGE(V3:V18)</f>
        <v>15.375</v>
      </c>
      <c r="W23">
        <f t="shared" ref="W23:Y23" si="21">AVERAGE(W3:W18)</f>
        <v>12</v>
      </c>
      <c r="X23">
        <f t="shared" si="21"/>
        <v>3.3333333333333335</v>
      </c>
      <c r="Y23">
        <f t="shared" si="21"/>
        <v>0.8</v>
      </c>
      <c r="AA23" t="s">
        <v>17</v>
      </c>
      <c r="AB23">
        <f>AVERAGE(AB3:AB18)</f>
        <v>38</v>
      </c>
      <c r="AC23">
        <f t="shared" ref="AC23:AE23" si="22">AVERAGE(AC3:AC18)</f>
        <v>4.5714285714285712</v>
      </c>
      <c r="AD23">
        <f t="shared" si="22"/>
        <v>3.5</v>
      </c>
      <c r="AE23">
        <f t="shared" si="22"/>
        <v>8</v>
      </c>
      <c r="AG23" t="s">
        <v>17</v>
      </c>
      <c r="AH23">
        <f>AVERAGE(AH3:AH18)</f>
        <v>45</v>
      </c>
      <c r="AI23">
        <f t="shared" ref="AI23:AK23" si="23">AVERAGE(AI3:AI18)</f>
        <v>5.4285714285714288</v>
      </c>
      <c r="AJ23">
        <f t="shared" si="23"/>
        <v>5.2857142857142856</v>
      </c>
      <c r="AK23">
        <f t="shared" si="23"/>
        <v>5.875</v>
      </c>
    </row>
    <row r="24" spans="1:37" x14ac:dyDescent="0.25">
      <c r="A24" t="s">
        <v>18</v>
      </c>
      <c r="B24">
        <f>STDEV(B3:B18)</f>
        <v>9.1797525643590827</v>
      </c>
      <c r="C24">
        <f t="shared" ref="C24:E24" si="24">STDEV(C3:C18)</f>
        <v>7.3290030505032346</v>
      </c>
      <c r="D24">
        <f t="shared" si="24"/>
        <v>3.4448028487370168</v>
      </c>
      <c r="E24">
        <f t="shared" si="24"/>
        <v>0.83666002653407556</v>
      </c>
      <c r="G24" t="s">
        <v>18</v>
      </c>
      <c r="H24">
        <f>STDEV(H3:H18)</f>
        <v>19.755650186357176</v>
      </c>
      <c r="I24">
        <f t="shared" ref="I24:K24" si="25">STDEV(I3:I18)</f>
        <v>7.9720493869877291</v>
      </c>
      <c r="J24">
        <f t="shared" si="25"/>
        <v>2.3904572186687871</v>
      </c>
      <c r="K24">
        <f t="shared" si="25"/>
        <v>4.8107023544236389</v>
      </c>
      <c r="M24" t="s">
        <v>18</v>
      </c>
      <c r="N24">
        <f>STDEV(N3:N18)</f>
        <v>20.213149892370279</v>
      </c>
      <c r="O24">
        <f t="shared" ref="O24:Q24" si="26">STDEV(O3:O18)</f>
        <v>14.655569394797128</v>
      </c>
      <c r="P24">
        <f t="shared" si="26"/>
        <v>7.6157731058639087</v>
      </c>
      <c r="Q24">
        <f t="shared" si="26"/>
        <v>6.0812945050493035</v>
      </c>
      <c r="S24" s="4"/>
      <c r="U24" t="s">
        <v>18</v>
      </c>
      <c r="V24">
        <f>STDEV(V3:V18)</f>
        <v>9.1797525643590827</v>
      </c>
      <c r="W24">
        <f t="shared" ref="W24:Y24" si="27">STDEV(W3:W18)</f>
        <v>7.3290030505032346</v>
      </c>
      <c r="X24">
        <f t="shared" si="27"/>
        <v>3.4448028487370168</v>
      </c>
      <c r="Y24">
        <f t="shared" si="27"/>
        <v>0.83666002653407556</v>
      </c>
      <c r="AA24" t="s">
        <v>18</v>
      </c>
      <c r="AB24">
        <f>STDEV(AB3:AB18)</f>
        <v>19.755650186357176</v>
      </c>
      <c r="AC24">
        <f t="shared" ref="AC24:AE24" si="28">STDEV(AC3:AC18)</f>
        <v>4.9617585208318653</v>
      </c>
      <c r="AD24">
        <f t="shared" si="28"/>
        <v>2.3904572186687871</v>
      </c>
      <c r="AE24">
        <f t="shared" si="28"/>
        <v>4.8107023544236389</v>
      </c>
      <c r="AG24" t="s">
        <v>18</v>
      </c>
      <c r="AH24">
        <f>STDEV(AH3:AH18)</f>
        <v>20.213149892370279</v>
      </c>
      <c r="AI24">
        <f t="shared" ref="AI24:AK24" si="29">STDEV(AI3:AI18)</f>
        <v>8.734169352933014</v>
      </c>
      <c r="AJ24">
        <f t="shared" si="29"/>
        <v>4.6802523334497579</v>
      </c>
      <c r="AK24">
        <f t="shared" si="29"/>
        <v>6.0812945050493035</v>
      </c>
    </row>
    <row r="25" spans="1:37" x14ac:dyDescent="0.25">
      <c r="A25" t="s">
        <v>19</v>
      </c>
      <c r="B25">
        <f>B23+2*B24</f>
        <v>33.734505128718169</v>
      </c>
      <c r="C25">
        <f t="shared" ref="C25:E25" si="30">C23+2*C24</f>
        <v>26.658006101006471</v>
      </c>
      <c r="D25">
        <f t="shared" si="30"/>
        <v>10.222939030807368</v>
      </c>
      <c r="E25">
        <f t="shared" si="30"/>
        <v>2.4733200530681509</v>
      </c>
      <c r="G25" t="s">
        <v>19</v>
      </c>
      <c r="H25">
        <f>H23+2*H24</f>
        <v>77.511300372714345</v>
      </c>
      <c r="I25">
        <f t="shared" ref="I25:K25" si="31">I23+2*I24</f>
        <v>22.819098773975458</v>
      </c>
      <c r="J25">
        <f t="shared" si="31"/>
        <v>8.2809144373375752</v>
      </c>
      <c r="K25">
        <f t="shared" si="31"/>
        <v>17.62140470884728</v>
      </c>
      <c r="M25" t="s">
        <v>19</v>
      </c>
      <c r="N25">
        <f>N23+2*N24</f>
        <v>85.426299784740564</v>
      </c>
      <c r="O25">
        <f t="shared" ref="O25:Q25" si="32">O23+2*O24</f>
        <v>39.061138789594253</v>
      </c>
      <c r="P25">
        <f t="shared" si="32"/>
        <v>22.731546211727817</v>
      </c>
      <c r="Q25">
        <f t="shared" si="32"/>
        <v>18.037589010098607</v>
      </c>
      <c r="S25" s="4"/>
      <c r="U25" t="s">
        <v>19</v>
      </c>
      <c r="V25">
        <f>V23+2*V24</f>
        <v>33.734505128718169</v>
      </c>
      <c r="W25">
        <f t="shared" ref="W25:Y25" si="33">W23+2*W24</f>
        <v>26.658006101006471</v>
      </c>
      <c r="X25">
        <f t="shared" si="33"/>
        <v>10.222939030807368</v>
      </c>
      <c r="Y25">
        <f t="shared" si="33"/>
        <v>2.4733200530681509</v>
      </c>
      <c r="AA25" t="s">
        <v>19</v>
      </c>
      <c r="AB25">
        <f>AB23+2*AB24</f>
        <v>77.511300372714345</v>
      </c>
      <c r="AC25">
        <f t="shared" ref="AC25:AE25" si="34">AC23+2*AC24</f>
        <v>14.494945613092302</v>
      </c>
      <c r="AD25">
        <f t="shared" si="34"/>
        <v>8.2809144373375752</v>
      </c>
      <c r="AE25">
        <f t="shared" si="34"/>
        <v>17.62140470884728</v>
      </c>
      <c r="AG25" t="s">
        <v>19</v>
      </c>
      <c r="AH25">
        <f>AH23+2*AH24</f>
        <v>85.426299784740564</v>
      </c>
      <c r="AI25">
        <f t="shared" ref="AI25:AK25" si="35">AI23+2*AI24</f>
        <v>22.896910134437455</v>
      </c>
      <c r="AJ25">
        <f t="shared" si="35"/>
        <v>14.6462189526138</v>
      </c>
      <c r="AK25">
        <f t="shared" si="35"/>
        <v>18.037589010098607</v>
      </c>
    </row>
    <row r="26" spans="1:37" x14ac:dyDescent="0.25">
      <c r="A26" t="s">
        <v>20</v>
      </c>
      <c r="B26">
        <f>B23-2*B24</f>
        <v>-2.9845051287181654</v>
      </c>
      <c r="C26">
        <f t="shared" ref="C26:E26" si="36">C23-2*C24</f>
        <v>-2.6580061010064693</v>
      </c>
      <c r="D26">
        <f t="shared" si="36"/>
        <v>-3.5562723641407001</v>
      </c>
      <c r="E26">
        <f t="shared" si="36"/>
        <v>-0.87332005306815108</v>
      </c>
      <c r="G26" t="s">
        <v>20</v>
      </c>
      <c r="H26">
        <f>H23-2*H24</f>
        <v>-1.5113003727143521</v>
      </c>
      <c r="I26">
        <f t="shared" ref="I26:K26" si="37">I23-2*I24</f>
        <v>-9.0690987739754583</v>
      </c>
      <c r="J26">
        <f t="shared" si="37"/>
        <v>-1.2809144373375743</v>
      </c>
      <c r="K26">
        <f t="shared" si="37"/>
        <v>-1.6214047088472778</v>
      </c>
      <c r="M26" t="s">
        <v>20</v>
      </c>
      <c r="N26">
        <f>N23-2*N24</f>
        <v>4.5737002152594428</v>
      </c>
      <c r="O26">
        <f t="shared" ref="O26:Q26" si="38">O23-2*O24</f>
        <v>-19.561138789594256</v>
      </c>
      <c r="P26">
        <f t="shared" si="38"/>
        <v>-7.7315462117278173</v>
      </c>
      <c r="Q26">
        <f t="shared" si="38"/>
        <v>-6.2875890100986069</v>
      </c>
      <c r="S26" s="4"/>
      <c r="U26" t="s">
        <v>20</v>
      </c>
      <c r="V26">
        <f>V23-2*V24</f>
        <v>-2.9845051287181654</v>
      </c>
      <c r="W26">
        <f t="shared" ref="W26:Y26" si="39">W23-2*W24</f>
        <v>-2.6580061010064693</v>
      </c>
      <c r="X26">
        <f t="shared" si="39"/>
        <v>-3.5562723641407001</v>
      </c>
      <c r="Y26">
        <f t="shared" si="39"/>
        <v>-0.87332005306815108</v>
      </c>
      <c r="AA26" t="s">
        <v>20</v>
      </c>
      <c r="AB26">
        <f>AB23-2*AB24</f>
        <v>-1.5113003727143521</v>
      </c>
      <c r="AC26">
        <f t="shared" ref="AC26:AE26" si="40">AC23-2*AC24</f>
        <v>-5.3520884702351594</v>
      </c>
      <c r="AD26">
        <f t="shared" si="40"/>
        <v>-1.2809144373375743</v>
      </c>
      <c r="AE26">
        <f t="shared" si="40"/>
        <v>-1.6214047088472778</v>
      </c>
      <c r="AG26" t="s">
        <v>20</v>
      </c>
      <c r="AH26">
        <f>AH23-2*AH24</f>
        <v>4.5737002152594428</v>
      </c>
      <c r="AI26">
        <f t="shared" ref="AI26:AK26" si="41">AI23-2*AI24</f>
        <v>-12.039767277294599</v>
      </c>
      <c r="AJ26">
        <f t="shared" si="41"/>
        <v>-4.0747903811852302</v>
      </c>
      <c r="AK26">
        <f t="shared" si="41"/>
        <v>-6.2875890100986069</v>
      </c>
    </row>
    <row r="27" spans="1:37" x14ac:dyDescent="0.25">
      <c r="A27" t="s">
        <v>21</v>
      </c>
      <c r="B27">
        <f>VAR(B3:B18)</f>
        <v>84.267857142857139</v>
      </c>
      <c r="C27">
        <f t="shared" ref="C27:E27" si="42">VAR(C3:C18)</f>
        <v>53.714285714285715</v>
      </c>
      <c r="D27">
        <f t="shared" si="42"/>
        <v>11.866666666666665</v>
      </c>
      <c r="E27">
        <f t="shared" si="42"/>
        <v>0.7</v>
      </c>
      <c r="G27" t="s">
        <v>21</v>
      </c>
      <c r="H27">
        <f>VAR(H3:H18)</f>
        <v>390.28571428571428</v>
      </c>
      <c r="I27">
        <f t="shared" ref="I27:K27" si="43">VAR(I3:I18)</f>
        <v>63.553571428571431</v>
      </c>
      <c r="J27">
        <f t="shared" si="43"/>
        <v>5.7142857142857144</v>
      </c>
      <c r="K27">
        <f t="shared" si="43"/>
        <v>23.142857142857142</v>
      </c>
      <c r="M27" t="s">
        <v>21</v>
      </c>
      <c r="N27">
        <f>VAR(N3:N18)</f>
        <v>408.57142857142856</v>
      </c>
      <c r="O27">
        <f t="shared" ref="O27:Q27" si="44">VAR(O3:O18)</f>
        <v>214.78571428571428</v>
      </c>
      <c r="P27">
        <f t="shared" si="44"/>
        <v>58</v>
      </c>
      <c r="Q27">
        <f t="shared" si="44"/>
        <v>36.982142857142854</v>
      </c>
      <c r="S27" s="4"/>
      <c r="U27" t="s">
        <v>21</v>
      </c>
      <c r="V27">
        <f>VAR(V3:V18)</f>
        <v>84.267857142857139</v>
      </c>
      <c r="W27">
        <f t="shared" ref="W27:Y27" si="45">VAR(W3:W18)</f>
        <v>53.714285714285715</v>
      </c>
      <c r="X27">
        <f t="shared" si="45"/>
        <v>11.866666666666665</v>
      </c>
      <c r="Y27">
        <f t="shared" si="45"/>
        <v>0.7</v>
      </c>
      <c r="AA27" t="s">
        <v>21</v>
      </c>
      <c r="AB27">
        <f>VAR(AB3:AB18)</f>
        <v>390.28571428571428</v>
      </c>
      <c r="AC27">
        <f t="shared" ref="AC27:AE27" si="46">VAR(AC3:AC18)</f>
        <v>24.61904761904762</v>
      </c>
      <c r="AD27">
        <f t="shared" si="46"/>
        <v>5.7142857142857144</v>
      </c>
      <c r="AE27">
        <f t="shared" si="46"/>
        <v>23.142857142857142</v>
      </c>
      <c r="AG27" t="s">
        <v>21</v>
      </c>
      <c r="AH27">
        <f>VAR(AH3:AH18)</f>
        <v>408.57142857142856</v>
      </c>
      <c r="AI27">
        <f t="shared" ref="AI27:AK27" si="47">VAR(AI3:AI18)</f>
        <v>76.285714285714292</v>
      </c>
      <c r="AJ27">
        <f t="shared" si="47"/>
        <v>21.904761904761902</v>
      </c>
      <c r="AK27">
        <f t="shared" si="47"/>
        <v>36.982142857142854</v>
      </c>
    </row>
    <row r="28" spans="1:37" x14ac:dyDescent="0.25">
      <c r="S28" s="4"/>
    </row>
    <row r="29" spans="1:37" x14ac:dyDescent="0.25">
      <c r="A29" t="s">
        <v>22</v>
      </c>
      <c r="G29" t="s">
        <v>23</v>
      </c>
      <c r="H29">
        <f>AVERAGE(H3:H10)</f>
        <v>38</v>
      </c>
      <c r="I29">
        <f t="shared" ref="I29:K29" si="48">AVERAGE(I3:I10)</f>
        <v>6.875</v>
      </c>
      <c r="J29">
        <f t="shared" si="48"/>
        <v>3.5</v>
      </c>
      <c r="K29">
        <f t="shared" si="48"/>
        <v>8</v>
      </c>
      <c r="M29" t="s">
        <v>23</v>
      </c>
      <c r="N29">
        <f>AVERAGE(N3:N10)</f>
        <v>45</v>
      </c>
      <c r="O29">
        <f t="shared" ref="O29:Q29" si="49">AVERAGE(O3:O10)</f>
        <v>9.75</v>
      </c>
      <c r="P29">
        <f t="shared" si="49"/>
        <v>7.5</v>
      </c>
      <c r="Q29">
        <f t="shared" si="49"/>
        <v>5.875</v>
      </c>
      <c r="S29" s="4"/>
      <c r="U29" t="s">
        <v>22</v>
      </c>
      <c r="AA29" t="s">
        <v>23</v>
      </c>
      <c r="AB29">
        <f>AVERAGE(AB3:AB10)</f>
        <v>38</v>
      </c>
      <c r="AC29">
        <f t="shared" ref="AC29:AE29" si="50">AVERAGE(AC3:AC10)</f>
        <v>4.5714285714285712</v>
      </c>
      <c r="AD29">
        <f t="shared" si="50"/>
        <v>3.5</v>
      </c>
      <c r="AE29">
        <f t="shared" si="50"/>
        <v>8</v>
      </c>
      <c r="AG29" t="s">
        <v>23</v>
      </c>
      <c r="AH29">
        <f>AVERAGE(AH3:AH10)</f>
        <v>45</v>
      </c>
      <c r="AI29">
        <f t="shared" ref="AI29:AK29" si="51">AVERAGE(AI3:AI10)</f>
        <v>5.4285714285714288</v>
      </c>
      <c r="AJ29">
        <f t="shared" si="51"/>
        <v>5.2857142857142856</v>
      </c>
      <c r="AK29">
        <f t="shared" si="51"/>
        <v>5.875</v>
      </c>
    </row>
    <row r="30" spans="1:37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52">AVERAGE(I11:I18)</f>
        <v>#DIV/0!</v>
      </c>
      <c r="J30" t="e">
        <f t="shared" si="52"/>
        <v>#DIV/0!</v>
      </c>
      <c r="K30" t="e">
        <f t="shared" si="52"/>
        <v>#DIV/0!</v>
      </c>
      <c r="M30" t="s">
        <v>24</v>
      </c>
      <c r="N30" t="e">
        <f>AVERAGE(N11:N18)</f>
        <v>#DIV/0!</v>
      </c>
      <c r="O30" t="e">
        <f t="shared" ref="O30:Q30" si="53">AVERAGE(O11:O18)</f>
        <v>#DIV/0!</v>
      </c>
      <c r="P30" t="e">
        <f t="shared" si="53"/>
        <v>#DIV/0!</v>
      </c>
      <c r="Q30" t="e">
        <f t="shared" si="53"/>
        <v>#DIV/0!</v>
      </c>
      <c r="S30" s="4"/>
      <c r="U30" t="s">
        <v>1</v>
      </c>
      <c r="V30" t="e">
        <f>TTEST(V11:V18,AB11:AB18,2,3)</f>
        <v>#DIV/0!</v>
      </c>
      <c r="AA30" t="s">
        <v>24</v>
      </c>
      <c r="AB30" t="e">
        <f>AVERAGE(AB11:AB18)</f>
        <v>#DIV/0!</v>
      </c>
      <c r="AC30" t="e">
        <f t="shared" ref="AC30:AE30" si="54">AVERAGE(AC11:AC18)</f>
        <v>#DIV/0!</v>
      </c>
      <c r="AD30" t="e">
        <f t="shared" si="54"/>
        <v>#DIV/0!</v>
      </c>
      <c r="AE30" t="e">
        <f t="shared" si="54"/>
        <v>#DIV/0!</v>
      </c>
      <c r="AG30" t="s">
        <v>24</v>
      </c>
      <c r="AH30" t="e">
        <f>AVERAGE(AH11:AH18)</f>
        <v>#DIV/0!</v>
      </c>
      <c r="AI30" t="e">
        <f t="shared" ref="AI30:AK30" si="55">AVERAGE(AI11:AI18)</f>
        <v>#DIV/0!</v>
      </c>
      <c r="AJ30" t="e">
        <f t="shared" si="55"/>
        <v>#DIV/0!</v>
      </c>
      <c r="AK30" t="e">
        <f t="shared" si="55"/>
        <v>#DIV/0!</v>
      </c>
    </row>
    <row r="31" spans="1:37" x14ac:dyDescent="0.25">
      <c r="A31" t="s">
        <v>2</v>
      </c>
      <c r="B31" t="e">
        <f>TTEST(C11:C18,I11:I18,2,3)</f>
        <v>#DIV/0!</v>
      </c>
      <c r="S31" s="4"/>
      <c r="U31" t="s">
        <v>2</v>
      </c>
      <c r="V31" t="e">
        <f>TTEST(W11:W18,AC11:AC18,2,3)</f>
        <v>#DIV/0!</v>
      </c>
    </row>
    <row r="32" spans="1:37" x14ac:dyDescent="0.25">
      <c r="A32" t="s">
        <v>3</v>
      </c>
      <c r="B32" t="e">
        <f>TTEST(D11:D18,J11:J18,2,3)</f>
        <v>#DIV/0!</v>
      </c>
      <c r="S32" s="4"/>
      <c r="U32" t="s">
        <v>3</v>
      </c>
      <c r="V32" t="e">
        <f>TTEST(X11:X18,AD11:AD18,2,3)</f>
        <v>#DIV/0!</v>
      </c>
    </row>
    <row r="33" spans="1:22" x14ac:dyDescent="0.25">
      <c r="A33" t="s">
        <v>4</v>
      </c>
      <c r="B33" t="e">
        <f>TTEST(E11:E18,K11:K18,2,3)</f>
        <v>#DIV/0!</v>
      </c>
      <c r="S33" s="4"/>
      <c r="U33" t="s">
        <v>4</v>
      </c>
      <c r="V33" t="e">
        <f>TTEST(Y11:Y18,AE11:AE18,2,3)</f>
        <v>#DIV/0!</v>
      </c>
    </row>
    <row r="34" spans="1:22" x14ac:dyDescent="0.25">
      <c r="S34" s="4"/>
    </row>
    <row r="35" spans="1:22" x14ac:dyDescent="0.25">
      <c r="S35" s="5" t="s">
        <v>28</v>
      </c>
    </row>
    <row r="36" spans="1:22" x14ac:dyDescent="0.25">
      <c r="A36" s="1"/>
      <c r="B36" s="1"/>
      <c r="C36" s="1"/>
      <c r="D36" s="1"/>
      <c r="E36" s="1"/>
      <c r="G36" s="1"/>
      <c r="H36" s="1"/>
      <c r="I36" s="1"/>
      <c r="J36" s="1"/>
      <c r="K36" s="1"/>
      <c r="M36" s="1"/>
      <c r="N36" s="1"/>
      <c r="O36" s="1"/>
      <c r="P36" s="1"/>
      <c r="Q36" s="1"/>
      <c r="R36" s="1"/>
      <c r="S36" s="4"/>
    </row>
    <row r="37" spans="1:22" x14ac:dyDescent="0.25">
      <c r="B37" s="3"/>
      <c r="C37" s="3"/>
      <c r="D37" s="3"/>
      <c r="E37" s="3"/>
      <c r="H37" s="3"/>
      <c r="I37" s="3"/>
      <c r="J37" s="3"/>
      <c r="K37" s="3"/>
      <c r="N37" s="3"/>
      <c r="O37" s="3"/>
      <c r="P37" s="3"/>
      <c r="Q37" s="3"/>
      <c r="R37" s="3"/>
      <c r="S37" s="4"/>
    </row>
    <row r="38" spans="1:22" x14ac:dyDescent="0.25">
      <c r="B38" s="3"/>
      <c r="C38" s="3"/>
      <c r="D38" s="3"/>
      <c r="E38" s="3"/>
      <c r="H38" s="3"/>
      <c r="I38" s="3"/>
      <c r="J38" s="3"/>
      <c r="K38" s="3"/>
      <c r="N38" s="3"/>
      <c r="O38" s="3"/>
      <c r="P38" s="3"/>
      <c r="Q38" s="3"/>
      <c r="R38" s="3"/>
      <c r="S38" s="4"/>
    </row>
    <row r="39" spans="1:22" x14ac:dyDescent="0.25">
      <c r="B39" s="3"/>
      <c r="C39" s="3"/>
      <c r="D39" s="3"/>
      <c r="E39" s="3"/>
      <c r="H39" s="3"/>
      <c r="I39" s="3"/>
      <c r="J39" s="3"/>
      <c r="K39" s="3"/>
      <c r="N39" s="3"/>
      <c r="O39" s="3"/>
      <c r="P39" s="3"/>
      <c r="Q39" s="3"/>
      <c r="R39" s="3"/>
      <c r="S39" s="4"/>
    </row>
    <row r="40" spans="1:22" x14ac:dyDescent="0.25">
      <c r="B40" s="3"/>
      <c r="C40" s="3"/>
      <c r="D40" s="3"/>
      <c r="E40" s="3"/>
      <c r="H40" s="3"/>
      <c r="I40" s="3"/>
      <c r="J40" s="3"/>
      <c r="K40" s="3"/>
      <c r="N40" s="3"/>
      <c r="O40" s="3"/>
      <c r="P40" s="3"/>
      <c r="Q40" s="3"/>
      <c r="R40" s="3"/>
      <c r="S40" s="4"/>
    </row>
    <row r="41" spans="1:22" x14ac:dyDescent="0.25">
      <c r="B41" s="3"/>
      <c r="C41" s="3"/>
      <c r="D41" s="3"/>
      <c r="E41" s="3"/>
      <c r="H41" s="3"/>
      <c r="I41" s="3"/>
      <c r="J41" s="3"/>
      <c r="K41" s="3"/>
      <c r="N41" s="3"/>
      <c r="O41" s="3"/>
      <c r="P41" s="3"/>
      <c r="Q41" s="3"/>
      <c r="R41" s="3"/>
      <c r="S41" s="4"/>
    </row>
    <row r="42" spans="1:22" x14ac:dyDescent="0.25">
      <c r="B42" s="3"/>
      <c r="C42" s="3"/>
      <c r="D42" s="3"/>
      <c r="E42" s="3"/>
      <c r="H42" s="3"/>
      <c r="I42" s="3"/>
      <c r="J42" s="3"/>
      <c r="K42" s="3"/>
      <c r="N42" s="3"/>
      <c r="O42" s="3"/>
      <c r="P42" s="3"/>
      <c r="Q42" s="3"/>
      <c r="R42" s="3"/>
      <c r="S42" s="4"/>
    </row>
    <row r="43" spans="1:22" x14ac:dyDescent="0.25">
      <c r="B43" s="3"/>
      <c r="C43" s="3"/>
      <c r="D43" s="3"/>
      <c r="E43" s="3"/>
      <c r="H43" s="3"/>
      <c r="I43" s="3"/>
      <c r="J43" s="3"/>
      <c r="K43" s="3"/>
      <c r="N43" s="3"/>
      <c r="O43" s="3"/>
      <c r="P43" s="3"/>
      <c r="Q43" s="3"/>
      <c r="R43" s="3"/>
      <c r="S43" s="4"/>
    </row>
    <row r="44" spans="1:22" x14ac:dyDescent="0.25">
      <c r="B44" s="3"/>
      <c r="C44" s="3"/>
      <c r="D44" s="3"/>
      <c r="E44" s="3"/>
      <c r="H44" s="3"/>
      <c r="I44" s="3"/>
      <c r="J44" s="3"/>
      <c r="K44" s="3"/>
      <c r="N44" s="3"/>
      <c r="O44" s="3"/>
      <c r="P44" s="3"/>
      <c r="Q44" s="3"/>
      <c r="R44" s="3"/>
      <c r="S44" s="4"/>
    </row>
    <row r="45" spans="1:22" x14ac:dyDescent="0.25">
      <c r="B45" s="3"/>
      <c r="C45" s="3"/>
      <c r="D45" s="3"/>
      <c r="E45" s="3"/>
      <c r="H45" s="3"/>
      <c r="I45" s="3"/>
      <c r="J45" s="3"/>
      <c r="K45" s="3"/>
      <c r="N45" s="3"/>
      <c r="O45" s="3"/>
      <c r="P45" s="3"/>
      <c r="Q45" s="3"/>
      <c r="S45" s="4"/>
    </row>
    <row r="46" spans="1:22" x14ac:dyDescent="0.25">
      <c r="B46" s="3"/>
      <c r="C46" s="3"/>
      <c r="D46" s="3"/>
      <c r="E46" s="3"/>
      <c r="H46" s="3"/>
      <c r="I46" s="3"/>
      <c r="J46" s="3"/>
      <c r="K46" s="3"/>
      <c r="N46" s="3"/>
      <c r="O46" s="3"/>
      <c r="P46" s="3"/>
      <c r="Q46" s="3"/>
      <c r="S46" s="4"/>
    </row>
    <row r="47" spans="1:22" x14ac:dyDescent="0.25">
      <c r="B47" s="3"/>
      <c r="C47" s="3"/>
      <c r="D47" s="3"/>
      <c r="E47" s="3"/>
      <c r="H47" s="3"/>
      <c r="I47" s="3"/>
      <c r="J47" s="3"/>
      <c r="K47" s="3"/>
      <c r="N47" s="3"/>
      <c r="O47" s="3"/>
      <c r="P47" s="3"/>
      <c r="Q47" s="3"/>
      <c r="S47" s="4"/>
    </row>
    <row r="48" spans="1:22" x14ac:dyDescent="0.25">
      <c r="B48" s="3"/>
      <c r="C48" s="3"/>
      <c r="D48" s="3"/>
      <c r="E48" s="3"/>
      <c r="H48" s="3"/>
      <c r="I48" s="3"/>
      <c r="J48" s="3"/>
      <c r="K48" s="3"/>
      <c r="N48" s="3"/>
      <c r="O48" s="3"/>
      <c r="P48" s="3"/>
      <c r="Q48" s="3"/>
      <c r="S48" s="4"/>
    </row>
    <row r="49" spans="1:19" x14ac:dyDescent="0.25">
      <c r="B49" s="3"/>
      <c r="C49" s="3"/>
      <c r="D49" s="3"/>
      <c r="E49" s="3"/>
      <c r="H49" s="3"/>
      <c r="I49" s="3"/>
      <c r="J49" s="3"/>
      <c r="K49" s="3"/>
      <c r="N49" s="3"/>
      <c r="O49" s="3"/>
      <c r="P49" s="3"/>
      <c r="Q49" s="3"/>
      <c r="S49" s="4"/>
    </row>
    <row r="50" spans="1:19" x14ac:dyDescent="0.25">
      <c r="B50" s="3"/>
      <c r="C50" s="3"/>
      <c r="D50" s="3"/>
      <c r="E50" s="3"/>
      <c r="H50" s="3"/>
      <c r="I50" s="3"/>
      <c r="J50" s="3"/>
      <c r="K50" s="3"/>
      <c r="N50" s="3"/>
      <c r="O50" s="3"/>
      <c r="P50" s="3"/>
      <c r="Q50" s="3"/>
      <c r="S50" s="4"/>
    </row>
    <row r="51" spans="1:19" x14ac:dyDescent="0.25">
      <c r="B51" s="3"/>
      <c r="C51" s="3"/>
      <c r="D51" s="3"/>
      <c r="E51" s="3"/>
      <c r="H51" s="3"/>
      <c r="I51" s="3"/>
      <c r="J51" s="3"/>
      <c r="K51" s="3"/>
      <c r="N51" s="3"/>
      <c r="O51" s="3"/>
      <c r="P51" s="3"/>
      <c r="Q51" s="3"/>
      <c r="S51" s="4"/>
    </row>
    <row r="52" spans="1:19" x14ac:dyDescent="0.25">
      <c r="B52" s="3"/>
      <c r="C52" s="3"/>
      <c r="D52" s="3"/>
      <c r="E52" s="3"/>
      <c r="H52" s="3"/>
      <c r="I52" s="3"/>
      <c r="J52" s="3"/>
      <c r="K52" s="3"/>
      <c r="N52" s="3"/>
      <c r="O52" s="3"/>
      <c r="P52" s="3"/>
      <c r="Q52" s="3"/>
      <c r="S52" s="4"/>
    </row>
    <row r="53" spans="1:19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  <c r="S53" s="4"/>
    </row>
    <row r="54" spans="1:19" x14ac:dyDescent="0.25">
      <c r="S54" s="4"/>
    </row>
    <row r="55" spans="1:19" x14ac:dyDescent="0.25">
      <c r="S55" s="4"/>
    </row>
    <row r="56" spans="1:19" x14ac:dyDescent="0.25">
      <c r="S56" s="4"/>
    </row>
    <row r="57" spans="1:19" x14ac:dyDescent="0.25">
      <c r="S57" s="4"/>
    </row>
    <row r="58" spans="1:19" x14ac:dyDescent="0.25">
      <c r="S58" s="4"/>
    </row>
    <row r="59" spans="1:19" x14ac:dyDescent="0.25">
      <c r="S59" s="4"/>
    </row>
    <row r="60" spans="1:19" x14ac:dyDescent="0.25">
      <c r="S60" s="4"/>
    </row>
    <row r="61" spans="1:19" x14ac:dyDescent="0.25">
      <c r="S61" s="4"/>
    </row>
    <row r="62" spans="1:19" x14ac:dyDescent="0.25">
      <c r="S62" s="4"/>
    </row>
    <row r="63" spans="1:19" x14ac:dyDescent="0.25">
      <c r="S63" s="4"/>
    </row>
    <row r="64" spans="1:19" x14ac:dyDescent="0.25">
      <c r="S64" s="4"/>
    </row>
    <row r="65" spans="1:19" x14ac:dyDescent="0.25">
      <c r="S65" s="4"/>
    </row>
    <row r="66" spans="1:19" x14ac:dyDescent="0.25">
      <c r="S66" s="4"/>
    </row>
    <row r="67" spans="1:19" x14ac:dyDescent="0.25">
      <c r="S67" s="4"/>
    </row>
    <row r="68" spans="1:19" x14ac:dyDescent="0.25">
      <c r="S68" s="4"/>
    </row>
    <row r="69" spans="1:19" x14ac:dyDescent="0.25">
      <c r="S69" s="4"/>
    </row>
    <row r="70" spans="1:19" x14ac:dyDescent="0.25">
      <c r="A70" s="1"/>
      <c r="B70" s="1"/>
      <c r="C70" s="1"/>
      <c r="D70" s="1"/>
      <c r="E70" s="1"/>
      <c r="G70" s="1"/>
      <c r="H70" s="1"/>
      <c r="I70" s="1"/>
      <c r="J70" s="1"/>
      <c r="K70" s="1"/>
      <c r="M70" s="1"/>
      <c r="N70" s="1"/>
      <c r="O70" s="1"/>
      <c r="P70" s="1"/>
      <c r="Q70" s="1"/>
      <c r="R70" s="1"/>
      <c r="S70" s="4"/>
    </row>
    <row r="71" spans="1:19" x14ac:dyDescent="0.25">
      <c r="B71" s="3"/>
      <c r="C71" s="3"/>
      <c r="D71" s="3"/>
      <c r="E71" s="3"/>
      <c r="H71" s="3"/>
      <c r="I71" s="3"/>
      <c r="J71" s="3"/>
      <c r="K71" s="3"/>
      <c r="N71" s="3"/>
      <c r="O71" s="3"/>
      <c r="P71" s="3"/>
      <c r="Q71" s="3"/>
      <c r="R71" s="3"/>
      <c r="S71" s="4"/>
    </row>
    <row r="72" spans="1:19" x14ac:dyDescent="0.25">
      <c r="B72" s="3"/>
      <c r="C72" s="3"/>
      <c r="D72" s="3"/>
      <c r="E72" s="3"/>
      <c r="H72" s="3"/>
      <c r="I72" s="3"/>
      <c r="J72" s="3"/>
      <c r="K72" s="3"/>
      <c r="N72" s="3"/>
      <c r="O72" s="3"/>
      <c r="P72" s="3"/>
      <c r="Q72" s="3"/>
      <c r="R72" s="3"/>
      <c r="S72" s="4"/>
    </row>
    <row r="73" spans="1:19" x14ac:dyDescent="0.25">
      <c r="B73" s="3"/>
      <c r="C73" s="3"/>
      <c r="D73" s="3"/>
      <c r="E73" s="3"/>
      <c r="H73" s="3"/>
      <c r="I73" s="3"/>
      <c r="J73" s="3"/>
      <c r="K73" s="3"/>
      <c r="N73" s="3"/>
      <c r="O73" s="3"/>
      <c r="P73" s="3"/>
      <c r="Q73" s="3"/>
      <c r="R73" s="3"/>
      <c r="S73" s="4"/>
    </row>
    <row r="74" spans="1:19" x14ac:dyDescent="0.25">
      <c r="B74" s="3"/>
      <c r="C74" s="3"/>
      <c r="D74" s="3"/>
      <c r="E74" s="3"/>
      <c r="H74" s="3"/>
      <c r="I74" s="3"/>
      <c r="J74" s="3"/>
      <c r="K74" s="3"/>
      <c r="N74" s="3"/>
      <c r="O74" s="3"/>
      <c r="P74" s="3"/>
      <c r="Q74" s="3"/>
      <c r="R74" s="3"/>
      <c r="S74" s="4"/>
    </row>
    <row r="75" spans="1:19" x14ac:dyDescent="0.25">
      <c r="B75" s="3"/>
      <c r="C75" s="3"/>
      <c r="D75" s="3"/>
      <c r="E75" s="3"/>
      <c r="H75" s="3"/>
      <c r="I75" s="3"/>
      <c r="J75" s="3"/>
      <c r="K75" s="3"/>
      <c r="N75" s="3"/>
      <c r="O75" s="3"/>
      <c r="P75" s="3"/>
      <c r="Q75" s="3"/>
      <c r="R75" s="3"/>
      <c r="S75" s="4"/>
    </row>
    <row r="76" spans="1:19" x14ac:dyDescent="0.25">
      <c r="B76" s="3"/>
      <c r="C76" s="3"/>
      <c r="D76" s="3"/>
      <c r="E76" s="3"/>
      <c r="H76" s="3"/>
      <c r="I76" s="3"/>
      <c r="J76" s="3"/>
      <c r="K76" s="3"/>
      <c r="N76" s="3"/>
      <c r="O76" s="3"/>
      <c r="P76" s="3"/>
      <c r="Q76" s="3"/>
      <c r="R76" s="3"/>
      <c r="S76" s="4"/>
    </row>
    <row r="77" spans="1:19" x14ac:dyDescent="0.25">
      <c r="B77" s="3"/>
      <c r="C77" s="3"/>
      <c r="D77" s="3"/>
      <c r="E77" s="3"/>
      <c r="H77" s="3"/>
      <c r="I77" s="3"/>
      <c r="J77" s="3"/>
      <c r="K77" s="3"/>
      <c r="N77" s="3"/>
      <c r="O77" s="3"/>
      <c r="P77" s="3"/>
      <c r="Q77" s="3"/>
      <c r="R77" s="3"/>
      <c r="S77" s="4"/>
    </row>
    <row r="78" spans="1:19" x14ac:dyDescent="0.25">
      <c r="B78" s="3"/>
      <c r="C78" s="3"/>
      <c r="D78" s="3"/>
      <c r="E78" s="3"/>
      <c r="H78" s="3"/>
      <c r="I78" s="3"/>
      <c r="J78" s="3"/>
      <c r="K78" s="3"/>
      <c r="N78" s="3"/>
      <c r="O78" s="3"/>
      <c r="P78" s="3"/>
      <c r="Q78" s="3"/>
      <c r="R78" s="3"/>
      <c r="S78" s="4"/>
    </row>
    <row r="79" spans="1:19" x14ac:dyDescent="0.25">
      <c r="C79" s="3"/>
      <c r="D79" s="3"/>
      <c r="E79" s="3"/>
      <c r="I79" s="3"/>
      <c r="J79" s="3"/>
      <c r="K79" s="3"/>
      <c r="O79" s="3"/>
      <c r="P79" s="3"/>
      <c r="Q79" s="3"/>
      <c r="S79" s="4"/>
    </row>
    <row r="80" spans="1:19" x14ac:dyDescent="0.25">
      <c r="C80" s="3"/>
      <c r="D80" s="3"/>
      <c r="E80" s="3"/>
      <c r="I80" s="3"/>
      <c r="J80" s="3"/>
      <c r="K80" s="3"/>
      <c r="O80" s="3"/>
      <c r="P80" s="3"/>
      <c r="Q80" s="3"/>
      <c r="S80" s="4"/>
    </row>
    <row r="81" spans="1:19" x14ac:dyDescent="0.25">
      <c r="C81" s="3"/>
      <c r="D81" s="3"/>
      <c r="E81" s="3"/>
      <c r="I81" s="3"/>
      <c r="J81" s="3"/>
      <c r="K81" s="3"/>
      <c r="O81" s="3"/>
      <c r="P81" s="3"/>
      <c r="Q81" s="3"/>
      <c r="S81" s="4"/>
    </row>
    <row r="82" spans="1:19" x14ac:dyDescent="0.25">
      <c r="C82" s="3"/>
      <c r="D82" s="3"/>
      <c r="E82" s="3"/>
      <c r="I82" s="3"/>
      <c r="J82" s="3"/>
      <c r="K82" s="3"/>
      <c r="O82" s="3"/>
      <c r="P82" s="3"/>
      <c r="Q82" s="3"/>
      <c r="S82" s="4"/>
    </row>
    <row r="83" spans="1:19" x14ac:dyDescent="0.25">
      <c r="C83" s="3"/>
      <c r="D83" s="3"/>
      <c r="E83" s="3"/>
      <c r="I83" s="3"/>
      <c r="J83" s="3"/>
      <c r="K83" s="3"/>
      <c r="O83" s="3"/>
      <c r="P83" s="3"/>
      <c r="Q83" s="3"/>
      <c r="S83" s="4"/>
    </row>
    <row r="84" spans="1:19" x14ac:dyDescent="0.25">
      <c r="C84" s="3"/>
      <c r="D84" s="3"/>
      <c r="E84" s="3"/>
      <c r="I84" s="3"/>
      <c r="J84" s="3"/>
      <c r="K84" s="3"/>
      <c r="O84" s="3"/>
      <c r="P84" s="3"/>
      <c r="Q84" s="3"/>
      <c r="S84" s="4"/>
    </row>
    <row r="85" spans="1:19" x14ac:dyDescent="0.25">
      <c r="C85" s="3"/>
      <c r="D85" s="3"/>
      <c r="E85" s="3"/>
      <c r="I85" s="3"/>
      <c r="J85" s="3"/>
      <c r="K85" s="3"/>
      <c r="O85" s="3"/>
      <c r="P85" s="3"/>
      <c r="Q85" s="3"/>
      <c r="S85" s="4"/>
    </row>
    <row r="86" spans="1:19" x14ac:dyDescent="0.25">
      <c r="C86" s="3"/>
      <c r="D86" s="3"/>
      <c r="E86" s="3"/>
      <c r="I86" s="3"/>
      <c r="J86" s="3"/>
      <c r="K86" s="3"/>
      <c r="O86" s="3"/>
      <c r="P86" s="3"/>
      <c r="Q86" s="3"/>
      <c r="S86" s="4"/>
    </row>
    <row r="87" spans="1:19" x14ac:dyDescent="0.25">
      <c r="A87" s="2"/>
      <c r="B87" s="2"/>
      <c r="C87" s="2"/>
      <c r="D87" s="2"/>
      <c r="E87" s="2"/>
      <c r="G87" s="2"/>
      <c r="H87" s="2"/>
      <c r="I87" s="2"/>
      <c r="J87" s="2"/>
      <c r="K87" s="2"/>
      <c r="M87" s="2"/>
      <c r="N87" s="2"/>
      <c r="O87" s="2"/>
      <c r="P87" s="2"/>
      <c r="Q87" s="2"/>
      <c r="S87" s="4"/>
    </row>
    <row r="88" spans="1:19" x14ac:dyDescent="0.25">
      <c r="S88" s="4"/>
    </row>
    <row r="89" spans="1:19" x14ac:dyDescent="0.25">
      <c r="S89" s="4"/>
    </row>
    <row r="90" spans="1:19" x14ac:dyDescent="0.25">
      <c r="S90" s="4"/>
    </row>
    <row r="91" spans="1:19" x14ac:dyDescent="0.25">
      <c r="S91" s="4"/>
    </row>
    <row r="92" spans="1:19" x14ac:dyDescent="0.25">
      <c r="S92" s="4"/>
    </row>
    <row r="93" spans="1:19" x14ac:dyDescent="0.25">
      <c r="S93" s="4"/>
    </row>
    <row r="94" spans="1:19" x14ac:dyDescent="0.25">
      <c r="S94" s="4"/>
    </row>
    <row r="95" spans="1:19" x14ac:dyDescent="0.25">
      <c r="S95" s="4"/>
    </row>
    <row r="96" spans="1:19" x14ac:dyDescent="0.25">
      <c r="S96" s="4"/>
    </row>
    <row r="97" spans="1:19" x14ac:dyDescent="0.25">
      <c r="S97" s="4"/>
    </row>
    <row r="98" spans="1:19" x14ac:dyDescent="0.25">
      <c r="S98" s="4"/>
    </row>
    <row r="99" spans="1:19" x14ac:dyDescent="0.25">
      <c r="S99" s="4"/>
    </row>
    <row r="100" spans="1:19" x14ac:dyDescent="0.25">
      <c r="S100" s="4"/>
    </row>
    <row r="101" spans="1:19" x14ac:dyDescent="0.25">
      <c r="S101" s="4"/>
    </row>
    <row r="102" spans="1:19" x14ac:dyDescent="0.25">
      <c r="S102" s="4"/>
    </row>
    <row r="103" spans="1:19" x14ac:dyDescent="0.25">
      <c r="S103" s="4"/>
    </row>
    <row r="104" spans="1:19" x14ac:dyDescent="0.25">
      <c r="A104" s="1"/>
      <c r="B104" s="1"/>
      <c r="C104" s="1"/>
      <c r="D104" s="1"/>
      <c r="E104" s="1"/>
      <c r="G104" s="1"/>
      <c r="H104" s="1"/>
      <c r="I104" s="1"/>
      <c r="J104" s="1"/>
      <c r="K104" s="1"/>
      <c r="M104" s="1"/>
      <c r="N104" s="1"/>
      <c r="O104" s="1"/>
      <c r="P104" s="1"/>
      <c r="Q104" s="1"/>
      <c r="R104" s="1"/>
      <c r="S104" s="4"/>
    </row>
    <row r="105" spans="1:19" x14ac:dyDescent="0.25">
      <c r="B105" s="3"/>
      <c r="C105" s="3"/>
      <c r="D105" s="3"/>
      <c r="E105" s="3"/>
      <c r="H105" s="3"/>
      <c r="I105" s="3"/>
      <c r="J105" s="3"/>
      <c r="K105" s="3"/>
      <c r="N105" s="3"/>
      <c r="O105" s="3"/>
      <c r="P105" s="3"/>
      <c r="Q105" s="3"/>
      <c r="R105" s="3"/>
      <c r="S105" s="4"/>
    </row>
    <row r="106" spans="1:19" x14ac:dyDescent="0.25">
      <c r="B106" s="3"/>
      <c r="C106" s="3"/>
      <c r="D106" s="3"/>
      <c r="E106" s="3"/>
      <c r="H106" s="3"/>
      <c r="I106" s="3"/>
      <c r="J106" s="3"/>
      <c r="K106" s="3"/>
      <c r="N106" s="3"/>
      <c r="O106" s="3"/>
      <c r="P106" s="3"/>
      <c r="Q106" s="3"/>
      <c r="R106" s="3"/>
      <c r="S106" s="4"/>
    </row>
    <row r="107" spans="1:19" x14ac:dyDescent="0.25">
      <c r="B107" s="3"/>
      <c r="C107" s="3"/>
      <c r="D107" s="3"/>
      <c r="E107" s="3"/>
      <c r="H107" s="3"/>
      <c r="I107" s="3"/>
      <c r="J107" s="3"/>
      <c r="K107" s="3"/>
      <c r="N107" s="3"/>
      <c r="O107" s="3"/>
      <c r="P107" s="3"/>
      <c r="Q107" s="3"/>
      <c r="R107" s="3"/>
      <c r="S107" s="4"/>
    </row>
    <row r="108" spans="1:19" x14ac:dyDescent="0.25">
      <c r="B108" s="3"/>
      <c r="C108" s="3"/>
      <c r="D108" s="3"/>
      <c r="E108" s="3"/>
      <c r="H108" s="3"/>
      <c r="I108" s="3"/>
      <c r="J108" s="3"/>
      <c r="K108" s="3"/>
      <c r="N108" s="3"/>
      <c r="O108" s="3"/>
      <c r="P108" s="3"/>
      <c r="Q108" s="3"/>
      <c r="R108" s="3"/>
      <c r="S108" s="4"/>
    </row>
    <row r="109" spans="1:19" x14ac:dyDescent="0.25">
      <c r="B109" s="3"/>
      <c r="C109" s="3"/>
      <c r="D109" s="3"/>
      <c r="E109" s="3"/>
      <c r="H109" s="3"/>
      <c r="I109" s="3"/>
      <c r="J109" s="3"/>
      <c r="K109" s="3"/>
      <c r="N109" s="3"/>
      <c r="O109" s="3"/>
      <c r="P109" s="3"/>
      <c r="Q109" s="3"/>
      <c r="R109" s="3"/>
      <c r="S109" s="4"/>
    </row>
    <row r="110" spans="1:19" x14ac:dyDescent="0.25">
      <c r="B110" s="3"/>
      <c r="C110" s="3"/>
      <c r="D110" s="3"/>
      <c r="E110" s="3"/>
      <c r="H110" s="3"/>
      <c r="I110" s="3"/>
      <c r="J110" s="3"/>
      <c r="K110" s="3"/>
      <c r="N110" s="3"/>
      <c r="O110" s="3"/>
      <c r="P110" s="3"/>
      <c r="Q110" s="3"/>
      <c r="R110" s="3"/>
      <c r="S110" s="4"/>
    </row>
    <row r="111" spans="1:19" x14ac:dyDescent="0.25">
      <c r="B111" s="3"/>
      <c r="C111" s="3"/>
      <c r="D111" s="3"/>
      <c r="E111" s="3"/>
      <c r="H111" s="3"/>
      <c r="I111" s="3"/>
      <c r="J111" s="3"/>
      <c r="K111" s="3"/>
      <c r="N111" s="3"/>
      <c r="O111" s="3"/>
      <c r="P111" s="3"/>
      <c r="Q111" s="3"/>
      <c r="R111" s="3"/>
      <c r="S111" s="4"/>
    </row>
    <row r="112" spans="1:19" x14ac:dyDescent="0.25">
      <c r="B112" s="3"/>
      <c r="C112" s="3"/>
      <c r="D112" s="3"/>
      <c r="E112" s="3"/>
      <c r="H112" s="3"/>
      <c r="I112" s="3"/>
      <c r="J112" s="3"/>
      <c r="K112" s="3"/>
      <c r="N112" s="3"/>
      <c r="O112" s="3"/>
      <c r="P112" s="3"/>
      <c r="Q112" s="3"/>
      <c r="R112" s="3"/>
      <c r="S112" s="4"/>
    </row>
    <row r="113" spans="1:19" x14ac:dyDescent="0.25">
      <c r="C113" s="3"/>
      <c r="D113" s="3"/>
      <c r="E113" s="3"/>
      <c r="I113" s="3"/>
      <c r="J113" s="3"/>
      <c r="K113" s="3"/>
      <c r="O113" s="3"/>
      <c r="P113" s="3"/>
      <c r="Q113" s="3"/>
      <c r="R113" s="3"/>
      <c r="S113" s="4"/>
    </row>
    <row r="114" spans="1:19" x14ac:dyDescent="0.25">
      <c r="C114" s="3"/>
      <c r="D114" s="3"/>
      <c r="E114" s="3"/>
      <c r="I114" s="3"/>
      <c r="J114" s="3"/>
      <c r="K114" s="3"/>
      <c r="O114" s="3"/>
      <c r="P114" s="3"/>
      <c r="Q114" s="3"/>
      <c r="R114" s="3"/>
      <c r="S114" s="4"/>
    </row>
    <row r="115" spans="1:19" x14ac:dyDescent="0.25">
      <c r="C115" s="3"/>
      <c r="D115" s="3"/>
      <c r="E115" s="3"/>
      <c r="I115" s="3"/>
      <c r="J115" s="3"/>
      <c r="K115" s="3"/>
      <c r="O115" s="3"/>
      <c r="P115" s="3"/>
      <c r="Q115" s="3"/>
      <c r="R115" s="3"/>
      <c r="S115" s="4"/>
    </row>
    <row r="116" spans="1:19" x14ac:dyDescent="0.25">
      <c r="C116" s="3"/>
      <c r="D116" s="3"/>
      <c r="E116" s="3"/>
      <c r="I116" s="3"/>
      <c r="J116" s="3"/>
      <c r="K116" s="3"/>
      <c r="O116" s="3"/>
      <c r="P116" s="3"/>
      <c r="Q116" s="3"/>
      <c r="R116" s="3"/>
      <c r="S116" s="4"/>
    </row>
    <row r="117" spans="1:19" x14ac:dyDescent="0.25">
      <c r="C117" s="3"/>
      <c r="D117" s="3"/>
      <c r="E117" s="3"/>
      <c r="I117" s="3"/>
      <c r="J117" s="3"/>
      <c r="K117" s="3"/>
      <c r="O117" s="3"/>
      <c r="P117" s="3"/>
      <c r="Q117" s="3"/>
      <c r="R117" s="3"/>
      <c r="S117" s="4"/>
    </row>
    <row r="118" spans="1:19" x14ac:dyDescent="0.25">
      <c r="C118" s="3"/>
      <c r="D118" s="3"/>
      <c r="E118" s="3"/>
      <c r="I118" s="3"/>
      <c r="J118" s="3"/>
      <c r="K118" s="3"/>
      <c r="O118" s="3"/>
      <c r="P118" s="3"/>
      <c r="Q118" s="3"/>
      <c r="R118" s="3"/>
      <c r="S118" s="4"/>
    </row>
    <row r="119" spans="1:19" x14ac:dyDescent="0.25">
      <c r="C119" s="3"/>
      <c r="D119" s="3"/>
      <c r="E119" s="3"/>
      <c r="I119" s="3"/>
      <c r="J119" s="3"/>
      <c r="K119" s="3"/>
      <c r="O119" s="3"/>
      <c r="P119" s="3"/>
      <c r="Q119" s="3"/>
      <c r="R119" s="3"/>
      <c r="S119" s="4"/>
    </row>
    <row r="120" spans="1:19" x14ac:dyDescent="0.25">
      <c r="C120" s="3"/>
      <c r="D120" s="3"/>
      <c r="E120" s="3"/>
      <c r="I120" s="3"/>
      <c r="J120" s="3"/>
      <c r="K120" s="3"/>
      <c r="O120" s="3"/>
      <c r="P120" s="3"/>
      <c r="Q120" s="3"/>
      <c r="R120" s="3"/>
      <c r="S120" s="4"/>
    </row>
    <row r="121" spans="1:19" x14ac:dyDescent="0.25">
      <c r="A121" s="2"/>
      <c r="B121" s="2"/>
      <c r="C121" s="2"/>
      <c r="D121" s="2"/>
      <c r="E121" s="2"/>
      <c r="G121" s="2"/>
      <c r="H121" s="2"/>
      <c r="I121" s="2"/>
      <c r="J121" s="2"/>
      <c r="K121" s="2"/>
      <c r="M121" s="2"/>
      <c r="N121" s="2"/>
      <c r="O121" s="2"/>
      <c r="P121" s="2"/>
      <c r="Q121" s="2"/>
      <c r="R121" s="3"/>
      <c r="S121" s="4"/>
    </row>
    <row r="122" spans="1:19" x14ac:dyDescent="0.25">
      <c r="R122" s="3"/>
      <c r="S122" s="4"/>
    </row>
    <row r="123" spans="1:19" x14ac:dyDescent="0.25">
      <c r="R123" s="3"/>
      <c r="S123" s="4"/>
    </row>
    <row r="124" spans="1:19" x14ac:dyDescent="0.25">
      <c r="S124" s="4"/>
    </row>
    <row r="125" spans="1:19" x14ac:dyDescent="0.25">
      <c r="S125" s="4"/>
    </row>
    <row r="126" spans="1:19" x14ac:dyDescent="0.25">
      <c r="S126" s="4"/>
    </row>
    <row r="127" spans="1:19" x14ac:dyDescent="0.25">
      <c r="S127" s="4"/>
    </row>
    <row r="128" spans="1:19" x14ac:dyDescent="0.25">
      <c r="S128" s="4"/>
    </row>
    <row r="129" spans="19:19" x14ac:dyDescent="0.25">
      <c r="S129" s="4"/>
    </row>
    <row r="130" spans="19:19" x14ac:dyDescent="0.25">
      <c r="S130" s="4"/>
    </row>
    <row r="131" spans="19:19" x14ac:dyDescent="0.25">
      <c r="S131" s="4"/>
    </row>
    <row r="132" spans="19:19" x14ac:dyDescent="0.25">
      <c r="S132" s="4"/>
    </row>
    <row r="133" spans="19:19" x14ac:dyDescent="0.25">
      <c r="S133" s="4"/>
    </row>
    <row r="134" spans="19:19" x14ac:dyDescent="0.25">
      <c r="S134" s="4"/>
    </row>
    <row r="135" spans="19:19" x14ac:dyDescent="0.25">
      <c r="S135" s="4"/>
    </row>
  </sheetData>
  <conditionalFormatting sqref="B30:B33">
    <cfRule type="cellIs" dxfId="132" priority="37" operator="lessThan">
      <formula>0.05</formula>
    </cfRule>
  </conditionalFormatting>
  <conditionalFormatting sqref="B64:B67">
    <cfRule type="cellIs" dxfId="131" priority="39" operator="lessThan">
      <formula>0.05</formula>
    </cfRule>
  </conditionalFormatting>
  <conditionalFormatting sqref="B98:B101">
    <cfRule type="cellIs" dxfId="130" priority="38" operator="lessThan">
      <formula>0.05</formula>
    </cfRule>
  </conditionalFormatting>
  <conditionalFormatting sqref="B105:B120">
    <cfRule type="cellIs" dxfId="129" priority="25" operator="greaterThan">
      <formula>B$93</formula>
    </cfRule>
    <cfRule type="cellIs" dxfId="128" priority="24" operator="lessThan">
      <formula>B$94</formula>
    </cfRule>
  </conditionalFormatting>
  <conditionalFormatting sqref="B132:B135">
    <cfRule type="cellIs" dxfId="127" priority="26" operator="lessThan">
      <formula>0.05</formula>
    </cfRule>
  </conditionalFormatting>
  <conditionalFormatting sqref="B3:E18">
    <cfRule type="cellIs" dxfId="126" priority="36" operator="greaterThan">
      <formula>B$25</formula>
    </cfRule>
    <cfRule type="cellIs" dxfId="125" priority="35" operator="lessThan">
      <formula>B$26</formula>
    </cfRule>
  </conditionalFormatting>
  <conditionalFormatting sqref="B37:E52">
    <cfRule type="cellIs" dxfId="124" priority="32" operator="greaterThan">
      <formula>B$59</formula>
    </cfRule>
    <cfRule type="cellIs" dxfId="123" priority="31" operator="lessThan">
      <formula>B$60</formula>
    </cfRule>
  </conditionalFormatting>
  <conditionalFormatting sqref="B71:E86">
    <cfRule type="cellIs" dxfId="122" priority="30" operator="greaterThan">
      <formula>B$93</formula>
    </cfRule>
    <cfRule type="cellIs" dxfId="121" priority="29" operator="lessThan">
      <formula>B$94</formula>
    </cfRule>
  </conditionalFormatting>
  <conditionalFormatting sqref="C105:E120">
    <cfRule type="cellIs" dxfId="120" priority="23" operator="greaterThan">
      <formula>C$127</formula>
    </cfRule>
    <cfRule type="cellIs" dxfId="119" priority="22" operator="lessThan">
      <formula>C$128</formula>
    </cfRule>
  </conditionalFormatting>
  <conditionalFormatting sqref="H3:K18">
    <cfRule type="cellIs" dxfId="118" priority="34" operator="greaterThan">
      <formula>H$25</formula>
    </cfRule>
    <cfRule type="cellIs" dxfId="117" priority="33" operator="lessThan">
      <formula>H$26</formula>
    </cfRule>
  </conditionalFormatting>
  <conditionalFormatting sqref="H37:K52">
    <cfRule type="cellIs" dxfId="116" priority="28" operator="greaterThan">
      <formula>H$59</formula>
    </cfRule>
    <cfRule type="cellIs" dxfId="115" priority="27" operator="lessThan">
      <formula>H$60</formula>
    </cfRule>
  </conditionalFormatting>
  <conditionalFormatting sqref="I71:K86">
    <cfRule type="cellIs" dxfId="114" priority="10" operator="lessThan">
      <formula>I$94</formula>
    </cfRule>
    <cfRule type="cellIs" dxfId="113" priority="11" operator="greaterThan">
      <formula>I$93</formula>
    </cfRule>
  </conditionalFormatting>
  <conditionalFormatting sqref="I105:K120">
    <cfRule type="cellIs" dxfId="112" priority="21" operator="greaterThan">
      <formula>I$127</formula>
    </cfRule>
    <cfRule type="cellIs" dxfId="111" priority="20" operator="lessThan">
      <formula>I$128</formula>
    </cfRule>
  </conditionalFormatting>
  <conditionalFormatting sqref="N3:R18 R19">
    <cfRule type="cellIs" dxfId="110" priority="17" operator="greaterThan">
      <formula>N$25</formula>
    </cfRule>
    <cfRule type="cellIs" dxfId="109" priority="16" operator="lessThan">
      <formula>N$26</formula>
    </cfRule>
  </conditionalFormatting>
  <conditionalFormatting sqref="N37:R52 R53">
    <cfRule type="cellIs" dxfId="108" priority="15" operator="greaterThan">
      <formula>N$59</formula>
    </cfRule>
    <cfRule type="cellIs" dxfId="107" priority="14" operator="lessThan">
      <formula>N$60</formula>
    </cfRule>
  </conditionalFormatting>
  <conditionalFormatting sqref="O71:Q86">
    <cfRule type="cellIs" dxfId="106" priority="9" operator="greaterThan">
      <formula>O$93</formula>
    </cfRule>
    <cfRule type="cellIs" dxfId="105" priority="8" operator="lessThan">
      <formula>O$94</formula>
    </cfRule>
  </conditionalFormatting>
  <conditionalFormatting sqref="O105:R120 R121:R123">
    <cfRule type="cellIs" dxfId="104" priority="13" operator="greaterThan">
      <formula>O$127</formula>
    </cfRule>
    <cfRule type="cellIs" dxfId="103" priority="12" operator="lessThan">
      <formula>O$128</formula>
    </cfRule>
  </conditionalFormatting>
  <conditionalFormatting sqref="R71:R88">
    <cfRule type="cellIs" dxfId="102" priority="18" operator="lessThan">
      <formula>R$94</formula>
    </cfRule>
    <cfRule type="cellIs" dxfId="101" priority="19" operator="greaterThan">
      <formula>R$93</formula>
    </cfRule>
  </conditionalFormatting>
  <conditionalFormatting sqref="V30:V33">
    <cfRule type="cellIs" dxfId="100" priority="7" operator="lessThan">
      <formula>0.05</formula>
    </cfRule>
  </conditionalFormatting>
  <conditionalFormatting sqref="V3:Y18">
    <cfRule type="cellIs" dxfId="99" priority="6" operator="greaterThan">
      <formula>V$25</formula>
    </cfRule>
    <cfRule type="cellIs" dxfId="98" priority="5" operator="lessThan">
      <formula>V$26</formula>
    </cfRule>
  </conditionalFormatting>
  <conditionalFormatting sqref="AB3:AE18">
    <cfRule type="cellIs" dxfId="97" priority="4" operator="greaterThan">
      <formula>AB$25</formula>
    </cfRule>
    <cfRule type="cellIs" dxfId="96" priority="3" operator="lessThan">
      <formula>AB$26</formula>
    </cfRule>
  </conditionalFormatting>
  <conditionalFormatting sqref="AH3:AK18">
    <cfRule type="cellIs" dxfId="95" priority="2" operator="greaterThan">
      <formula>AH$25</formula>
    </cfRule>
    <cfRule type="cellIs" dxfId="94" priority="1" operator="lessThan">
      <formula>AH$26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4DFC-CEFF-407E-B7E1-7EA816E57DD2}">
  <sheetPr codeName="Sheet9"/>
  <dimension ref="A1:X135"/>
  <sheetViews>
    <sheetView workbookViewId="0">
      <selection activeCell="N3" sqref="N3:Q10"/>
    </sheetView>
  </sheetViews>
  <sheetFormatPr defaultRowHeight="15" x14ac:dyDescent="0.25"/>
  <cols>
    <col min="2" max="2" width="15.140625" bestFit="1" customWidth="1"/>
    <col min="8" max="8" width="15.140625" bestFit="1" customWidth="1"/>
    <col min="14" max="14" width="15.140625" bestFit="1" customWidth="1"/>
  </cols>
  <sheetData>
    <row r="1" spans="1:24" x14ac:dyDescent="0.25">
      <c r="A1" t="s">
        <v>0</v>
      </c>
      <c r="S1" s="4"/>
    </row>
    <row r="2" spans="1:24" x14ac:dyDescent="0.25">
      <c r="A2" s="1" t="s">
        <v>29</v>
      </c>
      <c r="B2" s="1" t="s">
        <v>32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32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32</v>
      </c>
      <c r="O2" s="1" t="s">
        <v>2</v>
      </c>
      <c r="P2" s="1" t="s">
        <v>3</v>
      </c>
      <c r="Q2" s="1" t="s">
        <v>4</v>
      </c>
      <c r="R2" s="1"/>
      <c r="S2" s="4"/>
    </row>
    <row r="3" spans="1:24" x14ac:dyDescent="0.25">
      <c r="A3" t="s">
        <v>5</v>
      </c>
      <c r="B3" s="6">
        <v>39.305300000000003</v>
      </c>
      <c r="C3" s="6">
        <v>36.460880000000003</v>
      </c>
      <c r="D3" s="6">
        <v>43.001170000000002</v>
      </c>
      <c r="E3" s="6">
        <v>103.51179999999999</v>
      </c>
      <c r="G3" t="s">
        <v>5</v>
      </c>
      <c r="H3" s="6">
        <v>39.906669999999998</v>
      </c>
      <c r="I3" s="6"/>
      <c r="J3" s="6">
        <v>91.924670000000006</v>
      </c>
      <c r="K3" s="6">
        <v>65.059659999999994</v>
      </c>
      <c r="M3" t="s">
        <v>5</v>
      </c>
      <c r="N3" s="6">
        <v>39.906669999999998</v>
      </c>
      <c r="O3" s="6">
        <v>18.153189999999999</v>
      </c>
      <c r="P3" s="6">
        <v>79.050060000000002</v>
      </c>
      <c r="Q3" s="6">
        <v>156.81270000000001</v>
      </c>
      <c r="S3" s="4"/>
    </row>
    <row r="4" spans="1:24" x14ac:dyDescent="0.25">
      <c r="A4" t="s">
        <v>7</v>
      </c>
      <c r="B4" s="6">
        <v>37.835009999999997</v>
      </c>
      <c r="C4" s="6">
        <v>20.54787</v>
      </c>
      <c r="D4" s="6">
        <v>57.163240000000002</v>
      </c>
      <c r="E4" s="6"/>
      <c r="G4" t="s">
        <v>7</v>
      </c>
      <c r="H4" s="6">
        <v>44.704689999999999</v>
      </c>
      <c r="I4" s="6">
        <v>17.766950000000001</v>
      </c>
      <c r="J4" s="6">
        <v>103.51179999999999</v>
      </c>
      <c r="K4" s="6">
        <v>78.020099999999999</v>
      </c>
      <c r="M4" t="s">
        <v>7</v>
      </c>
      <c r="N4" s="6">
        <v>44.704689999999999</v>
      </c>
      <c r="O4" s="6">
        <v>47.507289999999998</v>
      </c>
      <c r="P4" s="6">
        <v>107.8892</v>
      </c>
      <c r="Q4" s="6">
        <v>109.69159999999999</v>
      </c>
      <c r="S4" s="4"/>
      <c r="U4" s="6"/>
      <c r="V4" s="6"/>
      <c r="W4" s="6"/>
      <c r="X4" s="6"/>
    </row>
    <row r="5" spans="1:24" x14ac:dyDescent="0.25">
      <c r="A5" t="s">
        <v>8</v>
      </c>
      <c r="B5" s="6">
        <v>42.439410000000002</v>
      </c>
      <c r="C5" s="6">
        <v>10.29968</v>
      </c>
      <c r="D5" s="6">
        <v>8.4972379999999994</v>
      </c>
      <c r="E5" s="6"/>
      <c r="G5" t="s">
        <v>8</v>
      </c>
      <c r="H5" s="6">
        <v>47.528689999999997</v>
      </c>
      <c r="I5" s="6">
        <v>13.90457</v>
      </c>
      <c r="J5" s="6">
        <v>28.839110000000002</v>
      </c>
      <c r="K5" s="6">
        <v>101.0013</v>
      </c>
      <c r="M5" t="s">
        <v>8</v>
      </c>
      <c r="N5" s="6">
        <v>47.528689999999997</v>
      </c>
      <c r="O5" s="6">
        <v>11.58714</v>
      </c>
      <c r="P5" s="6">
        <v>60.768129999999999</v>
      </c>
      <c r="Q5" s="6">
        <v>97.640990000000002</v>
      </c>
      <c r="S5" s="4"/>
      <c r="U5" s="6"/>
      <c r="V5" s="6"/>
      <c r="W5" s="6"/>
      <c r="X5" s="6"/>
    </row>
    <row r="6" spans="1:24" x14ac:dyDescent="0.25">
      <c r="A6" t="s">
        <v>9</v>
      </c>
      <c r="B6" s="6">
        <v>43.031089999999999</v>
      </c>
      <c r="C6" s="6">
        <v>20.646180000000001</v>
      </c>
      <c r="D6" s="6">
        <v>62.313079999999999</v>
      </c>
      <c r="E6" s="6"/>
      <c r="G6" t="s">
        <v>9</v>
      </c>
      <c r="H6" s="6">
        <v>46.376820000000002</v>
      </c>
      <c r="I6" s="6"/>
      <c r="J6" s="6"/>
      <c r="K6" s="6"/>
      <c r="M6" t="s">
        <v>9</v>
      </c>
      <c r="N6" s="6">
        <v>46.376820000000002</v>
      </c>
      <c r="O6" s="6">
        <v>9.2697140000000005</v>
      </c>
      <c r="P6" s="6"/>
      <c r="Q6" s="6"/>
      <c r="S6" s="4"/>
      <c r="U6" s="6"/>
      <c r="V6" s="6"/>
      <c r="W6" s="6"/>
      <c r="X6" s="6"/>
    </row>
    <row r="7" spans="1:24" x14ac:dyDescent="0.25">
      <c r="A7" t="s">
        <v>10</v>
      </c>
      <c r="B7">
        <v>32.073113421757007</v>
      </c>
      <c r="C7">
        <v>33.667087554931626</v>
      </c>
      <c r="G7" t="s">
        <v>10</v>
      </c>
      <c r="H7">
        <v>41.403053902290964</v>
      </c>
      <c r="I7">
        <v>17.852783203124986</v>
      </c>
      <c r="J7">
        <v>44.610500335693338</v>
      </c>
      <c r="K7">
        <v>58.399200439453068</v>
      </c>
      <c r="M7" t="s">
        <v>10</v>
      </c>
      <c r="N7">
        <v>45.035673725989554</v>
      </c>
      <c r="O7">
        <v>27.623748779296861</v>
      </c>
      <c r="P7">
        <v>47.231401715959798</v>
      </c>
      <c r="Q7">
        <v>51.424843924386209</v>
      </c>
      <c r="S7" s="4"/>
      <c r="U7" s="6"/>
      <c r="V7" s="6"/>
      <c r="W7" s="6"/>
      <c r="X7" s="6"/>
    </row>
    <row r="8" spans="1:24" x14ac:dyDescent="0.25">
      <c r="A8" t="s">
        <v>11</v>
      </c>
      <c r="B8">
        <v>34.704702719241446</v>
      </c>
      <c r="C8">
        <v>43.076907887178322</v>
      </c>
      <c r="G8" t="s">
        <v>11</v>
      </c>
      <c r="H8">
        <v>41.4196246771643</v>
      </c>
      <c r="I8">
        <v>36.177635192871072</v>
      </c>
      <c r="J8">
        <v>16.222000122070284</v>
      </c>
      <c r="K8">
        <v>64.888000488281236</v>
      </c>
      <c r="M8" t="s">
        <v>11</v>
      </c>
      <c r="N8">
        <v>43.253308775797045</v>
      </c>
      <c r="O8">
        <v>26.2641906738281</v>
      </c>
      <c r="P8">
        <v>26.532878046450382</v>
      </c>
      <c r="Q8">
        <v>50.210952758789048</v>
      </c>
      <c r="S8" s="4"/>
    </row>
    <row r="9" spans="1:24" x14ac:dyDescent="0.25">
      <c r="A9" t="s">
        <v>12</v>
      </c>
      <c r="B9">
        <v>41.930262697037875</v>
      </c>
      <c r="C9">
        <v>41.027069091796861</v>
      </c>
      <c r="E9">
        <v>37.078857421875</v>
      </c>
      <c r="G9" t="s">
        <v>12</v>
      </c>
      <c r="H9">
        <v>40.286998359524475</v>
      </c>
      <c r="I9">
        <v>38.489466128141977</v>
      </c>
      <c r="J9">
        <v>26.882171630859393</v>
      </c>
      <c r="K9">
        <v>32.135009765624986</v>
      </c>
      <c r="M9" t="s">
        <v>12</v>
      </c>
      <c r="N9">
        <v>42.82346913512324</v>
      </c>
      <c r="O9">
        <v>24.71923828125</v>
      </c>
      <c r="P9">
        <v>27.478081839425208</v>
      </c>
      <c r="Q9">
        <v>58.377129690987694</v>
      </c>
      <c r="S9" s="4"/>
    </row>
    <row r="10" spans="1:24" x14ac:dyDescent="0.25">
      <c r="A10" t="s">
        <v>13</v>
      </c>
      <c r="B10">
        <v>39.179734106343162</v>
      </c>
      <c r="C10">
        <v>15.449523925781234</v>
      </c>
      <c r="D10">
        <v>33.9889526367187</v>
      </c>
      <c r="G10" t="s">
        <v>13</v>
      </c>
      <c r="H10">
        <v>39.575091789358694</v>
      </c>
      <c r="I10">
        <v>27.229785919189435</v>
      </c>
      <c r="J10">
        <v>39.396286010742188</v>
      </c>
      <c r="K10">
        <v>54.84580993652348</v>
      </c>
      <c r="M10" t="s">
        <v>13</v>
      </c>
      <c r="N10">
        <v>43.716865800632725</v>
      </c>
      <c r="O10">
        <v>26.53455734252929</v>
      </c>
      <c r="P10">
        <v>26.2641906738281</v>
      </c>
      <c r="Q10">
        <v>78.792572021484304</v>
      </c>
      <c r="S10" s="4"/>
    </row>
    <row r="11" spans="1:24" x14ac:dyDescent="0.25">
      <c r="A11" t="s">
        <v>5</v>
      </c>
      <c r="G11" t="s">
        <v>5</v>
      </c>
      <c r="M11" t="s">
        <v>5</v>
      </c>
      <c r="S11" s="4"/>
    </row>
    <row r="12" spans="1:24" x14ac:dyDescent="0.25">
      <c r="A12" t="s">
        <v>7</v>
      </c>
      <c r="G12" t="s">
        <v>7</v>
      </c>
      <c r="M12" t="s">
        <v>7</v>
      </c>
      <c r="S12" s="4"/>
    </row>
    <row r="13" spans="1:24" x14ac:dyDescent="0.25">
      <c r="A13" t="s">
        <v>8</v>
      </c>
      <c r="G13" t="s">
        <v>8</v>
      </c>
      <c r="M13" t="s">
        <v>8</v>
      </c>
      <c r="S13" s="4"/>
    </row>
    <row r="14" spans="1:24" x14ac:dyDescent="0.25">
      <c r="A14" t="s">
        <v>9</v>
      </c>
      <c r="G14" t="s">
        <v>9</v>
      </c>
      <c r="M14" t="s">
        <v>9</v>
      </c>
      <c r="S14" s="4"/>
    </row>
    <row r="15" spans="1:24" x14ac:dyDescent="0.25">
      <c r="A15" t="s">
        <v>10</v>
      </c>
      <c r="G15" t="s">
        <v>10</v>
      </c>
      <c r="M15" t="s">
        <v>10</v>
      </c>
      <c r="S15" s="4"/>
    </row>
    <row r="16" spans="1:24" x14ac:dyDescent="0.25">
      <c r="A16" t="s">
        <v>11</v>
      </c>
      <c r="G16" t="s">
        <v>11</v>
      </c>
      <c r="M16" t="s">
        <v>11</v>
      </c>
      <c r="S16" s="4"/>
    </row>
    <row r="17" spans="1:19" x14ac:dyDescent="0.25">
      <c r="A17" t="s">
        <v>12</v>
      </c>
      <c r="G17" t="s">
        <v>12</v>
      </c>
      <c r="M17" t="s">
        <v>12</v>
      </c>
      <c r="S17" s="4"/>
    </row>
    <row r="18" spans="1:19" x14ac:dyDescent="0.25">
      <c r="A18" t="s">
        <v>13</v>
      </c>
      <c r="G18" t="s">
        <v>13</v>
      </c>
      <c r="M18" t="s">
        <v>13</v>
      </c>
      <c r="S18" s="4"/>
    </row>
    <row r="19" spans="1:19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  <c r="S19" s="4"/>
    </row>
    <row r="20" spans="1:19" x14ac:dyDescent="0.25">
      <c r="A20" t="s">
        <v>14</v>
      </c>
      <c r="B20">
        <f>COUNT(B3:B18)</f>
        <v>8</v>
      </c>
      <c r="C20">
        <f t="shared" ref="C20:E20" si="0">COUNT(C3:C18)</f>
        <v>8</v>
      </c>
      <c r="D20">
        <f t="shared" si="0"/>
        <v>5</v>
      </c>
      <c r="E20">
        <f t="shared" si="0"/>
        <v>2</v>
      </c>
      <c r="G20" t="s">
        <v>14</v>
      </c>
      <c r="H20">
        <f>COUNT(H3:H18)</f>
        <v>8</v>
      </c>
      <c r="I20">
        <f t="shared" ref="I20:K20" si="1">COUNT(I3:I18)</f>
        <v>6</v>
      </c>
      <c r="J20">
        <f t="shared" si="1"/>
        <v>7</v>
      </c>
      <c r="K20">
        <f t="shared" si="1"/>
        <v>7</v>
      </c>
      <c r="M20" t="s">
        <v>14</v>
      </c>
      <c r="N20">
        <f>COUNT(N3:N18)</f>
        <v>8</v>
      </c>
      <c r="O20">
        <f t="shared" ref="O20:Q20" si="2">COUNT(O3:O18)</f>
        <v>8</v>
      </c>
      <c r="P20">
        <f t="shared" si="2"/>
        <v>7</v>
      </c>
      <c r="Q20">
        <f t="shared" si="2"/>
        <v>7</v>
      </c>
      <c r="S20" s="4"/>
    </row>
    <row r="21" spans="1:19" x14ac:dyDescent="0.25">
      <c r="A21" t="s">
        <v>15</v>
      </c>
      <c r="B21">
        <f>MAX(B3:B18)</f>
        <v>43.031089999999999</v>
      </c>
      <c r="C21">
        <f t="shared" ref="C21:E21" si="3">MAX(C3:C18)</f>
        <v>43.076907887178322</v>
      </c>
      <c r="D21">
        <f t="shared" si="3"/>
        <v>62.313079999999999</v>
      </c>
      <c r="E21">
        <f t="shared" si="3"/>
        <v>103.51179999999999</v>
      </c>
      <c r="G21" t="s">
        <v>15</v>
      </c>
      <c r="H21">
        <f>MAX(H3:H18)</f>
        <v>47.528689999999997</v>
      </c>
      <c r="I21">
        <f t="shared" ref="I21:K21" si="4">MAX(I3:I18)</f>
        <v>38.489466128141977</v>
      </c>
      <c r="J21">
        <f t="shared" si="4"/>
        <v>103.51179999999999</v>
      </c>
      <c r="K21">
        <f t="shared" si="4"/>
        <v>101.0013</v>
      </c>
      <c r="M21" t="s">
        <v>15</v>
      </c>
      <c r="N21">
        <f>MAX(N3:N18)</f>
        <v>47.528689999999997</v>
      </c>
      <c r="O21">
        <f t="shared" ref="O21:Q21" si="5">MAX(O3:O18)</f>
        <v>47.507289999999998</v>
      </c>
      <c r="P21">
        <f t="shared" si="5"/>
        <v>107.8892</v>
      </c>
      <c r="Q21">
        <f t="shared" si="5"/>
        <v>156.81270000000001</v>
      </c>
      <c r="S21" s="4"/>
    </row>
    <row r="22" spans="1:19" x14ac:dyDescent="0.25">
      <c r="A22" t="s">
        <v>16</v>
      </c>
      <c r="B22">
        <f>MIN(B3:B18)</f>
        <v>32.073113421757007</v>
      </c>
      <c r="C22">
        <f t="shared" ref="C22:E22" si="6">MIN(C3:C18)</f>
        <v>10.29968</v>
      </c>
      <c r="D22">
        <f t="shared" si="6"/>
        <v>8.4972379999999994</v>
      </c>
      <c r="E22">
        <f t="shared" si="6"/>
        <v>37.078857421875</v>
      </c>
      <c r="G22" t="s">
        <v>16</v>
      </c>
      <c r="H22">
        <f>MIN(H3:H18)</f>
        <v>39.575091789358694</v>
      </c>
      <c r="I22">
        <f t="shared" ref="I22:K22" si="7">MIN(I3:I18)</f>
        <v>13.90457</v>
      </c>
      <c r="J22">
        <f t="shared" si="7"/>
        <v>16.222000122070284</v>
      </c>
      <c r="K22">
        <f t="shared" si="7"/>
        <v>32.135009765624986</v>
      </c>
      <c r="M22" t="s">
        <v>16</v>
      </c>
      <c r="N22">
        <f>MIN(N3:N18)</f>
        <v>39.906669999999998</v>
      </c>
      <c r="O22">
        <f t="shared" ref="O22:Q22" si="8">MIN(O3:O18)</f>
        <v>9.2697140000000005</v>
      </c>
      <c r="P22">
        <f t="shared" si="8"/>
        <v>26.2641906738281</v>
      </c>
      <c r="Q22">
        <f t="shared" si="8"/>
        <v>50.210952758789048</v>
      </c>
      <c r="S22" s="4"/>
    </row>
    <row r="23" spans="1:19" x14ac:dyDescent="0.25">
      <c r="A23" t="s">
        <v>17</v>
      </c>
      <c r="B23">
        <f>AVERAGE(B3:B18)</f>
        <v>38.81232786804744</v>
      </c>
      <c r="C23">
        <f t="shared" ref="C23:E23" si="9">AVERAGE(C3:C18)</f>
        <v>27.646899807461008</v>
      </c>
      <c r="D23">
        <f t="shared" si="9"/>
        <v>40.99273612734374</v>
      </c>
      <c r="E23">
        <f t="shared" si="9"/>
        <v>70.295328710937497</v>
      </c>
      <c r="G23" t="s">
        <v>17</v>
      </c>
      <c r="H23">
        <f>AVERAGE(H3:H18)</f>
        <v>42.650204841042303</v>
      </c>
      <c r="I23">
        <f t="shared" ref="I23:K23" si="10">AVERAGE(I3:I18)</f>
        <v>25.236865073887909</v>
      </c>
      <c r="J23">
        <f t="shared" si="10"/>
        <v>50.198076871337889</v>
      </c>
      <c r="K23">
        <f t="shared" si="10"/>
        <v>64.907011518554683</v>
      </c>
      <c r="M23" t="s">
        <v>17</v>
      </c>
      <c r="N23">
        <f>AVERAGE(N3:N18)</f>
        <v>44.168273429692817</v>
      </c>
      <c r="O23">
        <f t="shared" ref="O23:Q23" si="11">AVERAGE(O3:O18)</f>
        <v>23.957383634613034</v>
      </c>
      <c r="P23">
        <f t="shared" si="11"/>
        <v>53.601991753666212</v>
      </c>
      <c r="Q23">
        <f t="shared" si="11"/>
        <v>86.135826913663891</v>
      </c>
      <c r="S23" s="4"/>
    </row>
    <row r="24" spans="1:19" x14ac:dyDescent="0.25">
      <c r="A24" t="s">
        <v>18</v>
      </c>
      <c r="B24">
        <f>STDEV(B3:B18)</f>
        <v>3.8600138991973383</v>
      </c>
      <c r="C24">
        <f t="shared" ref="C24:E24" si="12">STDEV(C3:C18)</f>
        <v>12.4220501082553</v>
      </c>
      <c r="D24">
        <f t="shared" si="12"/>
        <v>21.3605152483062</v>
      </c>
      <c r="E24">
        <f t="shared" si="12"/>
        <v>46.975184191168708</v>
      </c>
      <c r="G24" t="s">
        <v>18</v>
      </c>
      <c r="H24">
        <f>STDEV(H3:H18)</f>
        <v>3.1063517609710445</v>
      </c>
      <c r="I24">
        <f t="shared" ref="I24:K24" si="13">STDEV(I3:I18)</f>
        <v>10.373512683003588</v>
      </c>
      <c r="J24">
        <f t="shared" si="13"/>
        <v>33.876176583670848</v>
      </c>
      <c r="K24">
        <f t="shared" si="13"/>
        <v>21.183161137610131</v>
      </c>
      <c r="M24" t="s">
        <v>18</v>
      </c>
      <c r="N24">
        <f>STDEV(N3:N18)</f>
        <v>2.3366916490212986</v>
      </c>
      <c r="O24">
        <f t="shared" ref="O24:Q24" si="14">STDEV(O3:O18)</f>
        <v>11.850395770096791</v>
      </c>
      <c r="P24">
        <f t="shared" si="14"/>
        <v>31.222839037653511</v>
      </c>
      <c r="Q24">
        <f t="shared" si="14"/>
        <v>38.734956649081766</v>
      </c>
      <c r="S24" s="4"/>
    </row>
    <row r="25" spans="1:19" x14ac:dyDescent="0.25">
      <c r="A25" t="s">
        <v>19</v>
      </c>
      <c r="B25">
        <f>B23+2*B24</f>
        <v>46.532355666442115</v>
      </c>
      <c r="C25">
        <f t="shared" ref="C25:E25" si="15">C23+2*C24</f>
        <v>52.491000023971608</v>
      </c>
      <c r="D25">
        <f t="shared" si="15"/>
        <v>83.713766623956133</v>
      </c>
      <c r="E25">
        <f t="shared" si="15"/>
        <v>164.24569709327491</v>
      </c>
      <c r="G25" t="s">
        <v>19</v>
      </c>
      <c r="H25">
        <f>H23+2*H24</f>
        <v>48.862908362984392</v>
      </c>
      <c r="I25">
        <f t="shared" ref="I25:K25" si="16">I23+2*I24</f>
        <v>45.983890439895085</v>
      </c>
      <c r="J25">
        <f t="shared" si="16"/>
        <v>117.95043003867958</v>
      </c>
      <c r="K25">
        <f t="shared" si="16"/>
        <v>107.27333379377495</v>
      </c>
      <c r="M25" t="s">
        <v>19</v>
      </c>
      <c r="N25">
        <f>N23+2*N24</f>
        <v>48.841656727735412</v>
      </c>
      <c r="O25">
        <f t="shared" ref="O25:Q25" si="17">O23+2*O24</f>
        <v>47.658175174806615</v>
      </c>
      <c r="P25">
        <f t="shared" si="17"/>
        <v>116.04766982897323</v>
      </c>
      <c r="Q25">
        <f t="shared" si="17"/>
        <v>163.60574021182742</v>
      </c>
      <c r="S25" s="4"/>
    </row>
    <row r="26" spans="1:19" x14ac:dyDescent="0.25">
      <c r="A26" t="s">
        <v>20</v>
      </c>
      <c r="B26">
        <f>B23-2*B24</f>
        <v>31.092300069652765</v>
      </c>
      <c r="C26">
        <f t="shared" ref="C26:E26" si="18">C23-2*C24</f>
        <v>2.8027995909504071</v>
      </c>
      <c r="D26">
        <f t="shared" si="18"/>
        <v>-1.7282943692686601</v>
      </c>
      <c r="E26">
        <f t="shared" si="18"/>
        <v>-23.655039671399919</v>
      </c>
      <c r="G26" t="s">
        <v>20</v>
      </c>
      <c r="H26">
        <f>H23-2*H24</f>
        <v>36.437501319100214</v>
      </c>
      <c r="I26">
        <f t="shared" ref="I26:K26" si="19">I23-2*I24</f>
        <v>4.4898397078807335</v>
      </c>
      <c r="J26">
        <f t="shared" si="19"/>
        <v>-17.554276296003806</v>
      </c>
      <c r="K26">
        <f t="shared" si="19"/>
        <v>22.54068924333442</v>
      </c>
      <c r="M26" t="s">
        <v>20</v>
      </c>
      <c r="N26">
        <f>N23-2*N24</f>
        <v>39.494890131650223</v>
      </c>
      <c r="O26">
        <f t="shared" ref="O26:Q26" si="20">O23-2*O24</f>
        <v>0.25659209441945308</v>
      </c>
      <c r="P26">
        <f t="shared" si="20"/>
        <v>-8.8436863216408099</v>
      </c>
      <c r="Q26">
        <f t="shared" si="20"/>
        <v>8.665913615500358</v>
      </c>
      <c r="S26" s="4"/>
    </row>
    <row r="27" spans="1:19" x14ac:dyDescent="0.25">
      <c r="A27" t="s">
        <v>21</v>
      </c>
      <c r="B27">
        <f>VAR(B3:B18)</f>
        <v>14.89970730199664</v>
      </c>
      <c r="C27">
        <f t="shared" ref="C27:E27" si="21">VAR(C3:C18)</f>
        <v>154.3073288920055</v>
      </c>
      <c r="D27">
        <f t="shared" si="21"/>
        <v>456.2716116731217</v>
      </c>
      <c r="E27">
        <f t="shared" si="21"/>
        <v>2206.6679297942264</v>
      </c>
      <c r="G27" t="s">
        <v>21</v>
      </c>
      <c r="H27">
        <f>VAR(H3:H18)</f>
        <v>9.649421262887909</v>
      </c>
      <c r="I27">
        <f t="shared" ref="I27:K27" si="22">VAR(I3:I18)</f>
        <v>107.60976538443629</v>
      </c>
      <c r="J27">
        <f t="shared" si="22"/>
        <v>1147.595339928049</v>
      </c>
      <c r="K27">
        <f t="shared" si="22"/>
        <v>448.72631578195615</v>
      </c>
      <c r="M27" t="s">
        <v>21</v>
      </c>
      <c r="N27">
        <f>VAR(N3:N18)</f>
        <v>5.4601278626058756</v>
      </c>
      <c r="O27">
        <f t="shared" ref="O27:Q27" si="23">VAR(O3:O18)</f>
        <v>140.43187990792791</v>
      </c>
      <c r="P27">
        <f t="shared" si="23"/>
        <v>974.86567757122009</v>
      </c>
      <c r="Q27">
        <f t="shared" si="23"/>
        <v>1500.396866606244</v>
      </c>
      <c r="S27" s="4"/>
    </row>
    <row r="28" spans="1:19" x14ac:dyDescent="0.25">
      <c r="S28" s="4"/>
    </row>
    <row r="29" spans="1:19" x14ac:dyDescent="0.25">
      <c r="A29" t="s">
        <v>22</v>
      </c>
      <c r="G29" t="s">
        <v>23</v>
      </c>
      <c r="H29">
        <f>AVERAGE(H3:H10)</f>
        <v>42.650204841042303</v>
      </c>
      <c r="I29">
        <f t="shared" ref="I29:K29" si="24">AVERAGE(I3:I10)</f>
        <v>25.236865073887909</v>
      </c>
      <c r="J29">
        <f t="shared" si="24"/>
        <v>50.198076871337889</v>
      </c>
      <c r="K29">
        <f t="shared" si="24"/>
        <v>64.907011518554683</v>
      </c>
      <c r="M29" t="s">
        <v>23</v>
      </c>
      <c r="N29">
        <f>AVERAGE(N3:N10)</f>
        <v>44.168273429692817</v>
      </c>
      <c r="O29">
        <f t="shared" ref="O29:Q29" si="25">AVERAGE(O3:O10)</f>
        <v>23.957383634613034</v>
      </c>
      <c r="P29">
        <f t="shared" si="25"/>
        <v>53.601991753666212</v>
      </c>
      <c r="Q29">
        <f t="shared" si="25"/>
        <v>86.135826913663891</v>
      </c>
      <c r="S29" s="4"/>
    </row>
    <row r="30" spans="1:19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26">AVERAGE(I11:I18)</f>
        <v>#DIV/0!</v>
      </c>
      <c r="J30" t="e">
        <f t="shared" si="26"/>
        <v>#DIV/0!</v>
      </c>
      <c r="K30" t="e">
        <f t="shared" si="26"/>
        <v>#DIV/0!</v>
      </c>
      <c r="M30" t="s">
        <v>24</v>
      </c>
      <c r="N30" t="e">
        <f>AVERAGE(N11:N18)</f>
        <v>#DIV/0!</v>
      </c>
      <c r="O30" t="e">
        <f t="shared" ref="O30:Q30" si="27">AVERAGE(O11:O18)</f>
        <v>#DIV/0!</v>
      </c>
      <c r="P30" t="e">
        <f t="shared" si="27"/>
        <v>#DIV/0!</v>
      </c>
      <c r="Q30" t="e">
        <f t="shared" si="27"/>
        <v>#DIV/0!</v>
      </c>
      <c r="S30" s="4"/>
    </row>
    <row r="31" spans="1:19" x14ac:dyDescent="0.25">
      <c r="A31" t="s">
        <v>2</v>
      </c>
      <c r="B31" t="e">
        <f>TTEST(C11:C18,I11:I18,2,3)</f>
        <v>#DIV/0!</v>
      </c>
      <c r="S31" s="4"/>
    </row>
    <row r="32" spans="1:19" x14ac:dyDescent="0.25">
      <c r="A32" t="s">
        <v>3</v>
      </c>
      <c r="B32" t="e">
        <f>TTEST(D11:D18,J11:J18,2,3)</f>
        <v>#DIV/0!</v>
      </c>
      <c r="S32" s="4"/>
    </row>
    <row r="33" spans="1:19" x14ac:dyDescent="0.25">
      <c r="A33" t="s">
        <v>4</v>
      </c>
      <c r="B33" t="e">
        <f>TTEST(E11:E18,K11:K18,2,3)</f>
        <v>#DIV/0!</v>
      </c>
      <c r="S33" s="4"/>
    </row>
    <row r="34" spans="1:19" x14ac:dyDescent="0.25">
      <c r="S34" s="4"/>
    </row>
    <row r="35" spans="1:19" x14ac:dyDescent="0.25">
      <c r="S35" s="5" t="s">
        <v>28</v>
      </c>
    </row>
    <row r="36" spans="1:19" x14ac:dyDescent="0.25">
      <c r="A36" s="1"/>
      <c r="B36" s="1"/>
      <c r="C36" s="1"/>
      <c r="D36" s="1"/>
      <c r="E36" s="1"/>
      <c r="G36" s="1"/>
      <c r="H36" s="1"/>
      <c r="I36" s="1"/>
      <c r="J36" s="1"/>
      <c r="K36" s="1"/>
      <c r="M36" s="1"/>
      <c r="N36" s="1"/>
      <c r="O36" s="1"/>
      <c r="P36" s="1"/>
      <c r="Q36" s="1"/>
      <c r="R36" s="1"/>
      <c r="S36" s="4"/>
    </row>
    <row r="37" spans="1:19" x14ac:dyDescent="0.25">
      <c r="B37" s="3"/>
      <c r="C37" s="3"/>
      <c r="D37" s="3"/>
      <c r="E37" s="3"/>
      <c r="H37" s="3"/>
      <c r="I37" s="3"/>
      <c r="J37" s="3"/>
      <c r="K37" s="3"/>
      <c r="N37" s="3"/>
      <c r="O37" s="3"/>
      <c r="P37" s="3"/>
      <c r="Q37" s="3"/>
      <c r="R37" s="3"/>
      <c r="S37" s="4"/>
    </row>
    <row r="38" spans="1:19" x14ac:dyDescent="0.25">
      <c r="B38" s="3"/>
      <c r="C38" s="3"/>
      <c r="D38" s="3"/>
      <c r="E38" s="3"/>
      <c r="H38" s="3"/>
      <c r="I38" s="3"/>
      <c r="J38" s="3"/>
      <c r="K38" s="3"/>
      <c r="N38" s="3"/>
      <c r="O38" s="3"/>
      <c r="P38" s="3"/>
      <c r="Q38" s="3"/>
      <c r="R38" s="3"/>
      <c r="S38" s="4"/>
    </row>
    <row r="39" spans="1:19" x14ac:dyDescent="0.25">
      <c r="B39" s="3"/>
      <c r="C39" s="3"/>
      <c r="D39" s="3"/>
      <c r="E39" s="3"/>
      <c r="H39" s="3"/>
      <c r="I39" s="3"/>
      <c r="J39" s="3"/>
      <c r="K39" s="3"/>
      <c r="N39" s="3"/>
      <c r="O39" s="3"/>
      <c r="P39" s="3"/>
      <c r="Q39" s="3"/>
      <c r="R39" s="3"/>
      <c r="S39" s="4"/>
    </row>
    <row r="40" spans="1:19" x14ac:dyDescent="0.25">
      <c r="B40" s="3"/>
      <c r="C40" s="3"/>
      <c r="D40" s="3"/>
      <c r="E40" s="3"/>
      <c r="H40" s="3"/>
      <c r="I40" s="3"/>
      <c r="J40" s="3"/>
      <c r="K40" s="3"/>
      <c r="N40" s="3"/>
      <c r="O40" s="3"/>
      <c r="P40" s="3"/>
      <c r="Q40" s="3"/>
      <c r="R40" s="3"/>
      <c r="S40" s="4"/>
    </row>
    <row r="41" spans="1:19" x14ac:dyDescent="0.25">
      <c r="B41" s="3"/>
      <c r="C41" s="3"/>
      <c r="D41" s="3"/>
      <c r="E41" s="3"/>
      <c r="H41" s="3"/>
      <c r="I41" s="3"/>
      <c r="J41" s="3"/>
      <c r="K41" s="3"/>
      <c r="N41" s="3"/>
      <c r="O41" s="3"/>
      <c r="P41" s="3"/>
      <c r="Q41" s="3"/>
      <c r="R41" s="3"/>
      <c r="S41" s="4"/>
    </row>
    <row r="42" spans="1:19" x14ac:dyDescent="0.25">
      <c r="B42" s="3"/>
      <c r="C42" s="3"/>
      <c r="D42" s="3"/>
      <c r="E42" s="3"/>
      <c r="H42" s="3"/>
      <c r="I42" s="3"/>
      <c r="J42" s="3"/>
      <c r="K42" s="3"/>
      <c r="N42" s="3"/>
      <c r="O42" s="3"/>
      <c r="P42" s="3"/>
      <c r="Q42" s="3"/>
      <c r="R42" s="3"/>
      <c r="S42" s="4"/>
    </row>
    <row r="43" spans="1:19" x14ac:dyDescent="0.25">
      <c r="B43" s="3"/>
      <c r="C43" s="3"/>
      <c r="D43" s="3"/>
      <c r="E43" s="3"/>
      <c r="H43" s="3"/>
      <c r="I43" s="3"/>
      <c r="J43" s="3"/>
      <c r="K43" s="3"/>
      <c r="N43" s="3"/>
      <c r="O43" s="3"/>
      <c r="P43" s="3"/>
      <c r="Q43" s="3"/>
      <c r="R43" s="3"/>
      <c r="S43" s="4"/>
    </row>
    <row r="44" spans="1:19" x14ac:dyDescent="0.25">
      <c r="B44" s="3"/>
      <c r="C44" s="3"/>
      <c r="D44" s="3"/>
      <c r="E44" s="3"/>
      <c r="H44" s="3"/>
      <c r="I44" s="3"/>
      <c r="J44" s="3"/>
      <c r="K44" s="3"/>
      <c r="N44" s="3"/>
      <c r="O44" s="3"/>
      <c r="P44" s="3"/>
      <c r="Q44" s="3"/>
      <c r="R44" s="3"/>
      <c r="S44" s="4"/>
    </row>
    <row r="45" spans="1:19" x14ac:dyDescent="0.25">
      <c r="B45" s="3"/>
      <c r="C45" s="3"/>
      <c r="D45" s="3"/>
      <c r="E45" s="3"/>
      <c r="H45" s="3"/>
      <c r="I45" s="3"/>
      <c r="J45" s="3"/>
      <c r="K45" s="3"/>
      <c r="N45" s="3"/>
      <c r="O45" s="3"/>
      <c r="P45" s="3"/>
      <c r="Q45" s="3"/>
      <c r="S45" s="4"/>
    </row>
    <row r="46" spans="1:19" x14ac:dyDescent="0.25">
      <c r="B46" s="3"/>
      <c r="C46" s="3"/>
      <c r="D46" s="3"/>
      <c r="E46" s="3"/>
      <c r="H46" s="3"/>
      <c r="I46" s="3"/>
      <c r="J46" s="3"/>
      <c r="K46" s="3"/>
      <c r="N46" s="3"/>
      <c r="O46" s="3"/>
      <c r="P46" s="3"/>
      <c r="Q46" s="3"/>
      <c r="S46" s="4"/>
    </row>
    <row r="47" spans="1:19" x14ac:dyDescent="0.25">
      <c r="B47" s="3"/>
      <c r="C47" s="3"/>
      <c r="D47" s="3"/>
      <c r="E47" s="3"/>
      <c r="H47" s="3"/>
      <c r="I47" s="3"/>
      <c r="J47" s="3"/>
      <c r="K47" s="3"/>
      <c r="N47" s="3"/>
      <c r="O47" s="3"/>
      <c r="P47" s="3"/>
      <c r="Q47" s="3"/>
      <c r="S47" s="4"/>
    </row>
    <row r="48" spans="1:19" x14ac:dyDescent="0.25">
      <c r="B48" s="3"/>
      <c r="C48" s="3"/>
      <c r="D48" s="3"/>
      <c r="E48" s="3"/>
      <c r="H48" s="3"/>
      <c r="I48" s="3"/>
      <c r="J48" s="3"/>
      <c r="K48" s="3"/>
      <c r="N48" s="3"/>
      <c r="O48" s="3"/>
      <c r="P48" s="3"/>
      <c r="Q48" s="3"/>
      <c r="S48" s="4"/>
    </row>
    <row r="49" spans="1:19" x14ac:dyDescent="0.25">
      <c r="B49" s="3"/>
      <c r="C49" s="3"/>
      <c r="D49" s="3"/>
      <c r="E49" s="3"/>
      <c r="H49" s="3"/>
      <c r="I49" s="3"/>
      <c r="J49" s="3"/>
      <c r="K49" s="3"/>
      <c r="N49" s="3"/>
      <c r="O49" s="3"/>
      <c r="P49" s="3"/>
      <c r="Q49" s="3"/>
      <c r="S49" s="4"/>
    </row>
    <row r="50" spans="1:19" x14ac:dyDescent="0.25">
      <c r="B50" s="3"/>
      <c r="C50" s="3"/>
      <c r="D50" s="3"/>
      <c r="E50" s="3"/>
      <c r="H50" s="3"/>
      <c r="I50" s="3"/>
      <c r="J50" s="3"/>
      <c r="K50" s="3"/>
      <c r="N50" s="3"/>
      <c r="O50" s="3"/>
      <c r="P50" s="3"/>
      <c r="Q50" s="3"/>
      <c r="S50" s="4"/>
    </row>
    <row r="51" spans="1:19" x14ac:dyDescent="0.25">
      <c r="B51" s="3"/>
      <c r="C51" s="3"/>
      <c r="D51" s="3"/>
      <c r="E51" s="3"/>
      <c r="H51" s="3"/>
      <c r="I51" s="3"/>
      <c r="J51" s="3"/>
      <c r="K51" s="3"/>
      <c r="N51" s="3"/>
      <c r="O51" s="3"/>
      <c r="P51" s="3"/>
      <c r="Q51" s="3"/>
      <c r="S51" s="4"/>
    </row>
    <row r="52" spans="1:19" x14ac:dyDescent="0.25">
      <c r="B52" s="3"/>
      <c r="C52" s="3"/>
      <c r="D52" s="3"/>
      <c r="E52" s="3"/>
      <c r="H52" s="3"/>
      <c r="I52" s="3"/>
      <c r="J52" s="3"/>
      <c r="K52" s="3"/>
      <c r="N52" s="3"/>
      <c r="O52" s="3"/>
      <c r="P52" s="3"/>
      <c r="Q52" s="3"/>
      <c r="S52" s="4"/>
    </row>
    <row r="53" spans="1:19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  <c r="S53" s="4"/>
    </row>
    <row r="54" spans="1:19" x14ac:dyDescent="0.25">
      <c r="S54" s="4"/>
    </row>
    <row r="55" spans="1:19" x14ac:dyDescent="0.25">
      <c r="S55" s="4"/>
    </row>
    <row r="56" spans="1:19" x14ac:dyDescent="0.25">
      <c r="S56" s="4"/>
    </row>
    <row r="57" spans="1:19" x14ac:dyDescent="0.25">
      <c r="S57" s="4"/>
    </row>
    <row r="58" spans="1:19" x14ac:dyDescent="0.25">
      <c r="S58" s="4"/>
    </row>
    <row r="59" spans="1:19" x14ac:dyDescent="0.25">
      <c r="S59" s="4"/>
    </row>
    <row r="60" spans="1:19" x14ac:dyDescent="0.25">
      <c r="S60" s="4"/>
    </row>
    <row r="61" spans="1:19" x14ac:dyDescent="0.25">
      <c r="S61" s="4"/>
    </row>
    <row r="62" spans="1:19" x14ac:dyDescent="0.25">
      <c r="S62" s="4"/>
    </row>
    <row r="63" spans="1:19" x14ac:dyDescent="0.25">
      <c r="S63" s="4"/>
    </row>
    <row r="64" spans="1:19" x14ac:dyDescent="0.25">
      <c r="S64" s="4"/>
    </row>
    <row r="65" spans="1:19" x14ac:dyDescent="0.25">
      <c r="S65" s="4"/>
    </row>
    <row r="66" spans="1:19" x14ac:dyDescent="0.25">
      <c r="S66" s="4"/>
    </row>
    <row r="67" spans="1:19" x14ac:dyDescent="0.25">
      <c r="S67" s="4"/>
    </row>
    <row r="68" spans="1:19" x14ac:dyDescent="0.25">
      <c r="S68" s="4"/>
    </row>
    <row r="69" spans="1:19" x14ac:dyDescent="0.25">
      <c r="S69" s="4"/>
    </row>
    <row r="70" spans="1:19" x14ac:dyDescent="0.25">
      <c r="A70" s="1"/>
      <c r="B70" s="1"/>
      <c r="C70" s="1"/>
      <c r="D70" s="1"/>
      <c r="E70" s="1"/>
      <c r="G70" s="1"/>
      <c r="H70" s="1"/>
      <c r="I70" s="1"/>
      <c r="J70" s="1"/>
      <c r="K70" s="1"/>
      <c r="M70" s="1"/>
      <c r="N70" s="1"/>
      <c r="O70" s="1"/>
      <c r="P70" s="1"/>
      <c r="Q70" s="1"/>
      <c r="R70" s="1"/>
      <c r="S70" s="4"/>
    </row>
    <row r="71" spans="1:19" x14ac:dyDescent="0.25">
      <c r="B71" s="3"/>
      <c r="C71" s="3"/>
      <c r="D71" s="3"/>
      <c r="E71" s="3"/>
      <c r="H71" s="3"/>
      <c r="I71" s="3"/>
      <c r="J71" s="3"/>
      <c r="K71" s="3"/>
      <c r="N71" s="3"/>
      <c r="O71" s="3"/>
      <c r="P71" s="3"/>
      <c r="Q71" s="3"/>
      <c r="R71" s="3"/>
      <c r="S71" s="4"/>
    </row>
    <row r="72" spans="1:19" x14ac:dyDescent="0.25">
      <c r="B72" s="3"/>
      <c r="C72" s="3"/>
      <c r="D72" s="3"/>
      <c r="E72" s="3"/>
      <c r="H72" s="3"/>
      <c r="I72" s="3"/>
      <c r="J72" s="3"/>
      <c r="K72" s="3"/>
      <c r="N72" s="3"/>
      <c r="O72" s="3"/>
      <c r="P72" s="3"/>
      <c r="Q72" s="3"/>
      <c r="R72" s="3"/>
      <c r="S72" s="4"/>
    </row>
    <row r="73" spans="1:19" x14ac:dyDescent="0.25">
      <c r="B73" s="3"/>
      <c r="C73" s="3"/>
      <c r="D73" s="3"/>
      <c r="E73" s="3"/>
      <c r="H73" s="3"/>
      <c r="I73" s="3"/>
      <c r="J73" s="3"/>
      <c r="K73" s="3"/>
      <c r="N73" s="3"/>
      <c r="O73" s="3"/>
      <c r="P73" s="3"/>
      <c r="Q73" s="3"/>
      <c r="R73" s="3"/>
      <c r="S73" s="4"/>
    </row>
    <row r="74" spans="1:19" x14ac:dyDescent="0.25">
      <c r="B74" s="3"/>
      <c r="C74" s="3"/>
      <c r="D74" s="3"/>
      <c r="E74" s="3"/>
      <c r="H74" s="3"/>
      <c r="I74" s="3"/>
      <c r="J74" s="3"/>
      <c r="K74" s="3"/>
      <c r="N74" s="3"/>
      <c r="O74" s="3"/>
      <c r="P74" s="3"/>
      <c r="Q74" s="3"/>
      <c r="R74" s="3"/>
      <c r="S74" s="4"/>
    </row>
    <row r="75" spans="1:19" x14ac:dyDescent="0.25">
      <c r="B75" s="3"/>
      <c r="C75" s="3"/>
      <c r="D75" s="3"/>
      <c r="E75" s="3"/>
      <c r="H75" s="3"/>
      <c r="I75" s="3"/>
      <c r="J75" s="3"/>
      <c r="K75" s="3"/>
      <c r="N75" s="3"/>
      <c r="O75" s="3"/>
      <c r="P75" s="3"/>
      <c r="Q75" s="3"/>
      <c r="R75" s="3"/>
      <c r="S75" s="4"/>
    </row>
    <row r="76" spans="1:19" x14ac:dyDescent="0.25">
      <c r="B76" s="3"/>
      <c r="C76" s="3"/>
      <c r="D76" s="3"/>
      <c r="E76" s="3"/>
      <c r="H76" s="3"/>
      <c r="I76" s="3"/>
      <c r="J76" s="3"/>
      <c r="K76" s="3"/>
      <c r="N76" s="3"/>
      <c r="O76" s="3"/>
      <c r="P76" s="3"/>
      <c r="Q76" s="3"/>
      <c r="R76" s="3"/>
      <c r="S76" s="4"/>
    </row>
    <row r="77" spans="1:19" x14ac:dyDescent="0.25">
      <c r="B77" s="3"/>
      <c r="C77" s="3"/>
      <c r="D77" s="3"/>
      <c r="E77" s="3"/>
      <c r="H77" s="3"/>
      <c r="I77" s="3"/>
      <c r="J77" s="3"/>
      <c r="K77" s="3"/>
      <c r="N77" s="3"/>
      <c r="O77" s="3"/>
      <c r="P77" s="3"/>
      <c r="Q77" s="3"/>
      <c r="R77" s="3"/>
      <c r="S77" s="4"/>
    </row>
    <row r="78" spans="1:19" x14ac:dyDescent="0.25">
      <c r="B78" s="3"/>
      <c r="C78" s="3"/>
      <c r="D78" s="3"/>
      <c r="E78" s="3"/>
      <c r="H78" s="3"/>
      <c r="I78" s="3"/>
      <c r="J78" s="3"/>
      <c r="K78" s="3"/>
      <c r="N78" s="3"/>
      <c r="O78" s="3"/>
      <c r="P78" s="3"/>
      <c r="Q78" s="3"/>
      <c r="R78" s="3"/>
      <c r="S78" s="4"/>
    </row>
    <row r="79" spans="1:19" x14ac:dyDescent="0.25">
      <c r="C79" s="3"/>
      <c r="D79" s="3"/>
      <c r="E79" s="3"/>
      <c r="I79" s="3"/>
      <c r="J79" s="3"/>
      <c r="K79" s="3"/>
      <c r="O79" s="3"/>
      <c r="P79" s="3"/>
      <c r="Q79" s="3"/>
      <c r="S79" s="4"/>
    </row>
    <row r="80" spans="1:19" x14ac:dyDescent="0.25">
      <c r="C80" s="3"/>
      <c r="D80" s="3"/>
      <c r="E80" s="3"/>
      <c r="I80" s="3"/>
      <c r="J80" s="3"/>
      <c r="K80" s="3"/>
      <c r="O80" s="3"/>
      <c r="P80" s="3"/>
      <c r="Q80" s="3"/>
      <c r="S80" s="4"/>
    </row>
    <row r="81" spans="1:19" x14ac:dyDescent="0.25">
      <c r="C81" s="3"/>
      <c r="D81" s="3"/>
      <c r="E81" s="3"/>
      <c r="I81" s="3"/>
      <c r="J81" s="3"/>
      <c r="K81" s="3"/>
      <c r="O81" s="3"/>
      <c r="P81" s="3"/>
      <c r="Q81" s="3"/>
      <c r="S81" s="4"/>
    </row>
    <row r="82" spans="1:19" x14ac:dyDescent="0.25">
      <c r="C82" s="3"/>
      <c r="D82" s="3"/>
      <c r="E82" s="3"/>
      <c r="I82" s="3"/>
      <c r="J82" s="3"/>
      <c r="K82" s="3"/>
      <c r="O82" s="3"/>
      <c r="P82" s="3"/>
      <c r="Q82" s="3"/>
      <c r="S82" s="4"/>
    </row>
    <row r="83" spans="1:19" x14ac:dyDescent="0.25">
      <c r="C83" s="3"/>
      <c r="D83" s="3"/>
      <c r="E83" s="3"/>
      <c r="I83" s="3"/>
      <c r="J83" s="3"/>
      <c r="K83" s="3"/>
      <c r="O83" s="3"/>
      <c r="P83" s="3"/>
      <c r="Q83" s="3"/>
      <c r="S83" s="4"/>
    </row>
    <row r="84" spans="1:19" x14ac:dyDescent="0.25">
      <c r="C84" s="3"/>
      <c r="D84" s="3"/>
      <c r="E84" s="3"/>
      <c r="I84" s="3"/>
      <c r="J84" s="3"/>
      <c r="K84" s="3"/>
      <c r="O84" s="3"/>
      <c r="P84" s="3"/>
      <c r="Q84" s="3"/>
      <c r="S84" s="4"/>
    </row>
    <row r="85" spans="1:19" x14ac:dyDescent="0.25">
      <c r="C85" s="3"/>
      <c r="D85" s="3"/>
      <c r="E85" s="3"/>
      <c r="I85" s="3"/>
      <c r="J85" s="3"/>
      <c r="K85" s="3"/>
      <c r="O85" s="3"/>
      <c r="P85" s="3"/>
      <c r="Q85" s="3"/>
      <c r="S85" s="4"/>
    </row>
    <row r="86" spans="1:19" x14ac:dyDescent="0.25">
      <c r="C86" s="3"/>
      <c r="D86" s="3"/>
      <c r="E86" s="3"/>
      <c r="I86" s="3"/>
      <c r="J86" s="3"/>
      <c r="K86" s="3"/>
      <c r="O86" s="3"/>
      <c r="P86" s="3"/>
      <c r="Q86" s="3"/>
      <c r="S86" s="4"/>
    </row>
    <row r="87" spans="1:19" x14ac:dyDescent="0.25">
      <c r="A87" s="2"/>
      <c r="B87" s="2"/>
      <c r="C87" s="2"/>
      <c r="D87" s="2"/>
      <c r="E87" s="2"/>
      <c r="G87" s="2"/>
      <c r="H87" s="2"/>
      <c r="I87" s="2"/>
      <c r="J87" s="2"/>
      <c r="K87" s="2"/>
      <c r="M87" s="2"/>
      <c r="N87" s="2"/>
      <c r="O87" s="2"/>
      <c r="P87" s="2"/>
      <c r="Q87" s="2"/>
      <c r="S87" s="4"/>
    </row>
    <row r="88" spans="1:19" x14ac:dyDescent="0.25">
      <c r="S88" s="4"/>
    </row>
    <row r="89" spans="1:19" x14ac:dyDescent="0.25">
      <c r="S89" s="4"/>
    </row>
    <row r="90" spans="1:19" x14ac:dyDescent="0.25">
      <c r="S90" s="4"/>
    </row>
    <row r="91" spans="1:19" x14ac:dyDescent="0.25">
      <c r="S91" s="4"/>
    </row>
    <row r="92" spans="1:19" x14ac:dyDescent="0.25">
      <c r="S92" s="4"/>
    </row>
    <row r="93" spans="1:19" x14ac:dyDescent="0.25">
      <c r="S93" s="4"/>
    </row>
    <row r="94" spans="1:19" x14ac:dyDescent="0.25">
      <c r="S94" s="4"/>
    </row>
    <row r="95" spans="1:19" x14ac:dyDescent="0.25">
      <c r="S95" s="4"/>
    </row>
    <row r="96" spans="1:19" x14ac:dyDescent="0.25">
      <c r="S96" s="4"/>
    </row>
    <row r="97" spans="1:19" x14ac:dyDescent="0.25">
      <c r="S97" s="4"/>
    </row>
    <row r="98" spans="1:19" x14ac:dyDescent="0.25">
      <c r="S98" s="4"/>
    </row>
    <row r="99" spans="1:19" x14ac:dyDescent="0.25">
      <c r="S99" s="4"/>
    </row>
    <row r="100" spans="1:19" x14ac:dyDescent="0.25">
      <c r="S100" s="4"/>
    </row>
    <row r="101" spans="1:19" x14ac:dyDescent="0.25">
      <c r="S101" s="4"/>
    </row>
    <row r="102" spans="1:19" x14ac:dyDescent="0.25">
      <c r="S102" s="4"/>
    </row>
    <row r="103" spans="1:19" x14ac:dyDescent="0.25">
      <c r="S103" s="4"/>
    </row>
    <row r="104" spans="1:19" x14ac:dyDescent="0.25">
      <c r="A104" s="1"/>
      <c r="B104" s="1"/>
      <c r="C104" s="1"/>
      <c r="D104" s="1"/>
      <c r="E104" s="1"/>
      <c r="G104" s="1"/>
      <c r="H104" s="1"/>
      <c r="I104" s="1"/>
      <c r="J104" s="1"/>
      <c r="K104" s="1"/>
      <c r="M104" s="1"/>
      <c r="N104" s="1"/>
      <c r="O104" s="1"/>
      <c r="P104" s="1"/>
      <c r="Q104" s="1"/>
      <c r="R104" s="1"/>
      <c r="S104" s="4"/>
    </row>
    <row r="105" spans="1:19" x14ac:dyDescent="0.25">
      <c r="B105" s="3"/>
      <c r="C105" s="3"/>
      <c r="D105" s="3"/>
      <c r="E105" s="3"/>
      <c r="H105" s="3"/>
      <c r="I105" s="3"/>
      <c r="J105" s="3"/>
      <c r="K105" s="3"/>
      <c r="N105" s="3"/>
      <c r="O105" s="3"/>
      <c r="P105" s="3"/>
      <c r="Q105" s="3"/>
      <c r="R105" s="3"/>
      <c r="S105" s="4"/>
    </row>
    <row r="106" spans="1:19" x14ac:dyDescent="0.25">
      <c r="B106" s="3"/>
      <c r="C106" s="3"/>
      <c r="D106" s="3"/>
      <c r="E106" s="3"/>
      <c r="H106" s="3"/>
      <c r="I106" s="3"/>
      <c r="J106" s="3"/>
      <c r="K106" s="3"/>
      <c r="N106" s="3"/>
      <c r="O106" s="3"/>
      <c r="P106" s="3"/>
      <c r="Q106" s="3"/>
      <c r="R106" s="3"/>
      <c r="S106" s="4"/>
    </row>
    <row r="107" spans="1:19" x14ac:dyDescent="0.25">
      <c r="B107" s="3"/>
      <c r="C107" s="3"/>
      <c r="D107" s="3"/>
      <c r="E107" s="3"/>
      <c r="H107" s="3"/>
      <c r="I107" s="3"/>
      <c r="J107" s="3"/>
      <c r="K107" s="3"/>
      <c r="N107" s="3"/>
      <c r="O107" s="3"/>
      <c r="P107" s="3"/>
      <c r="Q107" s="3"/>
      <c r="R107" s="3"/>
      <c r="S107" s="4"/>
    </row>
    <row r="108" spans="1:19" x14ac:dyDescent="0.25">
      <c r="B108" s="3"/>
      <c r="C108" s="3"/>
      <c r="D108" s="3"/>
      <c r="E108" s="3"/>
      <c r="H108" s="3"/>
      <c r="I108" s="3"/>
      <c r="J108" s="3"/>
      <c r="K108" s="3"/>
      <c r="N108" s="3"/>
      <c r="O108" s="3"/>
      <c r="P108" s="3"/>
      <c r="Q108" s="3"/>
      <c r="R108" s="3"/>
      <c r="S108" s="4"/>
    </row>
    <row r="109" spans="1:19" x14ac:dyDescent="0.25">
      <c r="B109" s="3"/>
      <c r="C109" s="3"/>
      <c r="D109" s="3"/>
      <c r="E109" s="3"/>
      <c r="H109" s="3"/>
      <c r="I109" s="3"/>
      <c r="J109" s="3"/>
      <c r="K109" s="3"/>
      <c r="N109" s="3"/>
      <c r="O109" s="3"/>
      <c r="P109" s="3"/>
      <c r="Q109" s="3"/>
      <c r="R109" s="3"/>
      <c r="S109" s="4"/>
    </row>
    <row r="110" spans="1:19" x14ac:dyDescent="0.25">
      <c r="B110" s="3"/>
      <c r="C110" s="3"/>
      <c r="D110" s="3"/>
      <c r="E110" s="3"/>
      <c r="H110" s="3"/>
      <c r="I110" s="3"/>
      <c r="J110" s="3"/>
      <c r="K110" s="3"/>
      <c r="N110" s="3"/>
      <c r="O110" s="3"/>
      <c r="P110" s="3"/>
      <c r="Q110" s="3"/>
      <c r="R110" s="3"/>
      <c r="S110" s="4"/>
    </row>
    <row r="111" spans="1:19" x14ac:dyDescent="0.25">
      <c r="B111" s="3"/>
      <c r="C111" s="3"/>
      <c r="D111" s="3"/>
      <c r="E111" s="3"/>
      <c r="H111" s="3"/>
      <c r="I111" s="3"/>
      <c r="J111" s="3"/>
      <c r="K111" s="3"/>
      <c r="N111" s="3"/>
      <c r="O111" s="3"/>
      <c r="P111" s="3"/>
      <c r="Q111" s="3"/>
      <c r="R111" s="3"/>
      <c r="S111" s="4"/>
    </row>
    <row r="112" spans="1:19" x14ac:dyDescent="0.25">
      <c r="B112" s="3"/>
      <c r="C112" s="3"/>
      <c r="D112" s="3"/>
      <c r="E112" s="3"/>
      <c r="H112" s="3"/>
      <c r="I112" s="3"/>
      <c r="J112" s="3"/>
      <c r="K112" s="3"/>
      <c r="N112" s="3"/>
      <c r="O112" s="3"/>
      <c r="P112" s="3"/>
      <c r="Q112" s="3"/>
      <c r="R112" s="3"/>
      <c r="S112" s="4"/>
    </row>
    <row r="113" spans="1:19" x14ac:dyDescent="0.25">
      <c r="C113" s="3"/>
      <c r="D113" s="3"/>
      <c r="E113" s="3"/>
      <c r="I113" s="3"/>
      <c r="J113" s="3"/>
      <c r="K113" s="3"/>
      <c r="O113" s="3"/>
      <c r="P113" s="3"/>
      <c r="Q113" s="3"/>
      <c r="R113" s="3"/>
      <c r="S113" s="4"/>
    </row>
    <row r="114" spans="1:19" x14ac:dyDescent="0.25">
      <c r="C114" s="3"/>
      <c r="D114" s="3"/>
      <c r="E114" s="3"/>
      <c r="I114" s="3"/>
      <c r="J114" s="3"/>
      <c r="K114" s="3"/>
      <c r="O114" s="3"/>
      <c r="P114" s="3"/>
      <c r="Q114" s="3"/>
      <c r="R114" s="3"/>
      <c r="S114" s="4"/>
    </row>
    <row r="115" spans="1:19" x14ac:dyDescent="0.25">
      <c r="C115" s="3"/>
      <c r="D115" s="3"/>
      <c r="E115" s="3"/>
      <c r="I115" s="3"/>
      <c r="J115" s="3"/>
      <c r="K115" s="3"/>
      <c r="O115" s="3"/>
      <c r="P115" s="3"/>
      <c r="Q115" s="3"/>
      <c r="R115" s="3"/>
      <c r="S115" s="4"/>
    </row>
    <row r="116" spans="1:19" x14ac:dyDescent="0.25">
      <c r="C116" s="3"/>
      <c r="D116" s="3"/>
      <c r="E116" s="3"/>
      <c r="I116" s="3"/>
      <c r="J116" s="3"/>
      <c r="K116" s="3"/>
      <c r="O116" s="3"/>
      <c r="P116" s="3"/>
      <c r="Q116" s="3"/>
      <c r="R116" s="3"/>
      <c r="S116" s="4"/>
    </row>
    <row r="117" spans="1:19" x14ac:dyDescent="0.25">
      <c r="C117" s="3"/>
      <c r="D117" s="3"/>
      <c r="E117" s="3"/>
      <c r="I117" s="3"/>
      <c r="J117" s="3"/>
      <c r="K117" s="3"/>
      <c r="O117" s="3"/>
      <c r="P117" s="3"/>
      <c r="Q117" s="3"/>
      <c r="R117" s="3"/>
      <c r="S117" s="4"/>
    </row>
    <row r="118" spans="1:19" x14ac:dyDescent="0.25">
      <c r="C118" s="3"/>
      <c r="D118" s="3"/>
      <c r="E118" s="3"/>
      <c r="I118" s="3"/>
      <c r="J118" s="3"/>
      <c r="K118" s="3"/>
      <c r="O118" s="3"/>
      <c r="P118" s="3"/>
      <c r="Q118" s="3"/>
      <c r="R118" s="3"/>
      <c r="S118" s="4"/>
    </row>
    <row r="119" spans="1:19" x14ac:dyDescent="0.25">
      <c r="C119" s="3"/>
      <c r="D119" s="3"/>
      <c r="E119" s="3"/>
      <c r="I119" s="3"/>
      <c r="J119" s="3"/>
      <c r="K119" s="3"/>
      <c r="O119" s="3"/>
      <c r="P119" s="3"/>
      <c r="Q119" s="3"/>
      <c r="R119" s="3"/>
      <c r="S119" s="4"/>
    </row>
    <row r="120" spans="1:19" x14ac:dyDescent="0.25">
      <c r="C120" s="3"/>
      <c r="D120" s="3"/>
      <c r="E120" s="3"/>
      <c r="I120" s="3"/>
      <c r="J120" s="3"/>
      <c r="K120" s="3"/>
      <c r="O120" s="3"/>
      <c r="P120" s="3"/>
      <c r="Q120" s="3"/>
      <c r="R120" s="3"/>
      <c r="S120" s="4"/>
    </row>
    <row r="121" spans="1:19" x14ac:dyDescent="0.25">
      <c r="A121" s="2"/>
      <c r="B121" s="2"/>
      <c r="C121" s="2"/>
      <c r="D121" s="2"/>
      <c r="E121" s="2"/>
      <c r="G121" s="2"/>
      <c r="H121" s="2"/>
      <c r="I121" s="2"/>
      <c r="J121" s="2"/>
      <c r="K121" s="2"/>
      <c r="M121" s="2"/>
      <c r="N121" s="2"/>
      <c r="O121" s="2"/>
      <c r="P121" s="2"/>
      <c r="Q121" s="2"/>
      <c r="R121" s="3"/>
      <c r="S121" s="4"/>
    </row>
    <row r="122" spans="1:19" x14ac:dyDescent="0.25">
      <c r="R122" s="3"/>
      <c r="S122" s="4"/>
    </row>
    <row r="123" spans="1:19" x14ac:dyDescent="0.25">
      <c r="R123" s="3"/>
      <c r="S123" s="4"/>
    </row>
    <row r="124" spans="1:19" x14ac:dyDescent="0.25">
      <c r="S124" s="4"/>
    </row>
    <row r="125" spans="1:19" x14ac:dyDescent="0.25">
      <c r="S125" s="4"/>
    </row>
    <row r="126" spans="1:19" x14ac:dyDescent="0.25">
      <c r="S126" s="4"/>
    </row>
    <row r="127" spans="1:19" x14ac:dyDescent="0.25">
      <c r="S127" s="4"/>
    </row>
    <row r="128" spans="1:19" x14ac:dyDescent="0.25">
      <c r="S128" s="4"/>
    </row>
    <row r="129" spans="19:19" x14ac:dyDescent="0.25">
      <c r="S129" s="4"/>
    </row>
    <row r="130" spans="19:19" x14ac:dyDescent="0.25">
      <c r="S130" s="4"/>
    </row>
    <row r="131" spans="19:19" x14ac:dyDescent="0.25">
      <c r="S131" s="4"/>
    </row>
    <row r="132" spans="19:19" x14ac:dyDescent="0.25">
      <c r="S132" s="4"/>
    </row>
    <row r="133" spans="19:19" x14ac:dyDescent="0.25">
      <c r="S133" s="4"/>
    </row>
    <row r="134" spans="19:19" x14ac:dyDescent="0.25">
      <c r="S134" s="4"/>
    </row>
    <row r="135" spans="19:19" x14ac:dyDescent="0.25">
      <c r="S135" s="4"/>
    </row>
  </sheetData>
  <conditionalFormatting sqref="B30:B33">
    <cfRule type="cellIs" dxfId="93" priority="30" operator="lessThan">
      <formula>0.05</formula>
    </cfRule>
  </conditionalFormatting>
  <conditionalFormatting sqref="B64:B67">
    <cfRule type="cellIs" dxfId="92" priority="32" operator="lessThan">
      <formula>0.05</formula>
    </cfRule>
  </conditionalFormatting>
  <conditionalFormatting sqref="B98:B101">
    <cfRule type="cellIs" dxfId="91" priority="31" operator="lessThan">
      <formula>0.05</formula>
    </cfRule>
  </conditionalFormatting>
  <conditionalFormatting sqref="B105:B120">
    <cfRule type="cellIs" dxfId="90" priority="17" operator="lessThan">
      <formula>B$94</formula>
    </cfRule>
    <cfRule type="cellIs" dxfId="89" priority="18" operator="greaterThan">
      <formula>B$93</formula>
    </cfRule>
  </conditionalFormatting>
  <conditionalFormatting sqref="B132:B135">
    <cfRule type="cellIs" dxfId="88" priority="19" operator="lessThan">
      <formula>0.05</formula>
    </cfRule>
  </conditionalFormatting>
  <conditionalFormatting sqref="B7:E18">
    <cfRule type="cellIs" dxfId="87" priority="28" operator="lessThan">
      <formula>B$26</formula>
    </cfRule>
    <cfRule type="cellIs" dxfId="86" priority="29" operator="greaterThan">
      <formula>B$25</formula>
    </cfRule>
  </conditionalFormatting>
  <conditionalFormatting sqref="B37:E52">
    <cfRule type="cellIs" dxfId="85" priority="24" operator="lessThan">
      <formula>B$60</formula>
    </cfRule>
    <cfRule type="cellIs" dxfId="84" priority="25" operator="greaterThan">
      <formula>B$59</formula>
    </cfRule>
  </conditionalFormatting>
  <conditionalFormatting sqref="B71:E86">
    <cfRule type="cellIs" dxfId="83" priority="22" operator="lessThan">
      <formula>B$94</formula>
    </cfRule>
    <cfRule type="cellIs" dxfId="82" priority="23" operator="greaterThan">
      <formula>B$93</formula>
    </cfRule>
  </conditionalFormatting>
  <conditionalFormatting sqref="C105:E120">
    <cfRule type="cellIs" dxfId="81" priority="15" operator="lessThan">
      <formula>C$128</formula>
    </cfRule>
    <cfRule type="cellIs" dxfId="80" priority="16" operator="greaterThan">
      <formula>C$127</formula>
    </cfRule>
  </conditionalFormatting>
  <conditionalFormatting sqref="H7:K18">
    <cfRule type="cellIs" dxfId="79" priority="26" operator="lessThan">
      <formula>H$26</formula>
    </cfRule>
    <cfRule type="cellIs" dxfId="78" priority="27" operator="greaterThan">
      <formula>H$25</formula>
    </cfRule>
  </conditionalFormatting>
  <conditionalFormatting sqref="H37:K52">
    <cfRule type="cellIs" dxfId="77" priority="20" operator="lessThan">
      <formula>H$60</formula>
    </cfRule>
    <cfRule type="cellIs" dxfId="76" priority="21" operator="greaterThan">
      <formula>H$59</formula>
    </cfRule>
  </conditionalFormatting>
  <conditionalFormatting sqref="I71:K86">
    <cfRule type="cellIs" dxfId="75" priority="3" operator="lessThan">
      <formula>I$94</formula>
    </cfRule>
    <cfRule type="cellIs" dxfId="74" priority="4" operator="greaterThan">
      <formula>I$93</formula>
    </cfRule>
  </conditionalFormatting>
  <conditionalFormatting sqref="I105:K120">
    <cfRule type="cellIs" dxfId="73" priority="13" operator="lessThan">
      <formula>I$128</formula>
    </cfRule>
    <cfRule type="cellIs" dxfId="72" priority="14" operator="greaterThan">
      <formula>I$127</formula>
    </cfRule>
  </conditionalFormatting>
  <conditionalFormatting sqref="N37:R52 R53">
    <cfRule type="cellIs" dxfId="71" priority="7" operator="lessThan">
      <formula>N$60</formula>
    </cfRule>
    <cfRule type="cellIs" dxfId="70" priority="8" operator="greaterThan">
      <formula>N$59</formula>
    </cfRule>
  </conditionalFormatting>
  <conditionalFormatting sqref="O71:Q86">
    <cfRule type="cellIs" dxfId="69" priority="1" operator="lessThan">
      <formula>O$94</formula>
    </cfRule>
    <cfRule type="cellIs" dxfId="68" priority="2" operator="greaterThan">
      <formula>O$93</formula>
    </cfRule>
  </conditionalFormatting>
  <conditionalFormatting sqref="O105:R120 R121:R123">
    <cfRule type="cellIs" dxfId="67" priority="5" operator="lessThan">
      <formula>O$128</formula>
    </cfRule>
    <cfRule type="cellIs" dxfId="66" priority="6" operator="greaterThan">
      <formula>O$127</formula>
    </cfRule>
  </conditionalFormatting>
  <conditionalFormatting sqref="R3:R6 N7:R18 R19">
    <cfRule type="cellIs" dxfId="65" priority="9" operator="lessThan">
      <formula>N$26</formula>
    </cfRule>
    <cfRule type="cellIs" dxfId="64" priority="10" operator="greaterThan">
      <formula>N$25</formula>
    </cfRule>
  </conditionalFormatting>
  <conditionalFormatting sqref="R71:R88">
    <cfRule type="cellIs" dxfId="63" priority="11" operator="lessThan">
      <formula>R$94</formula>
    </cfRule>
    <cfRule type="cellIs" dxfId="62" priority="12" operator="greaterThan">
      <formula>R$93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221D-EF2A-4B33-B787-2840A24D6594}">
  <sheetPr codeName="Sheet10"/>
  <dimension ref="A1:R67"/>
  <sheetViews>
    <sheetView workbookViewId="0">
      <selection activeCell="C17" sqref="C17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</row>
    <row r="3" spans="1:17" x14ac:dyDescent="0.25">
      <c r="A3" t="s">
        <v>5</v>
      </c>
      <c r="B3" s="6">
        <v>212219.72806954099</v>
      </c>
      <c r="C3" s="6"/>
      <c r="D3" s="6"/>
      <c r="G3" t="s">
        <v>5</v>
      </c>
      <c r="H3" s="6">
        <v>340703.51447588101</v>
      </c>
      <c r="I3" s="6"/>
      <c r="J3" s="6"/>
      <c r="K3" s="6"/>
      <c r="M3" t="s">
        <v>5</v>
      </c>
      <c r="N3" s="6">
        <v>302713.02093694202</v>
      </c>
      <c r="O3" s="6"/>
      <c r="P3" s="6"/>
      <c r="Q3" s="6">
        <v>12529.6474974832</v>
      </c>
    </row>
    <row r="4" spans="1:17" x14ac:dyDescent="0.25">
      <c r="A4" t="s">
        <v>7</v>
      </c>
      <c r="B4" s="6">
        <v>174373.541937934</v>
      </c>
      <c r="C4" s="6"/>
      <c r="D4" s="6"/>
      <c r="E4" s="6">
        <v>14427.6036156548</v>
      </c>
      <c r="G4" t="s">
        <v>7</v>
      </c>
      <c r="H4" s="6">
        <v>230857.34343823101</v>
      </c>
      <c r="I4" s="6"/>
      <c r="J4" s="6"/>
      <c r="K4" s="6">
        <v>523566.09650599997</v>
      </c>
      <c r="M4" t="s">
        <v>7</v>
      </c>
      <c r="N4" s="6">
        <v>330410.63179204502</v>
      </c>
      <c r="O4" s="6"/>
      <c r="P4" s="6"/>
      <c r="Q4" s="6">
        <v>371491.18611841998</v>
      </c>
    </row>
    <row r="5" spans="1:17" x14ac:dyDescent="0.25">
      <c r="A5" t="s">
        <v>8</v>
      </c>
      <c r="B5" s="6">
        <v>135887.38382598499</v>
      </c>
      <c r="C5" s="6"/>
      <c r="D5" s="6"/>
      <c r="E5" s="6">
        <v>191841.012460214</v>
      </c>
      <c r="G5" t="s">
        <v>8</v>
      </c>
      <c r="H5" s="6">
        <v>429333.35951816803</v>
      </c>
      <c r="I5" s="6"/>
      <c r="J5" s="6"/>
      <c r="K5" s="6">
        <v>278274.87521701399</v>
      </c>
      <c r="M5" t="s">
        <v>8</v>
      </c>
      <c r="N5" s="6">
        <v>818862.97155309503</v>
      </c>
      <c r="O5" s="6"/>
      <c r="P5" s="6"/>
      <c r="Q5" s="6">
        <v>561864.02756490698</v>
      </c>
    </row>
    <row r="6" spans="1:17" x14ac:dyDescent="0.25">
      <c r="A6" t="s">
        <v>9</v>
      </c>
      <c r="B6" s="6">
        <v>58064.908745847999</v>
      </c>
      <c r="C6" s="6"/>
      <c r="D6" s="6"/>
      <c r="E6" s="6">
        <v>145712.835994767</v>
      </c>
      <c r="G6" t="s">
        <v>9</v>
      </c>
      <c r="H6" s="6">
        <v>465281.58953160403</v>
      </c>
      <c r="I6" s="6"/>
      <c r="J6" s="6"/>
      <c r="K6" s="6">
        <v>635222.38437040302</v>
      </c>
      <c r="M6" t="s">
        <v>9</v>
      </c>
      <c r="N6" s="6">
        <v>622968.80321738101</v>
      </c>
      <c r="O6" s="6"/>
      <c r="P6" s="6"/>
      <c r="Q6" s="6">
        <v>383926.72008938203</v>
      </c>
    </row>
    <row r="7" spans="1:17" x14ac:dyDescent="0.25">
      <c r="A7" t="s">
        <v>10</v>
      </c>
      <c r="B7">
        <v>157975.82850044101</v>
      </c>
      <c r="G7" t="s">
        <v>10</v>
      </c>
      <c r="H7">
        <v>166088.41448654301</v>
      </c>
      <c r="K7">
        <v>116914.09687937</v>
      </c>
      <c r="M7" t="s">
        <v>10</v>
      </c>
      <c r="N7">
        <v>522800.63982362999</v>
      </c>
      <c r="Q7">
        <v>407486.47289511497</v>
      </c>
    </row>
    <row r="8" spans="1:17" x14ac:dyDescent="0.25">
      <c r="A8" t="s">
        <v>11</v>
      </c>
      <c r="B8">
        <v>130704.865632234</v>
      </c>
      <c r="G8" t="s">
        <v>11</v>
      </c>
      <c r="H8">
        <v>217104.22009597599</v>
      </c>
      <c r="K8">
        <v>66092.792558081303</v>
      </c>
      <c r="M8" t="s">
        <v>11</v>
      </c>
      <c r="N8">
        <v>286723.13278103998</v>
      </c>
      <c r="Q8">
        <v>29181.467456582101</v>
      </c>
    </row>
    <row r="9" spans="1:17" x14ac:dyDescent="0.25">
      <c r="A9" t="s">
        <v>12</v>
      </c>
      <c r="B9">
        <v>71959.202377884401</v>
      </c>
      <c r="E9">
        <v>21445.335576563699</v>
      </c>
      <c r="G9" t="s">
        <v>12</v>
      </c>
      <c r="H9">
        <v>270017.981823579</v>
      </c>
      <c r="K9">
        <v>171305.440973352</v>
      </c>
      <c r="M9" t="s">
        <v>12</v>
      </c>
      <c r="N9">
        <v>158706.77688975399</v>
      </c>
      <c r="Q9">
        <v>91707.357359521106</v>
      </c>
    </row>
    <row r="10" spans="1:17" x14ac:dyDescent="0.25">
      <c r="A10" t="s">
        <v>13</v>
      </c>
      <c r="B10">
        <v>6983.2236678511899</v>
      </c>
      <c r="E10">
        <v>16956.1203615165</v>
      </c>
      <c r="G10" t="s">
        <v>13</v>
      </c>
      <c r="H10">
        <v>112355.86507820799</v>
      </c>
      <c r="K10">
        <v>88736.507039011194</v>
      </c>
      <c r="M10" t="s">
        <v>13</v>
      </c>
      <c r="N10">
        <v>276135.361047438</v>
      </c>
      <c r="Q10">
        <v>388557.10559421103</v>
      </c>
    </row>
    <row r="11" spans="1:17" x14ac:dyDescent="0.25">
      <c r="A11" t="s">
        <v>5</v>
      </c>
      <c r="G11" t="s">
        <v>5</v>
      </c>
      <c r="M11" t="s">
        <v>5</v>
      </c>
    </row>
    <row r="12" spans="1:17" x14ac:dyDescent="0.25">
      <c r="A12" t="s">
        <v>7</v>
      </c>
      <c r="G12" t="s">
        <v>7</v>
      </c>
      <c r="M12" t="s">
        <v>7</v>
      </c>
    </row>
    <row r="13" spans="1:17" x14ac:dyDescent="0.25">
      <c r="A13" t="s">
        <v>8</v>
      </c>
      <c r="G13" t="s">
        <v>8</v>
      </c>
      <c r="M13" t="s">
        <v>8</v>
      </c>
    </row>
    <row r="14" spans="1:17" x14ac:dyDescent="0.25">
      <c r="A14" t="s">
        <v>9</v>
      </c>
      <c r="G14" t="s">
        <v>9</v>
      </c>
      <c r="M14" t="s">
        <v>9</v>
      </c>
    </row>
    <row r="15" spans="1:17" x14ac:dyDescent="0.25">
      <c r="A15" t="s">
        <v>10</v>
      </c>
      <c r="G15" t="s">
        <v>10</v>
      </c>
      <c r="M15" t="s">
        <v>10</v>
      </c>
    </row>
    <row r="16" spans="1:17" x14ac:dyDescent="0.25">
      <c r="A16" t="s">
        <v>11</v>
      </c>
      <c r="G16" t="s">
        <v>11</v>
      </c>
      <c r="M16" t="s">
        <v>11</v>
      </c>
    </row>
    <row r="17" spans="1:17" x14ac:dyDescent="0.25">
      <c r="A17" t="s">
        <v>12</v>
      </c>
      <c r="G17" t="s">
        <v>12</v>
      </c>
      <c r="M17" t="s">
        <v>12</v>
      </c>
    </row>
    <row r="18" spans="1:17" x14ac:dyDescent="0.25">
      <c r="A18" t="s">
        <v>13</v>
      </c>
      <c r="G18" t="s">
        <v>13</v>
      </c>
      <c r="M18" t="s">
        <v>13</v>
      </c>
    </row>
    <row r="19" spans="1:1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</row>
    <row r="20" spans="1:17" x14ac:dyDescent="0.25">
      <c r="A20" t="s">
        <v>14</v>
      </c>
      <c r="B20">
        <f>COUNT(B3:B18)</f>
        <v>8</v>
      </c>
      <c r="C20">
        <f t="shared" ref="C20:D20" si="0">COUNT(C3:C18)</f>
        <v>0</v>
      </c>
      <c r="D20">
        <f t="shared" si="0"/>
        <v>0</v>
      </c>
      <c r="E20">
        <f>COUNT(E4:E18)</f>
        <v>5</v>
      </c>
      <c r="G20" t="s">
        <v>14</v>
      </c>
      <c r="H20">
        <f>COUNT(H3:H18)</f>
        <v>8</v>
      </c>
      <c r="I20">
        <f t="shared" ref="I20:K20" si="1">COUNT(I3:I18)</f>
        <v>0</v>
      </c>
      <c r="J20">
        <f t="shared" si="1"/>
        <v>0</v>
      </c>
      <c r="K20">
        <f t="shared" si="1"/>
        <v>7</v>
      </c>
      <c r="M20" t="s">
        <v>14</v>
      </c>
      <c r="N20">
        <f>COUNT(N3:N18)</f>
        <v>8</v>
      </c>
      <c r="O20">
        <f t="shared" ref="O20:Q20" si="2">COUNT(O3:O18)</f>
        <v>0</v>
      </c>
      <c r="P20">
        <f t="shared" si="2"/>
        <v>0</v>
      </c>
      <c r="Q20">
        <f t="shared" si="2"/>
        <v>8</v>
      </c>
    </row>
    <row r="21" spans="1:17" x14ac:dyDescent="0.25">
      <c r="A21" t="s">
        <v>15</v>
      </c>
      <c r="B21">
        <f>MAX(B3:B18)</f>
        <v>212219.72806954099</v>
      </c>
      <c r="C21">
        <f t="shared" ref="C21:D21" si="3">MAX(C3:C18)</f>
        <v>0</v>
      </c>
      <c r="D21">
        <f t="shared" si="3"/>
        <v>0</v>
      </c>
      <c r="E21">
        <f>MAX(E4:E18)</f>
        <v>191841.012460214</v>
      </c>
      <c r="G21" t="s">
        <v>15</v>
      </c>
      <c r="H21">
        <f>MAX(H3:H18)</f>
        <v>465281.58953160403</v>
      </c>
      <c r="I21">
        <f t="shared" ref="I21:K21" si="4">MAX(I3:I18)</f>
        <v>0</v>
      </c>
      <c r="J21">
        <f t="shared" si="4"/>
        <v>0</v>
      </c>
      <c r="K21">
        <f t="shared" si="4"/>
        <v>635222.38437040302</v>
      </c>
      <c r="M21" t="s">
        <v>15</v>
      </c>
      <c r="N21">
        <f>MAX(N3:N18)</f>
        <v>818862.97155309503</v>
      </c>
      <c r="O21">
        <f t="shared" ref="O21:Q21" si="5">MAX(O3:O18)</f>
        <v>0</v>
      </c>
      <c r="P21">
        <f t="shared" si="5"/>
        <v>0</v>
      </c>
      <c r="Q21">
        <f t="shared" si="5"/>
        <v>561864.02756490698</v>
      </c>
    </row>
    <row r="22" spans="1:17" x14ac:dyDescent="0.25">
      <c r="A22" t="s">
        <v>16</v>
      </c>
      <c r="B22">
        <f>MIN(B3:B18)</f>
        <v>6983.2236678511899</v>
      </c>
      <c r="C22">
        <f t="shared" ref="C22:D22" si="6">MIN(C3:C18)</f>
        <v>0</v>
      </c>
      <c r="D22">
        <f t="shared" si="6"/>
        <v>0</v>
      </c>
      <c r="E22">
        <f>MIN(E4:E18)</f>
        <v>14427.6036156548</v>
      </c>
      <c r="G22" t="s">
        <v>16</v>
      </c>
      <c r="H22">
        <f>MIN(H3:H18)</f>
        <v>112355.86507820799</v>
      </c>
      <c r="I22">
        <f t="shared" ref="I22:K22" si="7">MIN(I3:I18)</f>
        <v>0</v>
      </c>
      <c r="J22">
        <f t="shared" si="7"/>
        <v>0</v>
      </c>
      <c r="K22">
        <f t="shared" si="7"/>
        <v>66092.792558081303</v>
      </c>
      <c r="M22" t="s">
        <v>16</v>
      </c>
      <c r="N22">
        <f>MIN(N3:N18)</f>
        <v>158706.77688975399</v>
      </c>
      <c r="O22">
        <f t="shared" ref="O22:Q22" si="8">MIN(O3:O18)</f>
        <v>0</v>
      </c>
      <c r="P22">
        <f t="shared" si="8"/>
        <v>0</v>
      </c>
      <c r="Q22">
        <f t="shared" si="8"/>
        <v>12529.6474974832</v>
      </c>
    </row>
    <row r="23" spans="1:17" x14ac:dyDescent="0.25">
      <c r="A23" t="s">
        <v>17</v>
      </c>
      <c r="B23">
        <f>AVERAGE(B3:B18)</f>
        <v>118521.08534471483</v>
      </c>
      <c r="C23" t="e">
        <f t="shared" ref="C23:D23" si="9">AVERAGE(C3:C18)</f>
        <v>#DIV/0!</v>
      </c>
      <c r="D23" t="e">
        <f t="shared" si="9"/>
        <v>#DIV/0!</v>
      </c>
      <c r="E23">
        <f>AVERAGE(E4:E18)</f>
        <v>78076.581601743208</v>
      </c>
      <c r="G23" t="s">
        <v>17</v>
      </c>
      <c r="H23">
        <f>AVERAGE(H3:H18)</f>
        <v>278967.78605602379</v>
      </c>
      <c r="I23" t="e">
        <f t="shared" ref="I23:K23" si="10">AVERAGE(I3:I18)</f>
        <v>#DIV/0!</v>
      </c>
      <c r="J23" t="e">
        <f t="shared" si="10"/>
        <v>#DIV/0!</v>
      </c>
      <c r="K23">
        <f t="shared" si="10"/>
        <v>268587.45622046164</v>
      </c>
      <c r="M23" t="s">
        <v>17</v>
      </c>
      <c r="N23">
        <f>AVERAGE(N3:N18)</f>
        <v>414915.16725516564</v>
      </c>
      <c r="O23" t="e">
        <f t="shared" ref="O23:Q23" si="11">AVERAGE(O3:O18)</f>
        <v>#DIV/0!</v>
      </c>
      <c r="P23" t="e">
        <f t="shared" si="11"/>
        <v>#DIV/0!</v>
      </c>
      <c r="Q23">
        <f t="shared" si="11"/>
        <v>280842.99807195266</v>
      </c>
    </row>
    <row r="24" spans="1:17" x14ac:dyDescent="0.25">
      <c r="A24" t="s">
        <v>18</v>
      </c>
      <c r="B24">
        <f>STDEV(B3:B18)</f>
        <v>67790.954896345895</v>
      </c>
      <c r="C24" t="e">
        <f t="shared" ref="C24:D24" si="12">STDEV(C3:C18)</f>
        <v>#DIV/0!</v>
      </c>
      <c r="D24" t="e">
        <f t="shared" si="12"/>
        <v>#DIV/0!</v>
      </c>
      <c r="E24">
        <f>STDEV(E4:E18)</f>
        <v>84426.017678387565</v>
      </c>
      <c r="G24" t="s">
        <v>18</v>
      </c>
      <c r="H24">
        <f>STDEV(H3:H18)</f>
        <v>124129.56274305707</v>
      </c>
      <c r="I24" t="e">
        <f t="shared" ref="I24:K24" si="13">STDEV(I3:I18)</f>
        <v>#DIV/0!</v>
      </c>
      <c r="J24" t="e">
        <f t="shared" si="13"/>
        <v>#DIV/0!</v>
      </c>
      <c r="K24">
        <f t="shared" si="13"/>
        <v>225591.14003943416</v>
      </c>
      <c r="M24" t="s">
        <v>18</v>
      </c>
      <c r="N24">
        <f>STDEV(N3:N18)</f>
        <v>220118.64624888607</v>
      </c>
      <c r="O24" t="e">
        <f t="shared" ref="O24:Q24" si="14">STDEV(O3:O18)</f>
        <v>#DIV/0!</v>
      </c>
      <c r="P24" t="e">
        <f t="shared" si="14"/>
        <v>#DIV/0!</v>
      </c>
      <c r="Q24">
        <f t="shared" si="14"/>
        <v>205827.57558862129</v>
      </c>
    </row>
    <row r="25" spans="1:17" x14ac:dyDescent="0.25">
      <c r="A25" t="s">
        <v>19</v>
      </c>
      <c r="B25">
        <f>B23+2*B24</f>
        <v>254102.99513740663</v>
      </c>
      <c r="C25" t="e">
        <f t="shared" ref="C25:E25" si="15">C23+2*C24</f>
        <v>#DIV/0!</v>
      </c>
      <c r="D25" t="e">
        <f t="shared" si="15"/>
        <v>#DIV/0!</v>
      </c>
      <c r="E25">
        <f t="shared" si="15"/>
        <v>246928.61695851834</v>
      </c>
      <c r="G25" t="s">
        <v>19</v>
      </c>
      <c r="H25">
        <f>H23+2*H24</f>
        <v>527226.91154213797</v>
      </c>
      <c r="I25" t="e">
        <f t="shared" ref="I25:K25" si="16">I23+2*I24</f>
        <v>#DIV/0!</v>
      </c>
      <c r="J25" t="e">
        <f t="shared" si="16"/>
        <v>#DIV/0!</v>
      </c>
      <c r="K25">
        <f t="shared" si="16"/>
        <v>719769.7362993299</v>
      </c>
      <c r="M25" t="s">
        <v>19</v>
      </c>
      <c r="N25">
        <f>N23+2*N24</f>
        <v>855152.45975293778</v>
      </c>
      <c r="O25" t="e">
        <f t="shared" ref="O25:Q25" si="17">O23+2*O24</f>
        <v>#DIV/0!</v>
      </c>
      <c r="P25" t="e">
        <f t="shared" si="17"/>
        <v>#DIV/0!</v>
      </c>
      <c r="Q25">
        <f t="shared" si="17"/>
        <v>692498.14924919524</v>
      </c>
    </row>
    <row r="26" spans="1:17" x14ac:dyDescent="0.25">
      <c r="A26" t="s">
        <v>20</v>
      </c>
      <c r="B26">
        <f>B23-2*B24</f>
        <v>-17060.824447976964</v>
      </c>
      <c r="C26" t="e">
        <f t="shared" ref="C26:E26" si="18">C23-2*C24</f>
        <v>#DIV/0!</v>
      </c>
      <c r="D26" t="e">
        <f t="shared" si="18"/>
        <v>#DIV/0!</v>
      </c>
      <c r="E26">
        <f t="shared" si="18"/>
        <v>-90775.453755031922</v>
      </c>
      <c r="G26" t="s">
        <v>20</v>
      </c>
      <c r="H26">
        <f>H23-2*H24</f>
        <v>30708.66056990964</v>
      </c>
      <c r="I26" t="e">
        <f t="shared" ref="I26:K26" si="19">I23-2*I24</f>
        <v>#DIV/0!</v>
      </c>
      <c r="J26" t="e">
        <f t="shared" si="19"/>
        <v>#DIV/0!</v>
      </c>
      <c r="K26">
        <f t="shared" si="19"/>
        <v>-182594.82385840669</v>
      </c>
      <c r="M26" t="s">
        <v>20</v>
      </c>
      <c r="N26">
        <f>N23-2*N24</f>
        <v>-25322.125242606504</v>
      </c>
      <c r="O26" t="e">
        <f t="shared" ref="O26:Q26" si="20">O23-2*O24</f>
        <v>#DIV/0!</v>
      </c>
      <c r="P26" t="e">
        <f t="shared" si="20"/>
        <v>#DIV/0!</v>
      </c>
      <c r="Q26">
        <f t="shared" si="20"/>
        <v>-130812.15310528991</v>
      </c>
    </row>
    <row r="27" spans="1:17" x14ac:dyDescent="0.25">
      <c r="A27" t="s">
        <v>21</v>
      </c>
      <c r="B27">
        <f>VAR(B3:B18)</f>
        <v>4595613565.7584028</v>
      </c>
      <c r="C27" t="e">
        <f t="shared" ref="C27:D27" si="21">VAR(C3:C18)</f>
        <v>#DIV/0!</v>
      </c>
      <c r="D27" t="e">
        <f t="shared" si="21"/>
        <v>#DIV/0!</v>
      </c>
      <c r="E27">
        <f>VAR(E4:E18)</f>
        <v>7127752461.0314102</v>
      </c>
      <c r="G27" t="s">
        <v>21</v>
      </c>
      <c r="H27">
        <f>VAR(H3:H18)</f>
        <v>15408148346.782541</v>
      </c>
      <c r="I27" t="e">
        <f t="shared" ref="I27:K27" si="22">VAR(I3:I18)</f>
        <v>#DIV/0!</v>
      </c>
      <c r="J27" t="e">
        <f t="shared" si="22"/>
        <v>#DIV/0!</v>
      </c>
      <c r="K27">
        <f t="shared" si="22"/>
        <v>50891362464.291595</v>
      </c>
      <c r="M27" t="s">
        <v>21</v>
      </c>
      <c r="N27">
        <f>VAR(N3:N18)</f>
        <v>48452218426.442245</v>
      </c>
      <c r="O27" t="e">
        <f t="shared" ref="O27:Q27" si="23">VAR(O3:O18)</f>
        <v>#DIV/0!</v>
      </c>
      <c r="P27" t="e">
        <f t="shared" si="23"/>
        <v>#DIV/0!</v>
      </c>
      <c r="Q27">
        <f t="shared" si="23"/>
        <v>42364990872.689613</v>
      </c>
    </row>
    <row r="29" spans="1:17" x14ac:dyDescent="0.25">
      <c r="A29" t="s">
        <v>22</v>
      </c>
      <c r="G29" t="s">
        <v>23</v>
      </c>
      <c r="H29">
        <f>AVERAGE(H3:H10)</f>
        <v>278967.78605602379</v>
      </c>
      <c r="I29" t="e">
        <f t="shared" ref="I29:K29" si="24">AVERAGE(I3:I10)</f>
        <v>#DIV/0!</v>
      </c>
      <c r="J29" t="e">
        <f t="shared" si="24"/>
        <v>#DIV/0!</v>
      </c>
      <c r="K29">
        <f t="shared" si="24"/>
        <v>268587.45622046164</v>
      </c>
      <c r="M29" t="s">
        <v>23</v>
      </c>
      <c r="N29">
        <f>AVERAGE(N3:N10)</f>
        <v>414915.16725516564</v>
      </c>
      <c r="O29" t="e">
        <f t="shared" ref="O29:Q29" si="25">AVERAGE(O3:O10)</f>
        <v>#DIV/0!</v>
      </c>
      <c r="P29" t="e">
        <f t="shared" si="25"/>
        <v>#DIV/0!</v>
      </c>
      <c r="Q29">
        <f t="shared" si="25"/>
        <v>280842.99807195266</v>
      </c>
    </row>
    <row r="30" spans="1:17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26">AVERAGE(I11:I18)</f>
        <v>#DIV/0!</v>
      </c>
      <c r="J30" t="e">
        <f t="shared" si="26"/>
        <v>#DIV/0!</v>
      </c>
      <c r="K30" t="e">
        <f t="shared" si="26"/>
        <v>#DIV/0!</v>
      </c>
      <c r="M30" t="s">
        <v>24</v>
      </c>
      <c r="N30" t="e">
        <f>AVERAGE(N11:N18)</f>
        <v>#DIV/0!</v>
      </c>
      <c r="O30" t="e">
        <f t="shared" ref="O30:Q30" si="27">AVERAGE(O11:O18)</f>
        <v>#DIV/0!</v>
      </c>
      <c r="P30" t="e">
        <f t="shared" si="27"/>
        <v>#DIV/0!</v>
      </c>
      <c r="Q30" t="e">
        <f t="shared" si="27"/>
        <v>#DIV/0!</v>
      </c>
    </row>
    <row r="31" spans="1:17" x14ac:dyDescent="0.25">
      <c r="A31" t="s">
        <v>2</v>
      </c>
      <c r="B31" t="e">
        <f>TTEST(C11:C18,I11:I18,2,3)</f>
        <v>#DIV/0!</v>
      </c>
    </row>
    <row r="32" spans="1:17" x14ac:dyDescent="0.25">
      <c r="A32" t="s">
        <v>3</v>
      </c>
      <c r="B32" t="e">
        <f>TTEST(D11:D18,J11:J18,2,3)</f>
        <v>#DIV/0!</v>
      </c>
    </row>
    <row r="33" spans="1:18" x14ac:dyDescent="0.25">
      <c r="A33" t="s">
        <v>4</v>
      </c>
      <c r="B33" t="e">
        <f>TTEST(E11:E18,K11:K18,2,3)</f>
        <v>#DIV/0!</v>
      </c>
    </row>
    <row r="35" spans="1:18" x14ac:dyDescent="0.25">
      <c r="A35" t="s">
        <v>47</v>
      </c>
    </row>
    <row r="36" spans="1:18" x14ac:dyDescent="0.25">
      <c r="A36" s="1" t="s">
        <v>29</v>
      </c>
      <c r="B36" s="1" t="s">
        <v>1</v>
      </c>
      <c r="C36" s="1" t="s">
        <v>2</v>
      </c>
      <c r="D36" s="1" t="s">
        <v>3</v>
      </c>
      <c r="E36" s="1" t="s">
        <v>4</v>
      </c>
      <c r="G36" s="1" t="s">
        <v>30</v>
      </c>
      <c r="H36" s="1" t="s">
        <v>1</v>
      </c>
      <c r="I36" s="1" t="s">
        <v>2</v>
      </c>
      <c r="J36" s="1" t="s">
        <v>3</v>
      </c>
      <c r="K36" s="1" t="s">
        <v>4</v>
      </c>
      <c r="M36" s="1" t="s">
        <v>31</v>
      </c>
      <c r="N36" s="1" t="s">
        <v>1</v>
      </c>
      <c r="O36" s="1" t="s">
        <v>2</v>
      </c>
      <c r="P36" s="1" t="s">
        <v>3</v>
      </c>
      <c r="Q36" s="1" t="s">
        <v>4</v>
      </c>
      <c r="R36" s="1"/>
    </row>
    <row r="37" spans="1:18" x14ac:dyDescent="0.25">
      <c r="A37" t="s">
        <v>5</v>
      </c>
      <c r="B37" s="3">
        <f>-((B3-$B$23)/$B$23)*100</f>
        <v>-79.056517624949706</v>
      </c>
      <c r="C37" s="3"/>
      <c r="D37" s="3"/>
      <c r="E37" s="3"/>
      <c r="G37" t="s">
        <v>5</v>
      </c>
      <c r="H37" s="3">
        <f>-((H3-$H$29)/$H$29)*100</f>
        <v>-22.130056409975278</v>
      </c>
      <c r="I37" s="3"/>
      <c r="J37" s="3"/>
      <c r="K37" s="3"/>
      <c r="M37" t="s">
        <v>5</v>
      </c>
      <c r="N37" s="3">
        <f>-((N3-$N$29)/$N$29)*100</f>
        <v>27.042189626493276</v>
      </c>
      <c r="O37" s="3"/>
      <c r="P37" s="3"/>
      <c r="Q37" s="3">
        <f>-((Q3-$N$29)/$N$29)*100</f>
        <v>96.980190533797071</v>
      </c>
      <c r="R37" s="3"/>
    </row>
    <row r="38" spans="1:18" x14ac:dyDescent="0.25">
      <c r="A38" t="s">
        <v>7</v>
      </c>
      <c r="B38" s="3">
        <f t="shared" ref="B38:B44" si="28">-((B4-$B$23)/$B$23)*100</f>
        <v>-47.124489647368719</v>
      </c>
      <c r="C38" s="3"/>
      <c r="D38" s="3"/>
      <c r="E38" s="3">
        <f>-((E4-$B$23)/$B$23)*100</f>
        <v>87.82697308779062</v>
      </c>
      <c r="G38" t="s">
        <v>7</v>
      </c>
      <c r="H38" s="3">
        <f t="shared" ref="H38:K44" si="29">-((H4-$H$29)/$H$29)*100</f>
        <v>17.245877489285085</v>
      </c>
      <c r="I38" s="3"/>
      <c r="J38" s="3"/>
      <c r="K38" s="3">
        <f t="shared" si="29"/>
        <v>-87.679769018511209</v>
      </c>
      <c r="M38" t="s">
        <v>7</v>
      </c>
      <c r="N38" s="3">
        <f t="shared" ref="N38:Q44" si="30">-((N4-$N$29)/$N$29)*100</f>
        <v>20.366701950703042</v>
      </c>
      <c r="O38" s="3"/>
      <c r="P38" s="3"/>
      <c r="Q38" s="3">
        <f t="shared" si="30"/>
        <v>10.465749281717789</v>
      </c>
      <c r="R38" s="3"/>
    </row>
    <row r="39" spans="1:18" x14ac:dyDescent="0.25">
      <c r="A39" t="s">
        <v>8</v>
      </c>
      <c r="B39" s="3">
        <f t="shared" si="28"/>
        <v>-14.6524970057107</v>
      </c>
      <c r="C39" s="3"/>
      <c r="D39" s="3"/>
      <c r="E39" s="3">
        <f t="shared" ref="E39:E40" si="31">-((E5-$B$23)/$B$23)*100</f>
        <v>-61.862348713944428</v>
      </c>
      <c r="G39" t="s">
        <v>8</v>
      </c>
      <c r="H39" s="3">
        <f t="shared" si="29"/>
        <v>-53.900694265805669</v>
      </c>
      <c r="I39" s="3"/>
      <c r="J39" s="3"/>
      <c r="K39" s="3">
        <f t="shared" si="29"/>
        <v>0.24838381836340173</v>
      </c>
      <c r="M39" t="s">
        <v>8</v>
      </c>
      <c r="N39" s="3">
        <f t="shared" si="30"/>
        <v>-97.356721608952057</v>
      </c>
      <c r="O39" s="3"/>
      <c r="P39" s="3"/>
      <c r="Q39" s="3">
        <f t="shared" si="30"/>
        <v>-35.416603659458502</v>
      </c>
      <c r="R39" s="3"/>
    </row>
    <row r="40" spans="1:18" x14ac:dyDescent="0.25">
      <c r="A40" t="s">
        <v>9</v>
      </c>
      <c r="B40" s="3">
        <f t="shared" si="28"/>
        <v>51.008794277433381</v>
      </c>
      <c r="C40" s="3"/>
      <c r="D40" s="3"/>
      <c r="E40" s="3">
        <f t="shared" si="31"/>
        <v>-22.942542730659127</v>
      </c>
      <c r="G40" t="s">
        <v>9</v>
      </c>
      <c r="H40" s="3">
        <f t="shared" si="29"/>
        <v>-66.786852385229778</v>
      </c>
      <c r="I40" s="3"/>
      <c r="J40" s="3"/>
      <c r="K40" s="3">
        <f t="shared" si="29"/>
        <v>-127.70456522992023</v>
      </c>
      <c r="M40" t="s">
        <v>9</v>
      </c>
      <c r="N40" s="3">
        <f t="shared" si="30"/>
        <v>-50.143656434296126</v>
      </c>
      <c r="O40" s="3"/>
      <c r="P40" s="3"/>
      <c r="Q40" s="3">
        <f t="shared" si="30"/>
        <v>7.4686224104037757</v>
      </c>
      <c r="R40" s="3"/>
    </row>
    <row r="41" spans="1:18" x14ac:dyDescent="0.25">
      <c r="A41" t="s">
        <v>10</v>
      </c>
      <c r="B41" s="3">
        <f t="shared" si="28"/>
        <v>-33.28921857319591</v>
      </c>
      <c r="C41" s="3"/>
      <c r="D41" s="3"/>
      <c r="E41" s="3"/>
      <c r="G41" t="s">
        <v>10</v>
      </c>
      <c r="H41" s="3">
        <f t="shared" si="29"/>
        <v>40.463228090003099</v>
      </c>
      <c r="I41" s="3"/>
      <c r="J41" s="3"/>
      <c r="K41" s="3">
        <f t="shared" si="29"/>
        <v>58.090466812576459</v>
      </c>
      <c r="M41" t="s">
        <v>10</v>
      </c>
      <c r="N41" s="3">
        <f t="shared" si="30"/>
        <v>-26.001814607591019</v>
      </c>
      <c r="O41" s="3"/>
      <c r="P41" s="3"/>
      <c r="Q41" s="3">
        <f t="shared" si="30"/>
        <v>1.7904128232271019</v>
      </c>
      <c r="R41" s="3"/>
    </row>
    <row r="42" spans="1:18" x14ac:dyDescent="0.25">
      <c r="A42" t="s">
        <v>11</v>
      </c>
      <c r="B42" s="3">
        <f t="shared" si="28"/>
        <v>-10.27984198092941</v>
      </c>
      <c r="C42" s="3"/>
      <c r="D42" s="3"/>
      <c r="E42" s="3"/>
      <c r="G42" t="s">
        <v>11</v>
      </c>
      <c r="H42" s="3">
        <f t="shared" si="29"/>
        <v>22.175881607930179</v>
      </c>
      <c r="I42" s="3"/>
      <c r="J42" s="3"/>
      <c r="K42" s="3">
        <f t="shared" si="29"/>
        <v>76.308091521073266</v>
      </c>
      <c r="M42" t="s">
        <v>11</v>
      </c>
      <c r="N42" s="3">
        <f t="shared" si="30"/>
        <v>30.895962498109832</v>
      </c>
      <c r="O42" s="3"/>
      <c r="P42" s="3"/>
      <c r="Q42" s="3">
        <f t="shared" si="30"/>
        <v>92.966883411462277</v>
      </c>
      <c r="R42" s="3"/>
    </row>
    <row r="43" spans="1:18" x14ac:dyDescent="0.25">
      <c r="A43" t="s">
        <v>12</v>
      </c>
      <c r="B43" s="3">
        <f t="shared" si="28"/>
        <v>39.285737918621535</v>
      </c>
      <c r="C43" s="3"/>
      <c r="D43" s="3"/>
      <c r="E43" s="3">
        <f t="shared" ref="E43:E44" si="32">-((E9-$B$23)/$B$23)*100</f>
        <v>81.905889982199696</v>
      </c>
      <c r="G43" t="s">
        <v>12</v>
      </c>
      <c r="H43" s="3">
        <f t="shared" si="29"/>
        <v>3.2081855611269186</v>
      </c>
      <c r="I43" s="3"/>
      <c r="J43" s="3"/>
      <c r="K43" s="3">
        <f t="shared" si="29"/>
        <v>38.593110195544398</v>
      </c>
      <c r="M43" t="s">
        <v>12</v>
      </c>
      <c r="N43" s="3">
        <f t="shared" si="30"/>
        <v>61.749584152426976</v>
      </c>
      <c r="O43" s="3"/>
      <c r="P43" s="3"/>
      <c r="Q43" s="3">
        <f t="shared" si="30"/>
        <v>77.897323453803111</v>
      </c>
      <c r="R43" s="3"/>
    </row>
    <row r="44" spans="1:18" x14ac:dyDescent="0.25">
      <c r="A44" t="s">
        <v>13</v>
      </c>
      <c r="B44" s="3">
        <f t="shared" si="28"/>
        <v>94.108032636099566</v>
      </c>
      <c r="C44" s="3"/>
      <c r="D44" s="3"/>
      <c r="E44" s="3">
        <f t="shared" si="32"/>
        <v>85.693583287564266</v>
      </c>
      <c r="G44" t="s">
        <v>13</v>
      </c>
      <c r="H44" s="3">
        <f t="shared" si="29"/>
        <v>59.724430312665532</v>
      </c>
      <c r="I44" s="3"/>
      <c r="J44" s="3"/>
      <c r="K44" s="3">
        <f t="shared" si="29"/>
        <v>68.1911276231763</v>
      </c>
      <c r="M44" t="s">
        <v>13</v>
      </c>
      <c r="N44" s="3">
        <f t="shared" si="30"/>
        <v>33.447754423106076</v>
      </c>
      <c r="O44" s="3"/>
      <c r="P44" s="3"/>
      <c r="Q44" s="3">
        <f t="shared" si="30"/>
        <v>6.3526387418719885</v>
      </c>
      <c r="R44" s="3"/>
    </row>
    <row r="45" spans="1:18" x14ac:dyDescent="0.25">
      <c r="A45" t="s">
        <v>5</v>
      </c>
      <c r="B45" s="3"/>
      <c r="C45" s="3"/>
      <c r="D45" s="3"/>
      <c r="E45" s="3"/>
      <c r="G45" t="s">
        <v>5</v>
      </c>
      <c r="H45" s="3"/>
      <c r="I45" s="3"/>
      <c r="J45" s="3"/>
      <c r="K45" s="3"/>
      <c r="M45" t="s">
        <v>5</v>
      </c>
      <c r="N45" s="3"/>
      <c r="O45" s="3"/>
      <c r="P45" s="3"/>
      <c r="Q45" s="3"/>
    </row>
    <row r="46" spans="1:18" x14ac:dyDescent="0.25">
      <c r="A46" t="s">
        <v>7</v>
      </c>
      <c r="B46" s="3"/>
      <c r="C46" s="3"/>
      <c r="D46" s="3"/>
      <c r="E46" s="3"/>
      <c r="G46" t="s">
        <v>7</v>
      </c>
      <c r="H46" s="3"/>
      <c r="I46" s="3"/>
      <c r="J46" s="3"/>
      <c r="K46" s="3"/>
      <c r="M46" t="s">
        <v>7</v>
      </c>
      <c r="N46" s="3"/>
      <c r="O46" s="3"/>
      <c r="P46" s="3"/>
      <c r="Q46" s="3"/>
    </row>
    <row r="47" spans="1:18" x14ac:dyDescent="0.25">
      <c r="A47" t="s">
        <v>8</v>
      </c>
      <c r="B47" s="3"/>
      <c r="C47" s="3"/>
      <c r="D47" s="3"/>
      <c r="E47" s="3"/>
      <c r="G47" t="s">
        <v>8</v>
      </c>
      <c r="H47" s="3"/>
      <c r="I47" s="3"/>
      <c r="J47" s="3"/>
      <c r="K47" s="3"/>
      <c r="M47" t="s">
        <v>8</v>
      </c>
      <c r="N47" s="3"/>
      <c r="O47" s="3"/>
      <c r="P47" s="3"/>
      <c r="Q47" s="3"/>
    </row>
    <row r="48" spans="1:18" x14ac:dyDescent="0.25">
      <c r="A48" t="s">
        <v>9</v>
      </c>
      <c r="B48" s="3"/>
      <c r="C48" s="3"/>
      <c r="D48" s="3"/>
      <c r="E48" s="3"/>
      <c r="G48" t="s">
        <v>9</v>
      </c>
      <c r="H48" s="3"/>
      <c r="I48" s="3"/>
      <c r="J48" s="3"/>
      <c r="K48" s="3"/>
      <c r="M48" t="s">
        <v>9</v>
      </c>
      <c r="N48" s="3"/>
      <c r="O48" s="3"/>
      <c r="P48" s="3"/>
      <c r="Q48" s="3"/>
    </row>
    <row r="49" spans="1:17" x14ac:dyDescent="0.25">
      <c r="A49" t="s">
        <v>10</v>
      </c>
      <c r="B49" s="3"/>
      <c r="C49" s="3"/>
      <c r="D49" s="3"/>
      <c r="E49" s="3"/>
      <c r="G49" t="s">
        <v>10</v>
      </c>
      <c r="H49" s="3"/>
      <c r="I49" s="3"/>
      <c r="J49" s="3"/>
      <c r="K49" s="3"/>
      <c r="M49" t="s">
        <v>10</v>
      </c>
      <c r="N49" s="3"/>
      <c r="O49" s="3"/>
      <c r="P49" s="3"/>
      <c r="Q49" s="3"/>
    </row>
    <row r="50" spans="1:17" x14ac:dyDescent="0.25">
      <c r="A50" t="s">
        <v>11</v>
      </c>
      <c r="B50" s="3"/>
      <c r="C50" s="3"/>
      <c r="D50" s="3"/>
      <c r="E50" s="3"/>
      <c r="G50" t="s">
        <v>11</v>
      </c>
      <c r="H50" s="3"/>
      <c r="I50" s="3"/>
      <c r="J50" s="3"/>
      <c r="K50" s="3"/>
      <c r="M50" t="s">
        <v>11</v>
      </c>
      <c r="N50" s="3"/>
      <c r="O50" s="3"/>
      <c r="P50" s="3"/>
      <c r="Q50" s="3"/>
    </row>
    <row r="51" spans="1:17" x14ac:dyDescent="0.25">
      <c r="A51" t="s">
        <v>12</v>
      </c>
      <c r="B51" s="3"/>
      <c r="C51" s="3"/>
      <c r="D51" s="3"/>
      <c r="E51" s="3"/>
      <c r="G51" t="s">
        <v>12</v>
      </c>
      <c r="H51" s="3"/>
      <c r="I51" s="3"/>
      <c r="J51" s="3"/>
      <c r="K51" s="3"/>
      <c r="M51" t="s">
        <v>12</v>
      </c>
      <c r="N51" s="3"/>
      <c r="O51" s="3"/>
      <c r="P51" s="3"/>
      <c r="Q51" s="3"/>
    </row>
    <row r="52" spans="1:17" x14ac:dyDescent="0.25">
      <c r="A52" t="s">
        <v>13</v>
      </c>
      <c r="B52" s="3"/>
      <c r="C52" s="3"/>
      <c r="D52" s="3"/>
      <c r="E52" s="3"/>
      <c r="G52" t="s">
        <v>13</v>
      </c>
      <c r="H52" s="3"/>
      <c r="I52" s="3"/>
      <c r="J52" s="3"/>
      <c r="K52" s="3"/>
      <c r="M52" t="s">
        <v>13</v>
      </c>
      <c r="N52" s="3"/>
      <c r="O52" s="3"/>
      <c r="P52" s="3"/>
      <c r="Q52" s="3"/>
    </row>
    <row r="53" spans="1:17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</row>
    <row r="54" spans="1:17" x14ac:dyDescent="0.25">
      <c r="A54" t="s">
        <v>14</v>
      </c>
      <c r="B54">
        <f>COUNT(B37:B52)</f>
        <v>8</v>
      </c>
      <c r="C54">
        <f t="shared" ref="C54:E54" si="33">COUNT(C37:C52)</f>
        <v>0</v>
      </c>
      <c r="D54">
        <f t="shared" si="33"/>
        <v>0</v>
      </c>
      <c r="E54">
        <f t="shared" si="33"/>
        <v>5</v>
      </c>
      <c r="G54" t="s">
        <v>14</v>
      </c>
      <c r="H54">
        <f>COUNT(H37:H52)</f>
        <v>8</v>
      </c>
      <c r="I54">
        <f t="shared" ref="I54:K54" si="34">COUNT(I37:I52)</f>
        <v>0</v>
      </c>
      <c r="J54">
        <f t="shared" si="34"/>
        <v>0</v>
      </c>
      <c r="K54">
        <f t="shared" si="34"/>
        <v>7</v>
      </c>
      <c r="M54" t="s">
        <v>14</v>
      </c>
      <c r="N54">
        <f>COUNT(N37:N52)</f>
        <v>8</v>
      </c>
      <c r="O54">
        <f t="shared" ref="O54:Q54" si="35">COUNT(O37:O52)</f>
        <v>0</v>
      </c>
      <c r="P54">
        <f t="shared" si="35"/>
        <v>0</v>
      </c>
      <c r="Q54">
        <f t="shared" si="35"/>
        <v>8</v>
      </c>
    </row>
    <row r="55" spans="1:17" x14ac:dyDescent="0.25">
      <c r="A55" t="s">
        <v>15</v>
      </c>
      <c r="B55">
        <f>MAX(B37:B52)</f>
        <v>94.108032636099566</v>
      </c>
      <c r="C55">
        <f t="shared" ref="C55:E55" si="36">MAX(C37:C52)</f>
        <v>0</v>
      </c>
      <c r="D55">
        <f t="shared" si="36"/>
        <v>0</v>
      </c>
      <c r="E55">
        <f t="shared" si="36"/>
        <v>87.82697308779062</v>
      </c>
      <c r="G55" t="s">
        <v>15</v>
      </c>
      <c r="H55">
        <f>MAX(H37:H52)</f>
        <v>59.724430312665532</v>
      </c>
      <c r="I55">
        <f t="shared" ref="I55:K55" si="37">MAX(I37:I52)</f>
        <v>0</v>
      </c>
      <c r="J55">
        <f t="shared" si="37"/>
        <v>0</v>
      </c>
      <c r="K55">
        <f t="shared" si="37"/>
        <v>76.308091521073266</v>
      </c>
      <c r="M55" t="s">
        <v>15</v>
      </c>
      <c r="N55">
        <f>MAX(N37:N52)</f>
        <v>61.749584152426976</v>
      </c>
      <c r="O55">
        <f t="shared" ref="O55:Q55" si="38">MAX(O37:O52)</f>
        <v>0</v>
      </c>
      <c r="P55">
        <f t="shared" si="38"/>
        <v>0</v>
      </c>
      <c r="Q55">
        <f t="shared" si="38"/>
        <v>96.980190533797071</v>
      </c>
    </row>
    <row r="56" spans="1:17" x14ac:dyDescent="0.25">
      <c r="A56" t="s">
        <v>16</v>
      </c>
      <c r="B56">
        <f>MIN(B37:B52)</f>
        <v>-79.056517624949706</v>
      </c>
      <c r="C56">
        <f t="shared" ref="C56:E56" si="39">MIN(C37:C52)</f>
        <v>0</v>
      </c>
      <c r="D56">
        <f t="shared" si="39"/>
        <v>0</v>
      </c>
      <c r="E56">
        <f t="shared" si="39"/>
        <v>-61.862348713944428</v>
      </c>
      <c r="G56" t="s">
        <v>16</v>
      </c>
      <c r="H56">
        <f>MIN(H37:H52)</f>
        <v>-66.786852385229778</v>
      </c>
      <c r="I56">
        <f t="shared" ref="I56:K56" si="40">MIN(I37:I52)</f>
        <v>0</v>
      </c>
      <c r="J56">
        <f t="shared" si="40"/>
        <v>0</v>
      </c>
      <c r="K56">
        <f t="shared" si="40"/>
        <v>-127.70456522992023</v>
      </c>
      <c r="M56" t="s">
        <v>16</v>
      </c>
      <c r="N56">
        <f>MIN(N37:N52)</f>
        <v>-97.356721608952057</v>
      </c>
      <c r="O56">
        <f t="shared" ref="O56:Q56" si="41">MIN(O37:O52)</f>
        <v>0</v>
      </c>
      <c r="P56">
        <f t="shared" si="41"/>
        <v>0</v>
      </c>
      <c r="Q56">
        <f t="shared" si="41"/>
        <v>-35.416603659458502</v>
      </c>
    </row>
    <row r="57" spans="1:17" x14ac:dyDescent="0.25">
      <c r="A57" t="s">
        <v>17</v>
      </c>
      <c r="B57">
        <f>AVERAGE(B37:B52)</f>
        <v>0</v>
      </c>
      <c r="C57" t="e">
        <f t="shared" ref="C57:E57" si="42">AVERAGE(C37:C52)</f>
        <v>#DIV/0!</v>
      </c>
      <c r="D57" t="e">
        <f t="shared" si="42"/>
        <v>#DIV/0!</v>
      </c>
      <c r="E57">
        <f t="shared" si="42"/>
        <v>34.124310982590202</v>
      </c>
      <c r="G57" t="s">
        <v>17</v>
      </c>
      <c r="H57">
        <f>AVERAGE(H37:H52)</f>
        <v>1.1546319456101628E-14</v>
      </c>
      <c r="I57" t="e">
        <f t="shared" ref="I57:K57" si="43">AVERAGE(I37:I52)</f>
        <v>#DIV/0!</v>
      </c>
      <c r="J57" t="e">
        <f t="shared" si="43"/>
        <v>#DIV/0!</v>
      </c>
      <c r="K57">
        <f t="shared" si="43"/>
        <v>3.7209779603289155</v>
      </c>
      <c r="M57" t="s">
        <v>17</v>
      </c>
      <c r="N57">
        <f>AVERAGE(N37:N52)</f>
        <v>0</v>
      </c>
      <c r="O57" t="e">
        <f t="shared" ref="O57:Q57" si="44">AVERAGE(O37:O52)</f>
        <v>#DIV/0!</v>
      </c>
      <c r="P57" t="e">
        <f t="shared" si="44"/>
        <v>#DIV/0!</v>
      </c>
      <c r="Q57">
        <f t="shared" si="44"/>
        <v>32.313152124603079</v>
      </c>
    </row>
    <row r="58" spans="1:17" x14ac:dyDescent="0.25">
      <c r="A58" t="s">
        <v>18</v>
      </c>
      <c r="B58">
        <f>STDEV(B37:B52)</f>
        <v>57.197379436053978</v>
      </c>
      <c r="C58" t="e">
        <f t="shared" ref="C58:D58" si="45">STDEV(C37:C52)</f>
        <v>#DIV/0!</v>
      </c>
      <c r="D58" t="e">
        <f t="shared" si="45"/>
        <v>#DIV/0!</v>
      </c>
      <c r="E58">
        <f>STDEV(E37:E52)</f>
        <v>71.232909682557477</v>
      </c>
      <c r="G58" t="s">
        <v>18</v>
      </c>
      <c r="H58">
        <f>STDEV(H37:H52)</f>
        <v>44.496020310434282</v>
      </c>
      <c r="I58" t="e">
        <f t="shared" ref="I58:K58" si="46">STDEV(I37:I52)</f>
        <v>#DIV/0!</v>
      </c>
      <c r="J58" t="e">
        <f t="shared" si="46"/>
        <v>#DIV/0!</v>
      </c>
      <c r="K58">
        <f t="shared" si="46"/>
        <v>80.866376447540674</v>
      </c>
      <c r="M58" t="s">
        <v>18</v>
      </c>
      <c r="N58">
        <f>STDEV(N37:N52)</f>
        <v>53.051482235528169</v>
      </c>
      <c r="O58" t="e">
        <f t="shared" ref="O58:Q58" si="47">STDEV(O37:O52)</f>
        <v>#DIV/0!</v>
      </c>
      <c r="P58" t="e">
        <f t="shared" si="47"/>
        <v>#DIV/0!</v>
      </c>
      <c r="Q58">
        <f t="shared" si="47"/>
        <v>49.607146672958542</v>
      </c>
    </row>
    <row r="59" spans="1:17" x14ac:dyDescent="0.25">
      <c r="A59" t="s">
        <v>19</v>
      </c>
      <c r="B59">
        <f>B57+2*B58</f>
        <v>114.39475887210796</v>
      </c>
      <c r="C59" t="e">
        <f t="shared" ref="C59:E59" si="48">C57+2*C58</f>
        <v>#DIV/0!</v>
      </c>
      <c r="D59" t="e">
        <f t="shared" si="48"/>
        <v>#DIV/0!</v>
      </c>
      <c r="E59">
        <f t="shared" si="48"/>
        <v>176.59013034770516</v>
      </c>
      <c r="G59" t="s">
        <v>19</v>
      </c>
      <c r="H59">
        <f>H57+2*H58</f>
        <v>88.992040620868579</v>
      </c>
      <c r="I59" t="e">
        <f t="shared" ref="I59:K59" si="49">I57+2*I58</f>
        <v>#DIV/0!</v>
      </c>
      <c r="J59" t="e">
        <f t="shared" si="49"/>
        <v>#DIV/0!</v>
      </c>
      <c r="K59">
        <f t="shared" si="49"/>
        <v>165.45373085541027</v>
      </c>
      <c r="M59" t="s">
        <v>19</v>
      </c>
      <c r="N59">
        <f>N57+2*N58</f>
        <v>106.10296447105634</v>
      </c>
      <c r="O59" t="e">
        <f t="shared" ref="O59:Q59" si="50">O57+2*O58</f>
        <v>#DIV/0!</v>
      </c>
      <c r="P59" t="e">
        <f t="shared" si="50"/>
        <v>#DIV/0!</v>
      </c>
      <c r="Q59">
        <f t="shared" si="50"/>
        <v>131.52744547052015</v>
      </c>
    </row>
    <row r="60" spans="1:17" x14ac:dyDescent="0.25">
      <c r="A60" t="s">
        <v>20</v>
      </c>
      <c r="B60">
        <f>B57-2*B58</f>
        <v>-114.39475887210796</v>
      </c>
      <c r="C60" t="e">
        <f t="shared" ref="C60:E60" si="51">C57-2*C58</f>
        <v>#DIV/0!</v>
      </c>
      <c r="D60" t="e">
        <f t="shared" si="51"/>
        <v>#DIV/0!</v>
      </c>
      <c r="E60">
        <f t="shared" si="51"/>
        <v>-108.34150838252475</v>
      </c>
      <c r="G60" t="s">
        <v>20</v>
      </c>
      <c r="H60">
        <f>H57-2*H58</f>
        <v>-88.992040620868551</v>
      </c>
      <c r="I60" t="e">
        <f t="shared" ref="I60:K60" si="52">I57-2*I58</f>
        <v>#DIV/0!</v>
      </c>
      <c r="J60" t="e">
        <f t="shared" si="52"/>
        <v>#DIV/0!</v>
      </c>
      <c r="K60">
        <f t="shared" si="52"/>
        <v>-158.01177493475242</v>
      </c>
      <c r="M60" t="s">
        <v>20</v>
      </c>
      <c r="N60">
        <f>N57-2*N58</f>
        <v>-106.10296447105634</v>
      </c>
      <c r="O60" t="e">
        <f t="shared" ref="O60:Q60" si="53">O57-2*O58</f>
        <v>#DIV/0!</v>
      </c>
      <c r="P60" t="e">
        <f t="shared" si="53"/>
        <v>#DIV/0!</v>
      </c>
      <c r="Q60">
        <f t="shared" si="53"/>
        <v>-66.901141221314006</v>
      </c>
    </row>
    <row r="61" spans="1:17" x14ac:dyDescent="0.25">
      <c r="A61" t="s">
        <v>21</v>
      </c>
      <c r="B61">
        <f>VAR(B37:B52)</f>
        <v>3271.5402143519309</v>
      </c>
      <c r="C61" t="e">
        <f t="shared" ref="C61:E61" si="54">VAR(C37:C52)</f>
        <v>#DIV/0!</v>
      </c>
      <c r="D61" t="e">
        <f t="shared" si="54"/>
        <v>#DIV/0!</v>
      </c>
      <c r="E61">
        <f t="shared" si="54"/>
        <v>5074.1274218433909</v>
      </c>
      <c r="G61" t="s">
        <v>21</v>
      </c>
      <c r="H61">
        <f>VAR(H37:H52)</f>
        <v>1979.8958234665804</v>
      </c>
      <c r="I61" t="e">
        <f t="shared" ref="I61:K61" si="55">VAR(I37:I52)</f>
        <v>#DIV/0!</v>
      </c>
      <c r="J61" t="e">
        <f t="shared" si="55"/>
        <v>#DIV/0!</v>
      </c>
      <c r="K61">
        <f t="shared" si="55"/>
        <v>6539.370839755361</v>
      </c>
      <c r="M61" t="s">
        <v>21</v>
      </c>
      <c r="N61">
        <f>VAR(N37:N52)</f>
        <v>2814.459767386561</v>
      </c>
      <c r="O61" t="e">
        <f t="shared" ref="O61:Q61" si="56">VAR(O37:O52)</f>
        <v>#DIV/0!</v>
      </c>
      <c r="P61" t="e">
        <f t="shared" si="56"/>
        <v>#DIV/0!</v>
      </c>
      <c r="Q61">
        <f t="shared" si="56"/>
        <v>2460.8690010324217</v>
      </c>
    </row>
    <row r="63" spans="1:17" x14ac:dyDescent="0.25">
      <c r="A63" t="s">
        <v>22</v>
      </c>
    </row>
    <row r="64" spans="1:17" x14ac:dyDescent="0.25">
      <c r="A64" t="s">
        <v>1</v>
      </c>
      <c r="B64" t="e">
        <f>TTEST(B45:B52,H45:H52,2,3)</f>
        <v>#DIV/0!</v>
      </c>
    </row>
    <row r="65" spans="1:2" x14ac:dyDescent="0.25">
      <c r="A65" t="s">
        <v>2</v>
      </c>
      <c r="B65" t="e">
        <f>TTEST(C45:C52,I45:I52,2,3)</f>
        <v>#DIV/0!</v>
      </c>
    </row>
    <row r="66" spans="1:2" x14ac:dyDescent="0.25">
      <c r="A66" t="s">
        <v>3</v>
      </c>
      <c r="B66" t="e">
        <f>TTEST(D45:D52,J45:J52,2,3)</f>
        <v>#DIV/0!</v>
      </c>
    </row>
    <row r="67" spans="1:2" x14ac:dyDescent="0.25">
      <c r="A67" t="s">
        <v>4</v>
      </c>
      <c r="B67" t="e">
        <f>TTEST(E45:E52,K45:K52,2,3)</f>
        <v>#DIV/0!</v>
      </c>
    </row>
  </sheetData>
  <conditionalFormatting sqref="B30:B33">
    <cfRule type="cellIs" dxfId="61" priority="16" operator="lessThan">
      <formula>0.05</formula>
    </cfRule>
  </conditionalFormatting>
  <conditionalFormatting sqref="B64:B67">
    <cfRule type="cellIs" dxfId="60" priority="6" operator="lessThan">
      <formula>0.05</formula>
    </cfRule>
  </conditionalFormatting>
  <conditionalFormatting sqref="B7:E7 B8:D10 E9:E10 B11:E18">
    <cfRule type="cellIs" dxfId="59" priority="14" operator="lessThan">
      <formula>B$26</formula>
    </cfRule>
    <cfRule type="cellIs" dxfId="58" priority="15" operator="greaterThan">
      <formula>B$25</formula>
    </cfRule>
  </conditionalFormatting>
  <conditionalFormatting sqref="B37:E52">
    <cfRule type="cellIs" dxfId="57" priority="3" operator="lessThan">
      <formula>B$60</formula>
    </cfRule>
  </conditionalFormatting>
  <conditionalFormatting sqref="B45:E52">
    <cfRule type="cellIs" dxfId="56" priority="5" operator="greaterThan">
      <formula>B$59</formula>
    </cfRule>
  </conditionalFormatting>
  <conditionalFormatting sqref="H7:K18">
    <cfRule type="cellIs" dxfId="55" priority="12" operator="lessThan">
      <formula>H$26</formula>
    </cfRule>
    <cfRule type="cellIs" dxfId="54" priority="13" operator="greaterThan">
      <formula>H$25</formula>
    </cfRule>
  </conditionalFormatting>
  <conditionalFormatting sqref="H37:K52">
    <cfRule type="cellIs" dxfId="53" priority="4" operator="greaterThan">
      <formula>H$59</formula>
    </cfRule>
  </conditionalFormatting>
  <conditionalFormatting sqref="H45:K52">
    <cfRule type="cellIs" dxfId="52" priority="9" operator="lessThan">
      <formula>H$60</formula>
    </cfRule>
  </conditionalFormatting>
  <conditionalFormatting sqref="N7:Q18">
    <cfRule type="cellIs" dxfId="51" priority="10" operator="lessThan">
      <formula>N$26</formula>
    </cfRule>
    <cfRule type="cellIs" dxfId="50" priority="11" operator="greaterThan">
      <formula>N$25</formula>
    </cfRule>
  </conditionalFormatting>
  <conditionalFormatting sqref="N37:R52">
    <cfRule type="cellIs" dxfId="49" priority="1" operator="lessThan">
      <formula>N$60</formula>
    </cfRule>
    <cfRule type="cellIs" dxfId="48" priority="2" operator="greaterThan">
      <formula>N$59</formula>
    </cfRule>
  </conditionalFormatting>
  <conditionalFormatting sqref="R53">
    <cfRule type="cellIs" dxfId="47" priority="7" operator="lessThan">
      <formula>R$60</formula>
    </cfRule>
    <cfRule type="cellIs" dxfId="46" priority="8" operator="greaterThan">
      <formula>R$59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2B13-ADEE-403B-828A-DCB67CBA7AB0}">
  <sheetPr codeName="Sheet11"/>
  <dimension ref="A1:Q49"/>
  <sheetViews>
    <sheetView workbookViewId="0">
      <selection activeCell="E24" sqref="E24"/>
    </sheetView>
  </sheetViews>
  <sheetFormatPr defaultRowHeight="15" x14ac:dyDescent="0.25"/>
  <sheetData>
    <row r="1" spans="1:17" x14ac:dyDescent="0.25">
      <c r="A1" s="1" t="s">
        <v>29</v>
      </c>
      <c r="B1" s="1" t="s">
        <v>1</v>
      </c>
      <c r="E1" s="1" t="s">
        <v>30</v>
      </c>
      <c r="F1" s="1" t="s">
        <v>1</v>
      </c>
      <c r="I1" s="1" t="s">
        <v>31</v>
      </c>
      <c r="J1" s="1" t="s">
        <v>1</v>
      </c>
      <c r="P1" t="s">
        <v>35</v>
      </c>
    </row>
    <row r="2" spans="1:17" x14ac:dyDescent="0.25">
      <c r="B2" t="s">
        <v>33</v>
      </c>
      <c r="C2" t="s">
        <v>34</v>
      </c>
      <c r="F2" t="s">
        <v>33</v>
      </c>
      <c r="G2" t="s">
        <v>34</v>
      </c>
      <c r="J2" t="s">
        <v>33</v>
      </c>
      <c r="K2" t="s">
        <v>34</v>
      </c>
      <c r="P2" t="s">
        <v>33</v>
      </c>
      <c r="Q2" t="s">
        <v>34</v>
      </c>
    </row>
    <row r="3" spans="1:17" x14ac:dyDescent="0.25">
      <c r="A3" t="s">
        <v>5</v>
      </c>
      <c r="B3" s="6">
        <v>96133.766555786104</v>
      </c>
      <c r="C3">
        <v>212219.72806954099</v>
      </c>
      <c r="E3" t="s">
        <v>5</v>
      </c>
      <c r="F3">
        <v>166671.22535705601</v>
      </c>
      <c r="G3" s="6">
        <v>340703.51447588101</v>
      </c>
      <c r="I3" t="s">
        <v>5</v>
      </c>
      <c r="J3">
        <v>281096.76475524902</v>
      </c>
      <c r="K3" s="6">
        <v>302713.02093694202</v>
      </c>
      <c r="P3" s="6">
        <v>96133.766555786104</v>
      </c>
      <c r="Q3">
        <v>212219.72806954099</v>
      </c>
    </row>
    <row r="4" spans="1:17" x14ac:dyDescent="0.25">
      <c r="A4" t="s">
        <v>7</v>
      </c>
      <c r="B4" s="6">
        <v>82930.819702148394</v>
      </c>
      <c r="C4">
        <v>174373.541937934</v>
      </c>
      <c r="E4" t="s">
        <v>7</v>
      </c>
      <c r="F4">
        <v>266049.422836304</v>
      </c>
      <c r="G4" s="6">
        <v>230857.34343823101</v>
      </c>
      <c r="I4" t="s">
        <v>7</v>
      </c>
      <c r="J4">
        <v>278412.348175049</v>
      </c>
      <c r="K4" s="6">
        <v>330410.63179204502</v>
      </c>
      <c r="P4" s="6">
        <v>82930.819702148394</v>
      </c>
      <c r="Q4">
        <v>174373.541937934</v>
      </c>
    </row>
    <row r="5" spans="1:17" x14ac:dyDescent="0.25">
      <c r="A5" t="s">
        <v>8</v>
      </c>
      <c r="B5" s="6">
        <v>69740.0470733642</v>
      </c>
      <c r="C5">
        <v>135887.38382598499</v>
      </c>
      <c r="E5" t="s">
        <v>8</v>
      </c>
      <c r="F5">
        <v>436744.229507446</v>
      </c>
      <c r="G5" s="6">
        <v>429333.35951816803</v>
      </c>
      <c r="I5" t="s">
        <v>8</v>
      </c>
      <c r="J5">
        <v>353722.10311889602</v>
      </c>
      <c r="K5" s="6">
        <v>818862.97155309503</v>
      </c>
      <c r="P5" s="6">
        <v>69740.0470733642</v>
      </c>
      <c r="Q5">
        <v>135887.38382598499</v>
      </c>
    </row>
    <row r="6" spans="1:17" x14ac:dyDescent="0.25">
      <c r="A6" t="s">
        <v>9</v>
      </c>
      <c r="B6" s="6">
        <v>109184.535598755</v>
      </c>
      <c r="C6">
        <v>58064.908745847999</v>
      </c>
      <c r="E6" t="s">
        <v>9</v>
      </c>
      <c r="F6">
        <v>276348.81706237799</v>
      </c>
      <c r="G6" s="6">
        <v>465281.58953160403</v>
      </c>
      <c r="I6" t="s">
        <v>9</v>
      </c>
      <c r="J6">
        <v>373146.07887268101</v>
      </c>
      <c r="K6" s="6">
        <v>622968.80321738101</v>
      </c>
      <c r="P6" s="6">
        <v>109184.535598755</v>
      </c>
      <c r="Q6">
        <v>58064.908745847999</v>
      </c>
    </row>
    <row r="7" spans="1:17" x14ac:dyDescent="0.25">
      <c r="A7" t="s">
        <v>10</v>
      </c>
      <c r="B7">
        <v>42646.309661865198</v>
      </c>
      <c r="C7">
        <v>157975.82850044101</v>
      </c>
      <c r="E7" t="s">
        <v>10</v>
      </c>
      <c r="F7">
        <v>161491.092681885</v>
      </c>
      <c r="G7">
        <v>166088.41448654301</v>
      </c>
      <c r="I7" t="s">
        <v>10</v>
      </c>
      <c r="J7">
        <v>74634.085464477495</v>
      </c>
      <c r="K7">
        <v>522800.63982362999</v>
      </c>
      <c r="P7">
        <v>42646.309661865198</v>
      </c>
      <c r="Q7">
        <v>157975.82850044101</v>
      </c>
    </row>
    <row r="8" spans="1:17" x14ac:dyDescent="0.25">
      <c r="A8" t="s">
        <v>11</v>
      </c>
      <c r="B8">
        <v>22631.8840026855</v>
      </c>
      <c r="C8">
        <v>130704.865632234</v>
      </c>
      <c r="E8" t="s">
        <v>11</v>
      </c>
      <c r="F8">
        <v>93589.353561401396</v>
      </c>
      <c r="G8">
        <v>217104.22009597599</v>
      </c>
      <c r="I8" t="s">
        <v>11</v>
      </c>
      <c r="J8">
        <v>176928.00979614299</v>
      </c>
      <c r="K8">
        <v>286723.13278103998</v>
      </c>
      <c r="P8">
        <v>22631.8840026855</v>
      </c>
      <c r="Q8">
        <v>130704.865632234</v>
      </c>
    </row>
    <row r="9" spans="1:17" x14ac:dyDescent="0.25">
      <c r="A9" t="s">
        <v>12</v>
      </c>
      <c r="B9">
        <v>34282.6171875</v>
      </c>
      <c r="C9">
        <v>71959.202377884401</v>
      </c>
      <c r="E9" t="s">
        <v>12</v>
      </c>
      <c r="F9">
        <v>76703.703689575195</v>
      </c>
      <c r="G9">
        <v>270017.981823579</v>
      </c>
      <c r="I9" t="s">
        <v>12</v>
      </c>
      <c r="J9">
        <v>121711.812973022</v>
      </c>
      <c r="K9">
        <v>158706.77688975399</v>
      </c>
      <c r="P9">
        <v>34282.6171875</v>
      </c>
      <c r="Q9">
        <v>71959.202377884401</v>
      </c>
    </row>
    <row r="10" spans="1:17" x14ac:dyDescent="0.25">
      <c r="A10" t="s">
        <v>13</v>
      </c>
      <c r="B10">
        <v>9173.2784271240198</v>
      </c>
      <c r="C10">
        <v>6983.2236678511899</v>
      </c>
      <c r="E10" t="s">
        <v>13</v>
      </c>
      <c r="F10">
        <v>76728.052139282197</v>
      </c>
      <c r="G10">
        <v>112355.86507820799</v>
      </c>
      <c r="I10" t="s">
        <v>13</v>
      </c>
      <c r="J10">
        <v>214966.375350952</v>
      </c>
      <c r="K10">
        <v>276135.361047438</v>
      </c>
      <c r="P10">
        <v>9173.2784271240198</v>
      </c>
      <c r="Q10">
        <v>6983.2236678511899</v>
      </c>
    </row>
    <row r="11" spans="1:17" x14ac:dyDescent="0.25">
      <c r="P11">
        <v>166671.22535705601</v>
      </c>
      <c r="Q11" s="6">
        <v>340703.51447588101</v>
      </c>
    </row>
    <row r="12" spans="1:17" x14ac:dyDescent="0.25">
      <c r="B12" s="1" t="s">
        <v>4</v>
      </c>
      <c r="F12" s="1" t="s">
        <v>4</v>
      </c>
      <c r="J12" s="1" t="s">
        <v>4</v>
      </c>
      <c r="P12">
        <v>266049.422836304</v>
      </c>
      <c r="Q12" s="6">
        <v>230857.34343823101</v>
      </c>
    </row>
    <row r="13" spans="1:17" x14ac:dyDescent="0.25">
      <c r="A13" t="s">
        <v>5</v>
      </c>
      <c r="E13" t="s">
        <v>5</v>
      </c>
      <c r="I13" t="s">
        <v>5</v>
      </c>
      <c r="J13">
        <v>18967.4423217773</v>
      </c>
      <c r="K13">
        <v>12529.6474974832</v>
      </c>
      <c r="P13">
        <v>436744.229507446</v>
      </c>
      <c r="Q13" s="6">
        <v>429333.35951816803</v>
      </c>
    </row>
    <row r="14" spans="1:17" x14ac:dyDescent="0.25">
      <c r="A14" t="s">
        <v>7</v>
      </c>
      <c r="B14">
        <v>0</v>
      </c>
      <c r="C14">
        <v>14427.6036156548</v>
      </c>
      <c r="E14" t="s">
        <v>7</v>
      </c>
      <c r="F14">
        <v>132072.078323364</v>
      </c>
      <c r="G14">
        <v>523566.09650599997</v>
      </c>
      <c r="I14" t="s">
        <v>7</v>
      </c>
      <c r="J14">
        <v>159896.26922607399</v>
      </c>
      <c r="K14">
        <v>371491.18611841998</v>
      </c>
      <c r="P14">
        <v>276348.81706237799</v>
      </c>
      <c r="Q14" s="6">
        <v>465281.58953160403</v>
      </c>
    </row>
    <row r="15" spans="1:17" x14ac:dyDescent="0.25">
      <c r="A15" t="s">
        <v>8</v>
      </c>
      <c r="B15">
        <v>66233.8703155517</v>
      </c>
      <c r="C15">
        <v>191841.012460214</v>
      </c>
      <c r="E15" t="s">
        <v>8</v>
      </c>
      <c r="F15">
        <v>55258.8066101074</v>
      </c>
      <c r="G15">
        <v>278274.87521701399</v>
      </c>
      <c r="I15" t="s">
        <v>8</v>
      </c>
      <c r="J15">
        <v>134786.93046569801</v>
      </c>
      <c r="K15">
        <v>561864.02756490698</v>
      </c>
      <c r="P15">
        <v>161491.092681885</v>
      </c>
      <c r="Q15">
        <v>166088.41448654301</v>
      </c>
    </row>
    <row r="16" spans="1:17" x14ac:dyDescent="0.25">
      <c r="A16" t="s">
        <v>9</v>
      </c>
      <c r="B16">
        <v>9873.2963562011701</v>
      </c>
      <c r="C16">
        <v>145712.835994767</v>
      </c>
      <c r="E16" t="s">
        <v>9</v>
      </c>
      <c r="F16">
        <v>83673.447418212905</v>
      </c>
      <c r="G16">
        <v>635222.38437040302</v>
      </c>
      <c r="I16" t="s">
        <v>9</v>
      </c>
      <c r="J16">
        <v>142907.13844299299</v>
      </c>
      <c r="K16">
        <v>383926.72008938203</v>
      </c>
      <c r="P16">
        <v>93589.353561401396</v>
      </c>
      <c r="Q16">
        <v>217104.22009597599</v>
      </c>
    </row>
    <row r="17" spans="1:17" x14ac:dyDescent="0.25">
      <c r="A17" t="s">
        <v>10</v>
      </c>
      <c r="B17" t="s">
        <v>6</v>
      </c>
      <c r="E17" t="s">
        <v>10</v>
      </c>
      <c r="F17">
        <v>23782.348251342799</v>
      </c>
      <c r="G17">
        <v>116914.09687937</v>
      </c>
      <c r="I17" t="s">
        <v>10</v>
      </c>
      <c r="J17">
        <v>74147.1164703369</v>
      </c>
      <c r="K17">
        <v>407486.47289511497</v>
      </c>
      <c r="P17">
        <v>76703.703689575195</v>
      </c>
      <c r="Q17">
        <v>270017.981823579</v>
      </c>
    </row>
    <row r="18" spans="1:17" x14ac:dyDescent="0.25">
      <c r="A18" t="s">
        <v>11</v>
      </c>
      <c r="B18" t="s">
        <v>6</v>
      </c>
      <c r="E18" t="s">
        <v>11</v>
      </c>
      <c r="F18">
        <v>47637.741851806597</v>
      </c>
      <c r="G18">
        <v>66092.792558081303</v>
      </c>
      <c r="I18" t="s">
        <v>11</v>
      </c>
      <c r="J18">
        <v>60773.73046875</v>
      </c>
      <c r="K18">
        <v>29181.467456582101</v>
      </c>
      <c r="P18">
        <v>76728.052139282197</v>
      </c>
      <c r="Q18">
        <v>112355.86507820799</v>
      </c>
    </row>
    <row r="19" spans="1:17" x14ac:dyDescent="0.25">
      <c r="A19" t="s">
        <v>12</v>
      </c>
      <c r="B19">
        <v>4875.7770538330096</v>
      </c>
      <c r="C19">
        <v>21445.335576563699</v>
      </c>
      <c r="E19" t="s">
        <v>12</v>
      </c>
      <c r="F19">
        <v>26929.385375976599</v>
      </c>
      <c r="G19">
        <v>171305.440973352</v>
      </c>
      <c r="I19" t="s">
        <v>12</v>
      </c>
      <c r="J19">
        <v>82535.157394409194</v>
      </c>
      <c r="K19">
        <v>91707.357359521106</v>
      </c>
      <c r="P19">
        <v>281096.76475524902</v>
      </c>
      <c r="Q19" s="6">
        <v>302713.02093694202</v>
      </c>
    </row>
    <row r="20" spans="1:17" x14ac:dyDescent="0.25">
      <c r="A20" t="s">
        <v>13</v>
      </c>
      <c r="B20">
        <v>5898.4119415283203</v>
      </c>
      <c r="C20">
        <v>16956.1203615165</v>
      </c>
      <c r="E20" t="s">
        <v>13</v>
      </c>
      <c r="F20">
        <v>78968.109512329102</v>
      </c>
      <c r="G20">
        <v>88736.507039011194</v>
      </c>
      <c r="I20" t="s">
        <v>13</v>
      </c>
      <c r="J20">
        <v>136320.88279724101</v>
      </c>
      <c r="K20">
        <v>388557.10559421103</v>
      </c>
      <c r="P20">
        <v>278412.348175049</v>
      </c>
      <c r="Q20" s="6">
        <v>330410.63179204502</v>
      </c>
    </row>
    <row r="21" spans="1:17" x14ac:dyDescent="0.25">
      <c r="P21">
        <v>353722.10311889602</v>
      </c>
      <c r="Q21" s="6">
        <v>818862.97155309503</v>
      </c>
    </row>
    <row r="22" spans="1:17" x14ac:dyDescent="0.25">
      <c r="P22">
        <v>373146.07887268101</v>
      </c>
      <c r="Q22" s="6">
        <v>622968.80321738101</v>
      </c>
    </row>
    <row r="23" spans="1:17" x14ac:dyDescent="0.25">
      <c r="P23">
        <v>74634.085464477495</v>
      </c>
      <c r="Q23">
        <v>522800.63982362999</v>
      </c>
    </row>
    <row r="24" spans="1:17" x14ac:dyDescent="0.25">
      <c r="P24">
        <v>176928.00979614299</v>
      </c>
      <c r="Q24">
        <v>286723.13278103998</v>
      </c>
    </row>
    <row r="25" spans="1:17" x14ac:dyDescent="0.25">
      <c r="P25">
        <v>121711.812973022</v>
      </c>
      <c r="Q25">
        <v>158706.77688975399</v>
      </c>
    </row>
    <row r="26" spans="1:17" x14ac:dyDescent="0.25">
      <c r="P26">
        <v>214966.375350952</v>
      </c>
      <c r="Q26">
        <v>276135.361047438</v>
      </c>
    </row>
    <row r="28" spans="1:17" x14ac:dyDescent="0.25">
      <c r="P28" t="s">
        <v>35</v>
      </c>
    </row>
    <row r="29" spans="1:17" x14ac:dyDescent="0.25">
      <c r="P29" t="s">
        <v>33</v>
      </c>
      <c r="Q29" t="s">
        <v>34</v>
      </c>
    </row>
    <row r="30" spans="1:17" x14ac:dyDescent="0.25">
      <c r="P30">
        <v>0</v>
      </c>
      <c r="Q30">
        <v>14427.6036156548</v>
      </c>
    </row>
    <row r="31" spans="1:17" x14ac:dyDescent="0.25">
      <c r="P31">
        <v>66233.8703155517</v>
      </c>
      <c r="Q31">
        <v>319035.44355321798</v>
      </c>
    </row>
    <row r="32" spans="1:17" x14ac:dyDescent="0.25">
      <c r="P32">
        <v>9873.2963562011701</v>
      </c>
      <c r="Q32">
        <v>145712.835994767</v>
      </c>
    </row>
    <row r="33" spans="16:17" x14ac:dyDescent="0.25">
      <c r="P33">
        <v>4875.7770538330096</v>
      </c>
      <c r="Q33">
        <v>21445.335576563699</v>
      </c>
    </row>
    <row r="34" spans="16:17" x14ac:dyDescent="0.25">
      <c r="P34">
        <v>5898.4119415283203</v>
      </c>
      <c r="Q34">
        <v>16956.1203615165</v>
      </c>
    </row>
    <row r="35" spans="16:17" x14ac:dyDescent="0.25">
      <c r="P35">
        <v>132072.078323364</v>
      </c>
      <c r="Q35">
        <v>523566.09650599997</v>
      </c>
    </row>
    <row r="36" spans="16:17" x14ac:dyDescent="0.25">
      <c r="P36">
        <v>55258.8066101074</v>
      </c>
      <c r="Q36">
        <v>278274.87521701399</v>
      </c>
    </row>
    <row r="37" spans="16:17" x14ac:dyDescent="0.25">
      <c r="P37">
        <v>83673.447418212905</v>
      </c>
      <c r="Q37">
        <v>635222.38437040302</v>
      </c>
    </row>
    <row r="38" spans="16:17" x14ac:dyDescent="0.25">
      <c r="P38">
        <v>23782.348251342799</v>
      </c>
      <c r="Q38">
        <v>116914.09687937</v>
      </c>
    </row>
    <row r="39" spans="16:17" x14ac:dyDescent="0.25">
      <c r="P39">
        <v>47637.741851806597</v>
      </c>
      <c r="Q39">
        <v>66092.792558081303</v>
      </c>
    </row>
    <row r="40" spans="16:17" x14ac:dyDescent="0.25">
      <c r="P40">
        <v>26929.385375976599</v>
      </c>
      <c r="Q40">
        <v>171305.440973352</v>
      </c>
    </row>
    <row r="41" spans="16:17" x14ac:dyDescent="0.25">
      <c r="P41">
        <v>78968.109512329102</v>
      </c>
      <c r="Q41">
        <v>88736.507039011194</v>
      </c>
    </row>
    <row r="42" spans="16:17" x14ac:dyDescent="0.25">
      <c r="P42">
        <v>18967.4423217773</v>
      </c>
      <c r="Q42">
        <v>12529.6474974832</v>
      </c>
    </row>
    <row r="43" spans="16:17" x14ac:dyDescent="0.25">
      <c r="P43">
        <v>159896.26922607399</v>
      </c>
      <c r="Q43">
        <v>371491.18611841998</v>
      </c>
    </row>
    <row r="44" spans="16:17" x14ac:dyDescent="0.25">
      <c r="P44">
        <v>134786.93046569801</v>
      </c>
      <c r="Q44">
        <v>561864.02756490698</v>
      </c>
    </row>
    <row r="45" spans="16:17" x14ac:dyDescent="0.25">
      <c r="P45">
        <v>142907.13844299299</v>
      </c>
      <c r="Q45">
        <v>383926.72008938203</v>
      </c>
    </row>
    <row r="46" spans="16:17" x14ac:dyDescent="0.25">
      <c r="P46">
        <v>74147.1164703369</v>
      </c>
      <c r="Q46">
        <v>407486.47289511497</v>
      </c>
    </row>
    <row r="47" spans="16:17" x14ac:dyDescent="0.25">
      <c r="P47">
        <v>60773.73046875</v>
      </c>
      <c r="Q47">
        <v>29181.467456582101</v>
      </c>
    </row>
    <row r="48" spans="16:17" x14ac:dyDescent="0.25">
      <c r="P48">
        <v>82535.157394409194</v>
      </c>
      <c r="Q48">
        <v>91707.357359521106</v>
      </c>
    </row>
    <row r="49" spans="16:17" x14ac:dyDescent="0.25">
      <c r="P49">
        <v>136320.88279724101</v>
      </c>
      <c r="Q49">
        <v>388557.10559421103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0E28-C7AF-4617-9A7F-5EB2D9CDE63D}">
  <sheetPr codeName="Sheet12"/>
  <dimension ref="A1:AA47"/>
  <sheetViews>
    <sheetView workbookViewId="0">
      <selection activeCell="C9" sqref="C9"/>
    </sheetView>
  </sheetViews>
  <sheetFormatPr defaultRowHeight="15" x14ac:dyDescent="0.25"/>
  <cols>
    <col min="4" max="4" width="13.5703125" customWidth="1"/>
    <col min="9" max="9" width="13.140625" customWidth="1"/>
    <col min="17" max="17" width="18.140625" bestFit="1" customWidth="1"/>
  </cols>
  <sheetData>
    <row r="1" spans="1:27" x14ac:dyDescent="0.25">
      <c r="A1" s="1" t="s">
        <v>29</v>
      </c>
      <c r="B1" s="1" t="s">
        <v>4</v>
      </c>
      <c r="F1" s="1" t="s">
        <v>30</v>
      </c>
      <c r="G1" s="1" t="s">
        <v>4</v>
      </c>
      <c r="K1" s="1" t="s">
        <v>31</v>
      </c>
      <c r="L1" s="1" t="s">
        <v>4</v>
      </c>
      <c r="Q1" t="s">
        <v>36</v>
      </c>
      <c r="R1" t="s">
        <v>37</v>
      </c>
    </row>
    <row r="2" spans="1:27" x14ac:dyDescent="0.25">
      <c r="B2" t="s">
        <v>33</v>
      </c>
      <c r="C2" t="s">
        <v>34</v>
      </c>
      <c r="D2" t="s">
        <v>38</v>
      </c>
      <c r="G2" t="s">
        <v>33</v>
      </c>
      <c r="H2" t="s">
        <v>34</v>
      </c>
      <c r="I2" t="s">
        <v>38</v>
      </c>
      <c r="L2" t="s">
        <v>33</v>
      </c>
      <c r="M2" t="s">
        <v>34</v>
      </c>
      <c r="N2" t="s">
        <v>38</v>
      </c>
      <c r="Q2" s="1" t="s">
        <v>29</v>
      </c>
      <c r="R2" s="1" t="s">
        <v>4</v>
      </c>
      <c r="U2" s="1" t="s">
        <v>30</v>
      </c>
      <c r="V2" s="1" t="s">
        <v>4</v>
      </c>
      <c r="Y2" s="1" t="s">
        <v>31</v>
      </c>
      <c r="Z2" s="1" t="s">
        <v>4</v>
      </c>
    </row>
    <row r="3" spans="1:27" ht="13.5" customHeight="1" x14ac:dyDescent="0.25">
      <c r="A3" t="s">
        <v>5</v>
      </c>
      <c r="B3" s="6"/>
      <c r="D3" s="7" t="s">
        <v>40</v>
      </c>
      <c r="F3" t="s">
        <v>5</v>
      </c>
      <c r="H3" s="6"/>
      <c r="I3" s="7" t="s">
        <v>40</v>
      </c>
      <c r="K3" t="s">
        <v>5</v>
      </c>
      <c r="L3">
        <v>91.9055736853214</v>
      </c>
      <c r="M3" s="6">
        <v>96.980190533797071</v>
      </c>
      <c r="N3" s="6"/>
      <c r="R3" t="s">
        <v>33</v>
      </c>
      <c r="S3" t="s">
        <v>34</v>
      </c>
      <c r="V3" t="s">
        <v>33</v>
      </c>
      <c r="W3" t="s">
        <v>34</v>
      </c>
      <c r="Z3" t="s">
        <v>33</v>
      </c>
      <c r="AA3" t="s">
        <v>34</v>
      </c>
    </row>
    <row r="4" spans="1:27" ht="75" x14ac:dyDescent="0.25">
      <c r="A4" t="s">
        <v>7</v>
      </c>
      <c r="B4" s="6">
        <v>100</v>
      </c>
      <c r="C4">
        <v>87.82697308779062</v>
      </c>
      <c r="D4" s="7" t="s">
        <v>39</v>
      </c>
      <c r="F4" t="s">
        <v>7</v>
      </c>
      <c r="G4">
        <v>32.023481771863551</v>
      </c>
      <c r="H4" s="6">
        <v>-87.679769018511209</v>
      </c>
      <c r="I4" s="6"/>
      <c r="K4" t="s">
        <v>7</v>
      </c>
      <c r="L4">
        <v>31.763674443524518</v>
      </c>
      <c r="M4" s="6">
        <v>10.465749281717789</v>
      </c>
      <c r="N4" s="6"/>
      <c r="Q4" t="s">
        <v>5</v>
      </c>
      <c r="R4" s="6"/>
      <c r="S4" s="6"/>
      <c r="U4" t="s">
        <v>5</v>
      </c>
      <c r="V4" s="6"/>
      <c r="W4" s="6"/>
      <c r="Y4" t="s">
        <v>5</v>
      </c>
      <c r="Z4" s="6">
        <f>IF(L3&gt;=50,1,0)</f>
        <v>1</v>
      </c>
      <c r="AA4" s="6">
        <f>IF(M3&gt;=50,1,0)</f>
        <v>1</v>
      </c>
    </row>
    <row r="5" spans="1:27" x14ac:dyDescent="0.25">
      <c r="A5" t="s">
        <v>8</v>
      </c>
      <c r="B5" s="6">
        <v>-13.530010172939907</v>
      </c>
      <c r="C5">
        <v>-61.862348713944428</v>
      </c>
      <c r="F5" t="s">
        <v>8</v>
      </c>
      <c r="G5">
        <v>71.558702471538766</v>
      </c>
      <c r="H5" s="6">
        <v>0.24838381836340173</v>
      </c>
      <c r="I5" s="6"/>
      <c r="K5" t="s">
        <v>8</v>
      </c>
      <c r="L5">
        <v>42.479177828649448</v>
      </c>
      <c r="M5" s="6">
        <v>-35.416603659458502</v>
      </c>
      <c r="N5" s="6"/>
      <c r="Q5" t="s">
        <v>7</v>
      </c>
      <c r="R5" s="6">
        <f>IF(B4&gt;=50,1,0)</f>
        <v>1</v>
      </c>
      <c r="S5" s="6">
        <f>IF(C4&gt;=50,1,0)</f>
        <v>1</v>
      </c>
      <c r="U5" t="s">
        <v>7</v>
      </c>
      <c r="V5" s="6">
        <f t="shared" ref="V5:V11" si="0">IF(G4&gt;=50,1,0)</f>
        <v>0</v>
      </c>
      <c r="W5" s="6">
        <f t="shared" ref="W5:W11" si="1">IF(H4&gt;=50,1,0)</f>
        <v>0</v>
      </c>
      <c r="Y5" t="s">
        <v>7</v>
      </c>
      <c r="Z5" s="6">
        <f t="shared" ref="Z5:Z11" si="2">IF(L4&gt;=50,1,0)</f>
        <v>0</v>
      </c>
      <c r="AA5" s="6">
        <f t="shared" ref="AA5:AA11" si="3">IF(M4&gt;=50,1,0)</f>
        <v>0</v>
      </c>
    </row>
    <row r="6" spans="1:27" x14ac:dyDescent="0.25">
      <c r="A6" t="s">
        <v>9</v>
      </c>
      <c r="B6" s="6">
        <v>83.076401387693338</v>
      </c>
      <c r="C6">
        <v>-22.942542730659127</v>
      </c>
      <c r="F6" t="s">
        <v>9</v>
      </c>
      <c r="G6">
        <v>56.933897793982311</v>
      </c>
      <c r="H6" s="6">
        <v>-127.70456522992023</v>
      </c>
      <c r="I6" s="6"/>
      <c r="K6" t="s">
        <v>9</v>
      </c>
      <c r="L6">
        <v>39.013848976344782</v>
      </c>
      <c r="M6" s="6">
        <v>7.4686224104037757</v>
      </c>
      <c r="N6" s="6"/>
      <c r="Q6" t="s">
        <v>8</v>
      </c>
      <c r="R6" s="6">
        <f t="shared" ref="R6:S11" si="4">IF(B5&gt;=50,1,0)</f>
        <v>0</v>
      </c>
      <c r="S6" s="6">
        <f t="shared" si="4"/>
        <v>0</v>
      </c>
      <c r="U6" t="s">
        <v>8</v>
      </c>
      <c r="V6" s="6">
        <f t="shared" si="0"/>
        <v>1</v>
      </c>
      <c r="W6" s="6">
        <f t="shared" si="1"/>
        <v>0</v>
      </c>
      <c r="Y6" t="s">
        <v>8</v>
      </c>
      <c r="Z6" s="6">
        <f t="shared" si="2"/>
        <v>0</v>
      </c>
      <c r="AA6" s="6">
        <f t="shared" si="3"/>
        <v>0</v>
      </c>
    </row>
    <row r="7" spans="1:27" x14ac:dyDescent="0.25">
      <c r="A7" t="s">
        <v>10</v>
      </c>
      <c r="D7" t="s">
        <v>41</v>
      </c>
      <c r="F7" t="s">
        <v>10</v>
      </c>
      <c r="G7">
        <v>87.7594019119081</v>
      </c>
      <c r="H7">
        <v>58.090466812576459</v>
      </c>
      <c r="K7" t="s">
        <v>10</v>
      </c>
      <c r="L7">
        <v>68.357443215949871</v>
      </c>
      <c r="M7">
        <v>1.7904128232271019</v>
      </c>
      <c r="Q7" t="s">
        <v>9</v>
      </c>
      <c r="R7" s="6">
        <f t="shared" si="4"/>
        <v>1</v>
      </c>
      <c r="S7" s="6">
        <f t="shared" si="4"/>
        <v>0</v>
      </c>
      <c r="U7" t="s">
        <v>9</v>
      </c>
      <c r="V7" s="6">
        <f t="shared" si="0"/>
        <v>1</v>
      </c>
      <c r="W7" s="6">
        <f t="shared" si="1"/>
        <v>0</v>
      </c>
      <c r="Y7" t="s">
        <v>9</v>
      </c>
      <c r="Z7" s="6">
        <f t="shared" si="2"/>
        <v>0</v>
      </c>
      <c r="AA7" s="6">
        <f t="shared" si="3"/>
        <v>0</v>
      </c>
    </row>
    <row r="8" spans="1:27" x14ac:dyDescent="0.25">
      <c r="A8" t="s">
        <v>11</v>
      </c>
      <c r="D8" t="s">
        <v>41</v>
      </c>
      <c r="F8" t="s">
        <v>11</v>
      </c>
      <c r="G8">
        <v>75.481207924902222</v>
      </c>
      <c r="H8">
        <v>76.308091521073266</v>
      </c>
      <c r="K8" t="s">
        <v>11</v>
      </c>
      <c r="L8">
        <v>74.06458526131216</v>
      </c>
      <c r="M8">
        <v>92.966883411462277</v>
      </c>
      <c r="Q8" t="s">
        <v>10</v>
      </c>
      <c r="R8" s="6"/>
      <c r="S8" s="6"/>
      <c r="U8" t="s">
        <v>10</v>
      </c>
      <c r="V8" s="6">
        <f t="shared" si="0"/>
        <v>1</v>
      </c>
      <c r="W8" s="6">
        <f t="shared" si="1"/>
        <v>1</v>
      </c>
      <c r="Y8" t="s">
        <v>10</v>
      </c>
      <c r="Z8" s="6">
        <f t="shared" si="2"/>
        <v>1</v>
      </c>
      <c r="AA8" s="6">
        <f t="shared" si="3"/>
        <v>0</v>
      </c>
    </row>
    <row r="9" spans="1:27" x14ac:dyDescent="0.25">
      <c r="A9" t="s">
        <v>12</v>
      </c>
      <c r="B9">
        <v>91.642538539791843</v>
      </c>
      <c r="C9">
        <v>81.905889982199696</v>
      </c>
      <c r="F9" t="s">
        <v>12</v>
      </c>
      <c r="G9">
        <v>86.139645267028769</v>
      </c>
      <c r="H9">
        <v>38.593110195544398</v>
      </c>
      <c r="K9" t="s">
        <v>12</v>
      </c>
      <c r="L9">
        <v>64.777815660870544</v>
      </c>
      <c r="M9">
        <v>77.897323453803111</v>
      </c>
      <c r="Q9" t="s">
        <v>11</v>
      </c>
      <c r="R9" s="6"/>
      <c r="S9" s="6"/>
      <c r="U9" t="s">
        <v>11</v>
      </c>
      <c r="V9" s="6">
        <f t="shared" si="0"/>
        <v>1</v>
      </c>
      <c r="W9" s="6">
        <f t="shared" si="1"/>
        <v>1</v>
      </c>
      <c r="Y9" t="s">
        <v>11</v>
      </c>
      <c r="Z9" s="6">
        <f t="shared" si="2"/>
        <v>1</v>
      </c>
      <c r="AA9" s="6">
        <f t="shared" si="3"/>
        <v>1</v>
      </c>
    </row>
    <row r="10" spans="1:27" x14ac:dyDescent="0.25">
      <c r="A10" t="s">
        <v>13</v>
      </c>
      <c r="B10">
        <v>89.889662727912977</v>
      </c>
      <c r="C10">
        <v>85.693583287564266</v>
      </c>
      <c r="F10" t="s">
        <v>13</v>
      </c>
      <c r="G10">
        <v>59.355700282360878</v>
      </c>
      <c r="H10">
        <v>68.1911276231763</v>
      </c>
      <c r="K10" t="s">
        <v>13</v>
      </c>
      <c r="L10">
        <v>41.824557985485441</v>
      </c>
      <c r="M10">
        <v>6.3526387418719885</v>
      </c>
      <c r="Q10" t="s">
        <v>12</v>
      </c>
      <c r="R10" s="6">
        <f t="shared" si="4"/>
        <v>1</v>
      </c>
      <c r="S10" s="6">
        <f t="shared" si="4"/>
        <v>1</v>
      </c>
      <c r="U10" t="s">
        <v>12</v>
      </c>
      <c r="V10" s="6">
        <f t="shared" si="0"/>
        <v>1</v>
      </c>
      <c r="W10" s="6">
        <f t="shared" si="1"/>
        <v>0</v>
      </c>
      <c r="Y10" t="s">
        <v>12</v>
      </c>
      <c r="Z10" s="6">
        <f t="shared" si="2"/>
        <v>1</v>
      </c>
      <c r="AA10" s="6">
        <f t="shared" si="3"/>
        <v>1</v>
      </c>
    </row>
    <row r="11" spans="1:27" x14ac:dyDescent="0.25">
      <c r="Q11" t="s">
        <v>13</v>
      </c>
      <c r="R11" s="6">
        <f t="shared" si="4"/>
        <v>1</v>
      </c>
      <c r="S11" s="6">
        <f t="shared" si="4"/>
        <v>1</v>
      </c>
      <c r="U11" t="s">
        <v>13</v>
      </c>
      <c r="V11" s="6">
        <f t="shared" si="0"/>
        <v>1</v>
      </c>
      <c r="W11" s="6">
        <f t="shared" si="1"/>
        <v>1</v>
      </c>
      <c r="Y11" t="s">
        <v>13</v>
      </c>
      <c r="Z11" s="6">
        <f t="shared" si="2"/>
        <v>0</v>
      </c>
      <c r="AA11" s="6">
        <f t="shared" si="3"/>
        <v>0</v>
      </c>
    </row>
    <row r="13" spans="1:27" x14ac:dyDescent="0.25">
      <c r="C13" t="s">
        <v>33</v>
      </c>
      <c r="D13" t="s">
        <v>34</v>
      </c>
      <c r="Q13" t="s">
        <v>43</v>
      </c>
      <c r="R13">
        <f>SUM(R4:R11)</f>
        <v>4</v>
      </c>
      <c r="U13" t="s">
        <v>43</v>
      </c>
      <c r="V13">
        <f>SUM(V4:V11)</f>
        <v>6</v>
      </c>
      <c r="Y13" t="s">
        <v>43</v>
      </c>
      <c r="Z13">
        <f>SUM(Z4:Z11)</f>
        <v>4</v>
      </c>
    </row>
    <row r="14" spans="1:27" x14ac:dyDescent="0.25">
      <c r="A14" s="8" t="s">
        <v>29</v>
      </c>
      <c r="B14" t="s">
        <v>7</v>
      </c>
      <c r="C14">
        <v>100</v>
      </c>
      <c r="D14">
        <v>87.82697308779062</v>
      </c>
      <c r="Q14" t="s">
        <v>42</v>
      </c>
      <c r="R14">
        <f>SUM(S4:S11)</f>
        <v>3</v>
      </c>
      <c r="U14" t="s">
        <v>42</v>
      </c>
      <c r="V14">
        <f>SUM(W4:W11)</f>
        <v>3</v>
      </c>
      <c r="Y14" t="s">
        <v>42</v>
      </c>
      <c r="Z14">
        <f>SUM(AA4:AA11)</f>
        <v>3</v>
      </c>
    </row>
    <row r="15" spans="1:27" x14ac:dyDescent="0.25">
      <c r="A15" s="8"/>
      <c r="B15" t="s">
        <v>8</v>
      </c>
      <c r="C15" s="6">
        <v>-13.530010172939907</v>
      </c>
      <c r="D15">
        <v>-61.862348713944428</v>
      </c>
      <c r="Q15" t="s">
        <v>44</v>
      </c>
      <c r="R15">
        <f>SUMIF(R4:R11,"=1",S4:S11)</f>
        <v>3</v>
      </c>
      <c r="U15" t="s">
        <v>44</v>
      </c>
      <c r="V15">
        <f>SUMIF(V4:V11,"=1",W4:W11)</f>
        <v>3</v>
      </c>
      <c r="Y15" t="s">
        <v>44</v>
      </c>
      <c r="Z15">
        <f>SUMIF(Z4:Z11,"=1",AA4:AA11)</f>
        <v>3</v>
      </c>
    </row>
    <row r="16" spans="1:27" x14ac:dyDescent="0.25">
      <c r="A16" s="8"/>
      <c r="B16" t="s">
        <v>9</v>
      </c>
      <c r="C16" s="6">
        <v>83.076401387693338</v>
      </c>
      <c r="D16">
        <v>-22.942542730659127</v>
      </c>
    </row>
    <row r="17" spans="1:27" x14ac:dyDescent="0.25">
      <c r="A17" s="8"/>
      <c r="B17" t="s">
        <v>12</v>
      </c>
      <c r="C17">
        <v>91.642538539791843</v>
      </c>
      <c r="D17">
        <v>81.905889982199696</v>
      </c>
      <c r="Q17" t="s">
        <v>36</v>
      </c>
      <c r="R17" t="s">
        <v>45</v>
      </c>
    </row>
    <row r="18" spans="1:27" x14ac:dyDescent="0.25">
      <c r="A18" s="8"/>
      <c r="B18" t="s">
        <v>13</v>
      </c>
      <c r="C18">
        <v>89.889662727912977</v>
      </c>
      <c r="D18">
        <v>85.693583287564266</v>
      </c>
      <c r="Q18" s="1" t="s">
        <v>29</v>
      </c>
      <c r="R18" s="1" t="s">
        <v>4</v>
      </c>
      <c r="U18" s="1" t="s">
        <v>30</v>
      </c>
      <c r="V18" s="1" t="s">
        <v>4</v>
      </c>
      <c r="Y18" s="1" t="s">
        <v>31</v>
      </c>
      <c r="Z18" s="1" t="s">
        <v>4</v>
      </c>
    </row>
    <row r="19" spans="1:27" x14ac:dyDescent="0.25">
      <c r="A19" s="8" t="s">
        <v>30</v>
      </c>
      <c r="B19" t="s">
        <v>7</v>
      </c>
      <c r="C19">
        <v>32.023481771863551</v>
      </c>
      <c r="D19" s="6">
        <v>-87.679769018511209</v>
      </c>
      <c r="R19" t="s">
        <v>33</v>
      </c>
      <c r="S19" t="s">
        <v>34</v>
      </c>
      <c r="V19" t="s">
        <v>33</v>
      </c>
      <c r="W19" t="s">
        <v>34</v>
      </c>
      <c r="Z19" t="s">
        <v>33</v>
      </c>
      <c r="AA19" t="s">
        <v>34</v>
      </c>
    </row>
    <row r="20" spans="1:27" x14ac:dyDescent="0.25">
      <c r="A20" s="8"/>
      <c r="B20" t="s">
        <v>8</v>
      </c>
      <c r="C20">
        <v>71.558702471538766</v>
      </c>
      <c r="D20" s="6">
        <v>0.24838381836340173</v>
      </c>
      <c r="Q20" t="s">
        <v>5</v>
      </c>
      <c r="R20" s="6"/>
      <c r="S20" s="6"/>
      <c r="U20" t="s">
        <v>5</v>
      </c>
      <c r="V20" s="6"/>
      <c r="W20" s="6"/>
      <c r="Y20" t="s">
        <v>5</v>
      </c>
      <c r="Z20" s="6">
        <f>IF(L3&gt;=75,1,0)</f>
        <v>1</v>
      </c>
      <c r="AA20" s="6">
        <f>IF(M3&gt;=75,1,0)</f>
        <v>1</v>
      </c>
    </row>
    <row r="21" spans="1:27" x14ac:dyDescent="0.25">
      <c r="A21" s="8"/>
      <c r="B21" t="s">
        <v>9</v>
      </c>
      <c r="C21">
        <v>56.933897793982311</v>
      </c>
      <c r="D21" s="6">
        <v>-127.70456522992023</v>
      </c>
      <c r="Q21" t="s">
        <v>7</v>
      </c>
      <c r="R21" s="6">
        <f>IF(B4&gt;=75,1,0)</f>
        <v>1</v>
      </c>
      <c r="S21" s="6">
        <f>IF(C4&gt;=75,1,0)</f>
        <v>1</v>
      </c>
      <c r="U21" t="s">
        <v>7</v>
      </c>
      <c r="V21" s="6">
        <f>IF(G4&gt;=75,1,0)</f>
        <v>0</v>
      </c>
      <c r="W21" s="6">
        <f>IF(H4&gt;=75,1,0)</f>
        <v>0</v>
      </c>
      <c r="Y21" t="s">
        <v>7</v>
      </c>
      <c r="Z21" s="6">
        <f t="shared" ref="Z21:AA21" si="5">IF(L4&gt;=75,1,0)</f>
        <v>0</v>
      </c>
      <c r="AA21" s="6">
        <f t="shared" si="5"/>
        <v>0</v>
      </c>
    </row>
    <row r="22" spans="1:27" x14ac:dyDescent="0.25">
      <c r="A22" s="8"/>
      <c r="B22" t="s">
        <v>10</v>
      </c>
      <c r="C22">
        <v>87.7594019119081</v>
      </c>
      <c r="D22">
        <v>58.090466812576459</v>
      </c>
      <c r="Q22" t="s">
        <v>8</v>
      </c>
      <c r="R22" s="6">
        <f t="shared" ref="R22:S22" si="6">IF(B5&gt;=75,1,0)</f>
        <v>0</v>
      </c>
      <c r="S22" s="6">
        <f t="shared" si="6"/>
        <v>0</v>
      </c>
      <c r="U22" t="s">
        <v>8</v>
      </c>
      <c r="V22" s="6">
        <f t="shared" ref="V22:W22" si="7">IF(G5&gt;=75,1,0)</f>
        <v>0</v>
      </c>
      <c r="W22" s="6">
        <f t="shared" si="7"/>
        <v>0</v>
      </c>
      <c r="Y22" t="s">
        <v>8</v>
      </c>
      <c r="Z22" s="6">
        <f t="shared" ref="Z22:AA22" si="8">IF(L5&gt;=75,1,0)</f>
        <v>0</v>
      </c>
      <c r="AA22" s="6">
        <f t="shared" si="8"/>
        <v>0</v>
      </c>
    </row>
    <row r="23" spans="1:27" x14ac:dyDescent="0.25">
      <c r="A23" s="8"/>
      <c r="B23" t="s">
        <v>11</v>
      </c>
      <c r="C23">
        <v>75.481207924902222</v>
      </c>
      <c r="D23">
        <v>76.308091521073266</v>
      </c>
      <c r="Q23" t="s">
        <v>9</v>
      </c>
      <c r="R23" s="6">
        <f t="shared" ref="R23:S23" si="9">IF(B6&gt;=75,1,0)</f>
        <v>1</v>
      </c>
      <c r="S23" s="6">
        <f t="shared" si="9"/>
        <v>0</v>
      </c>
      <c r="U23" t="s">
        <v>9</v>
      </c>
      <c r="V23" s="6">
        <f t="shared" ref="V23:W23" si="10">IF(G6&gt;=75,1,0)</f>
        <v>0</v>
      </c>
      <c r="W23" s="6">
        <f t="shared" si="10"/>
        <v>0</v>
      </c>
      <c r="Y23" t="s">
        <v>9</v>
      </c>
      <c r="Z23" s="6">
        <f t="shared" ref="Z23:AA23" si="11">IF(L6&gt;=75,1,0)</f>
        <v>0</v>
      </c>
      <c r="AA23" s="6">
        <f t="shared" si="11"/>
        <v>0</v>
      </c>
    </row>
    <row r="24" spans="1:27" x14ac:dyDescent="0.25">
      <c r="A24" s="8"/>
      <c r="B24" t="s">
        <v>12</v>
      </c>
      <c r="C24">
        <v>86.139645267028769</v>
      </c>
      <c r="D24">
        <v>38.593110195544398</v>
      </c>
      <c r="Q24" t="s">
        <v>10</v>
      </c>
      <c r="R24" s="6"/>
      <c r="S24" s="6"/>
      <c r="U24" t="s">
        <v>10</v>
      </c>
      <c r="V24" s="6">
        <f t="shared" ref="V24:W24" si="12">IF(G7&gt;=75,1,0)</f>
        <v>1</v>
      </c>
      <c r="W24" s="6">
        <f t="shared" si="12"/>
        <v>0</v>
      </c>
      <c r="Y24" t="s">
        <v>10</v>
      </c>
      <c r="Z24" s="6">
        <f t="shared" ref="Z24:AA24" si="13">IF(L7&gt;=75,1,0)</f>
        <v>0</v>
      </c>
      <c r="AA24" s="6">
        <f t="shared" si="13"/>
        <v>0</v>
      </c>
    </row>
    <row r="25" spans="1:27" x14ac:dyDescent="0.25">
      <c r="A25" s="8"/>
      <c r="B25" t="s">
        <v>13</v>
      </c>
      <c r="C25">
        <v>59.355700282360878</v>
      </c>
      <c r="D25">
        <v>68.1911276231763</v>
      </c>
      <c r="Q25" t="s">
        <v>11</v>
      </c>
      <c r="R25" s="6"/>
      <c r="S25" s="6"/>
      <c r="U25" t="s">
        <v>11</v>
      </c>
      <c r="V25" s="6">
        <f t="shared" ref="V25:W25" si="14">IF(G8&gt;=75,1,0)</f>
        <v>1</v>
      </c>
      <c r="W25" s="6">
        <f t="shared" si="14"/>
        <v>1</v>
      </c>
      <c r="Y25" t="s">
        <v>11</v>
      </c>
      <c r="Z25" s="6">
        <f t="shared" ref="Z25" si="15">IF(L8&gt;=75,1,0)</f>
        <v>0</v>
      </c>
      <c r="AA25" s="6">
        <f>IF(M8&gt;=75,1,0)</f>
        <v>1</v>
      </c>
    </row>
    <row r="26" spans="1:27" x14ac:dyDescent="0.25">
      <c r="A26" s="8" t="s">
        <v>31</v>
      </c>
      <c r="B26" t="s">
        <v>5</v>
      </c>
      <c r="C26">
        <v>91.9055736853214</v>
      </c>
      <c r="D26" s="6">
        <v>96.980190533797071</v>
      </c>
      <c r="Q26" t="s">
        <v>12</v>
      </c>
      <c r="R26" s="6">
        <f t="shared" ref="R26:S26" si="16">IF(B9&gt;=75,1,0)</f>
        <v>1</v>
      </c>
      <c r="S26" s="6">
        <f t="shared" si="16"/>
        <v>1</v>
      </c>
      <c r="U26" t="s">
        <v>12</v>
      </c>
      <c r="V26" s="6">
        <f t="shared" ref="V26:W26" si="17">IF(G9&gt;=75,1,0)</f>
        <v>1</v>
      </c>
      <c r="W26" s="6">
        <f t="shared" si="17"/>
        <v>0</v>
      </c>
      <c r="Y26" t="s">
        <v>12</v>
      </c>
      <c r="Z26" s="6">
        <f t="shared" ref="Z26:AA26" si="18">IF(L9&gt;=75,1,0)</f>
        <v>0</v>
      </c>
      <c r="AA26" s="6">
        <f t="shared" si="18"/>
        <v>1</v>
      </c>
    </row>
    <row r="27" spans="1:27" x14ac:dyDescent="0.25">
      <c r="A27" s="8"/>
      <c r="B27" t="s">
        <v>7</v>
      </c>
      <c r="C27">
        <v>31.763674443524518</v>
      </c>
      <c r="D27" s="6">
        <v>10.465749281717789</v>
      </c>
      <c r="Q27" t="s">
        <v>13</v>
      </c>
      <c r="R27" s="6">
        <f t="shared" ref="R27:S27" si="19">IF(B10&gt;=75,1,0)</f>
        <v>1</v>
      </c>
      <c r="S27" s="6">
        <f t="shared" si="19"/>
        <v>1</v>
      </c>
      <c r="U27" t="s">
        <v>13</v>
      </c>
      <c r="V27" s="6">
        <f t="shared" ref="V27:W27" si="20">IF(G10&gt;=75,1,0)</f>
        <v>0</v>
      </c>
      <c r="W27" s="6">
        <f t="shared" si="20"/>
        <v>0</v>
      </c>
      <c r="Y27" t="s">
        <v>13</v>
      </c>
      <c r="Z27" s="6">
        <f t="shared" ref="Z27:AA27" si="21">IF(L10&gt;=75,1,0)</f>
        <v>0</v>
      </c>
      <c r="AA27" s="6">
        <f t="shared" si="21"/>
        <v>0</v>
      </c>
    </row>
    <row r="28" spans="1:27" x14ac:dyDescent="0.25">
      <c r="A28" s="8"/>
      <c r="B28" t="s">
        <v>8</v>
      </c>
      <c r="C28">
        <v>42.479177828649448</v>
      </c>
      <c r="D28" s="6">
        <v>-35.416603659458502</v>
      </c>
    </row>
    <row r="29" spans="1:27" x14ac:dyDescent="0.25">
      <c r="A29" s="8"/>
      <c r="B29" t="s">
        <v>9</v>
      </c>
      <c r="C29">
        <v>39.013848976344782</v>
      </c>
      <c r="D29" s="6">
        <v>7.4686224104037757</v>
      </c>
      <c r="Q29" t="s">
        <v>43</v>
      </c>
      <c r="R29">
        <f>SUM(R20:R27)</f>
        <v>4</v>
      </c>
      <c r="U29" t="s">
        <v>43</v>
      </c>
      <c r="V29">
        <f>SUM(V20:V27)</f>
        <v>3</v>
      </c>
      <c r="Y29" t="s">
        <v>43</v>
      </c>
      <c r="Z29">
        <f>SUM(Z20:Z27)</f>
        <v>1</v>
      </c>
    </row>
    <row r="30" spans="1:27" x14ac:dyDescent="0.25">
      <c r="A30" s="8"/>
      <c r="B30" t="s">
        <v>10</v>
      </c>
      <c r="C30">
        <v>68.357443215949871</v>
      </c>
      <c r="D30">
        <v>1.7904128232271019</v>
      </c>
      <c r="Q30" t="s">
        <v>42</v>
      </c>
      <c r="R30">
        <f>SUM(S20:S27)</f>
        <v>3</v>
      </c>
      <c r="U30" t="s">
        <v>42</v>
      </c>
      <c r="V30">
        <f>SUM(W20:W27)</f>
        <v>1</v>
      </c>
      <c r="Y30" t="s">
        <v>42</v>
      </c>
      <c r="Z30">
        <f>SUM(AA20:AA27)</f>
        <v>3</v>
      </c>
    </row>
    <row r="31" spans="1:27" x14ac:dyDescent="0.25">
      <c r="A31" s="8"/>
      <c r="B31" t="s">
        <v>11</v>
      </c>
      <c r="C31">
        <v>74.06458526131216</v>
      </c>
      <c r="D31">
        <v>92.966883411462277</v>
      </c>
      <c r="Q31" t="s">
        <v>44</v>
      </c>
      <c r="R31">
        <f>SUMIF(R20:R27,"=1",S20:S27)</f>
        <v>3</v>
      </c>
      <c r="U31" t="s">
        <v>44</v>
      </c>
      <c r="V31">
        <f>SUMIF(V20:V27,"=1",W20:W27)</f>
        <v>1</v>
      </c>
      <c r="Y31" t="s">
        <v>44</v>
      </c>
      <c r="Z31">
        <f>SUMIF(Z20:Z27,"=1",AA20:AA27)</f>
        <v>1</v>
      </c>
    </row>
    <row r="32" spans="1:27" x14ac:dyDescent="0.25">
      <c r="A32" s="8"/>
      <c r="B32" t="s">
        <v>12</v>
      </c>
      <c r="C32">
        <v>64.777815660870544</v>
      </c>
      <c r="D32">
        <v>77.897323453803111</v>
      </c>
    </row>
    <row r="33" spans="1:27" x14ac:dyDescent="0.25">
      <c r="A33" s="8"/>
      <c r="B33" t="s">
        <v>13</v>
      </c>
      <c r="C33">
        <v>41.824557985485441</v>
      </c>
      <c r="D33">
        <v>6.3526387418719885</v>
      </c>
      <c r="Q33" t="s">
        <v>36</v>
      </c>
      <c r="R33" t="s">
        <v>46</v>
      </c>
    </row>
    <row r="34" spans="1:27" x14ac:dyDescent="0.25">
      <c r="Q34" s="1" t="s">
        <v>29</v>
      </c>
      <c r="R34" s="1" t="s">
        <v>4</v>
      </c>
      <c r="U34" s="1" t="s">
        <v>30</v>
      </c>
      <c r="V34" s="1" t="s">
        <v>4</v>
      </c>
      <c r="Y34" s="1" t="s">
        <v>31</v>
      </c>
      <c r="Z34" s="1" t="s">
        <v>4</v>
      </c>
    </row>
    <row r="35" spans="1:27" x14ac:dyDescent="0.25">
      <c r="R35" t="s">
        <v>33</v>
      </c>
      <c r="S35" t="s">
        <v>34</v>
      </c>
      <c r="V35" t="s">
        <v>33</v>
      </c>
      <c r="W35" t="s">
        <v>34</v>
      </c>
      <c r="Z35" t="s">
        <v>33</v>
      </c>
      <c r="AA35" t="s">
        <v>34</v>
      </c>
    </row>
    <row r="36" spans="1:27" x14ac:dyDescent="0.25">
      <c r="Q36" t="s">
        <v>5</v>
      </c>
      <c r="R36" s="6"/>
      <c r="S36" s="6"/>
      <c r="U36" t="s">
        <v>5</v>
      </c>
      <c r="V36" s="6"/>
      <c r="W36" s="6"/>
      <c r="Y36" t="s">
        <v>5</v>
      </c>
      <c r="Z36" s="6">
        <f>IF(L3&gt;=90,1,0)</f>
        <v>1</v>
      </c>
      <c r="AA36" s="6">
        <f>IF(M3&gt;=90,1,0)</f>
        <v>1</v>
      </c>
    </row>
    <row r="37" spans="1:27" x14ac:dyDescent="0.25">
      <c r="Q37" t="s">
        <v>7</v>
      </c>
      <c r="R37" s="6">
        <f>IF(B4&gt;=90,1,0)</f>
        <v>1</v>
      </c>
      <c r="S37" s="6">
        <f>IF(C4&gt;=90,1,0)</f>
        <v>0</v>
      </c>
      <c r="U37" t="s">
        <v>7</v>
      </c>
      <c r="V37" s="6">
        <f>IF(G4&gt;=90,1,0)</f>
        <v>0</v>
      </c>
      <c r="W37" s="6">
        <f>IF(H4&gt;=90,1,0)</f>
        <v>0</v>
      </c>
      <c r="Y37" t="s">
        <v>7</v>
      </c>
      <c r="Z37" s="6">
        <f t="shared" ref="Z37:AA37" si="22">IF(L4&gt;=90,1,0)</f>
        <v>0</v>
      </c>
      <c r="AA37" s="6">
        <f t="shared" si="22"/>
        <v>0</v>
      </c>
    </row>
    <row r="38" spans="1:27" x14ac:dyDescent="0.25">
      <c r="Q38" t="s">
        <v>8</v>
      </c>
      <c r="R38" s="6">
        <f t="shared" ref="R38:S38" si="23">IF(B5&gt;=90,1,0)</f>
        <v>0</v>
      </c>
      <c r="S38" s="6">
        <f t="shared" si="23"/>
        <v>0</v>
      </c>
      <c r="U38" t="s">
        <v>8</v>
      </c>
      <c r="V38" s="6">
        <f t="shared" ref="V38:W38" si="24">IF(G5&gt;=90,1,0)</f>
        <v>0</v>
      </c>
      <c r="W38" s="6">
        <f t="shared" si="24"/>
        <v>0</v>
      </c>
      <c r="Y38" t="s">
        <v>8</v>
      </c>
      <c r="Z38" s="6">
        <f t="shared" ref="Z38:AA38" si="25">IF(L5&gt;=90,1,0)</f>
        <v>0</v>
      </c>
      <c r="AA38" s="6">
        <f t="shared" si="25"/>
        <v>0</v>
      </c>
    </row>
    <row r="39" spans="1:27" x14ac:dyDescent="0.25">
      <c r="Q39" t="s">
        <v>9</v>
      </c>
      <c r="R39" s="6">
        <f t="shared" ref="R39:S39" si="26">IF(B6&gt;=90,1,0)</f>
        <v>0</v>
      </c>
      <c r="S39" s="6">
        <f t="shared" si="26"/>
        <v>0</v>
      </c>
      <c r="U39" t="s">
        <v>9</v>
      </c>
      <c r="V39" s="6">
        <f t="shared" ref="V39:W39" si="27">IF(G6&gt;=90,1,0)</f>
        <v>0</v>
      </c>
      <c r="W39" s="6">
        <f t="shared" si="27"/>
        <v>0</v>
      </c>
      <c r="Y39" t="s">
        <v>9</v>
      </c>
      <c r="Z39" s="6">
        <f t="shared" ref="Z39:AA39" si="28">IF(L6&gt;=90,1,0)</f>
        <v>0</v>
      </c>
      <c r="AA39" s="6">
        <f t="shared" si="28"/>
        <v>0</v>
      </c>
    </row>
    <row r="40" spans="1:27" x14ac:dyDescent="0.25">
      <c r="Q40" t="s">
        <v>10</v>
      </c>
      <c r="R40" s="6"/>
      <c r="S40" s="6"/>
      <c r="U40" t="s">
        <v>10</v>
      </c>
      <c r="V40" s="6">
        <f t="shared" ref="V40:W40" si="29">IF(G7&gt;=90,1,0)</f>
        <v>0</v>
      </c>
      <c r="W40" s="6">
        <f t="shared" si="29"/>
        <v>0</v>
      </c>
      <c r="Y40" t="s">
        <v>10</v>
      </c>
      <c r="Z40" s="6">
        <f t="shared" ref="Z40:AA40" si="30">IF(L7&gt;=90,1,0)</f>
        <v>0</v>
      </c>
      <c r="AA40" s="6">
        <f t="shared" si="30"/>
        <v>0</v>
      </c>
    </row>
    <row r="41" spans="1:27" x14ac:dyDescent="0.25">
      <c r="Q41" t="s">
        <v>11</v>
      </c>
      <c r="R41" s="6"/>
      <c r="S41" s="6"/>
      <c r="U41" t="s">
        <v>11</v>
      </c>
      <c r="V41" s="6">
        <f t="shared" ref="V41:W41" si="31">IF(G8&gt;=90,1,0)</f>
        <v>0</v>
      </c>
      <c r="W41" s="6">
        <f t="shared" si="31"/>
        <v>0</v>
      </c>
      <c r="Y41" t="s">
        <v>11</v>
      </c>
      <c r="Z41" s="6">
        <f t="shared" ref="Z41:AA41" si="32">IF(L8&gt;=90,1,0)</f>
        <v>0</v>
      </c>
      <c r="AA41" s="6">
        <f t="shared" si="32"/>
        <v>1</v>
      </c>
    </row>
    <row r="42" spans="1:27" x14ac:dyDescent="0.25">
      <c r="Q42" t="s">
        <v>12</v>
      </c>
      <c r="R42" s="6">
        <f t="shared" ref="R42:S42" si="33">IF(B9&gt;=90,1,0)</f>
        <v>1</v>
      </c>
      <c r="S42" s="6">
        <f t="shared" si="33"/>
        <v>0</v>
      </c>
      <c r="U42" t="s">
        <v>12</v>
      </c>
      <c r="V42" s="6">
        <f t="shared" ref="V42:W42" si="34">IF(G9&gt;=90,1,0)</f>
        <v>0</v>
      </c>
      <c r="W42" s="6">
        <f t="shared" si="34"/>
        <v>0</v>
      </c>
      <c r="Y42" t="s">
        <v>12</v>
      </c>
      <c r="Z42" s="6">
        <f t="shared" ref="Z42:AA42" si="35">IF(L9&gt;=90,1,0)</f>
        <v>0</v>
      </c>
      <c r="AA42" s="6">
        <f t="shared" si="35"/>
        <v>0</v>
      </c>
    </row>
    <row r="43" spans="1:27" x14ac:dyDescent="0.25">
      <c r="Q43" t="s">
        <v>13</v>
      </c>
      <c r="R43" s="6">
        <f t="shared" ref="R43:S43" si="36">IF(B10&gt;=90,1,0)</f>
        <v>0</v>
      </c>
      <c r="S43" s="6">
        <f t="shared" si="36"/>
        <v>0</v>
      </c>
      <c r="U43" t="s">
        <v>13</v>
      </c>
      <c r="V43" s="6">
        <f t="shared" ref="V43:W43" si="37">IF(G10&gt;=90,1,0)</f>
        <v>0</v>
      </c>
      <c r="W43" s="6">
        <f t="shared" si="37"/>
        <v>0</v>
      </c>
      <c r="Y43" t="s">
        <v>13</v>
      </c>
      <c r="Z43" s="6">
        <f t="shared" ref="Z43:AA43" si="38">IF(L10&gt;=90,1,0)</f>
        <v>0</v>
      </c>
      <c r="AA43" s="6">
        <f t="shared" si="38"/>
        <v>0</v>
      </c>
    </row>
    <row r="45" spans="1:27" x14ac:dyDescent="0.25">
      <c r="Q45" t="s">
        <v>43</v>
      </c>
      <c r="R45">
        <f>SUM(R36:R43)</f>
        <v>2</v>
      </c>
      <c r="U45" t="s">
        <v>43</v>
      </c>
      <c r="V45">
        <f>SUM(V36:V43)</f>
        <v>0</v>
      </c>
      <c r="Y45" t="s">
        <v>43</v>
      </c>
      <c r="Z45">
        <f>SUM(Z36:Z43)</f>
        <v>1</v>
      </c>
    </row>
    <row r="46" spans="1:27" x14ac:dyDescent="0.25">
      <c r="Q46" t="s">
        <v>42</v>
      </c>
      <c r="R46">
        <f>SUM(S36:S43)</f>
        <v>0</v>
      </c>
      <c r="U46" t="s">
        <v>42</v>
      </c>
      <c r="V46">
        <f>SUM(W36:W43)</f>
        <v>0</v>
      </c>
      <c r="Y46" t="s">
        <v>42</v>
      </c>
      <c r="Z46">
        <f>SUM(AA36:AA43)</f>
        <v>2</v>
      </c>
    </row>
    <row r="47" spans="1:27" x14ac:dyDescent="0.25">
      <c r="Q47" t="s">
        <v>44</v>
      </c>
      <c r="R47">
        <f>SUMIF(R36:R43,"=1",S36:S43)</f>
        <v>0</v>
      </c>
      <c r="U47" t="s">
        <v>44</v>
      </c>
      <c r="V47">
        <f>SUMIF(V36:V43,"=1",W36:W43)</f>
        <v>0</v>
      </c>
      <c r="Y47" t="s">
        <v>44</v>
      </c>
      <c r="Z47">
        <f>SUMIF(Z36:Z43,"=1",AA36:AA43)</f>
        <v>1</v>
      </c>
    </row>
  </sheetData>
  <mergeCells count="3">
    <mergeCell ref="A19:A25"/>
    <mergeCell ref="A26:A33"/>
    <mergeCell ref="A14:A1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637E-95F7-4C53-87D3-8FB866138CC6}">
  <sheetPr codeName="Sheet13"/>
  <dimension ref="A1:Q27"/>
  <sheetViews>
    <sheetView workbookViewId="0">
      <selection activeCell="D30" sqref="D30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</row>
    <row r="3" spans="1:17" x14ac:dyDescent="0.25">
      <c r="A3" t="s">
        <v>5</v>
      </c>
      <c r="B3" s="6">
        <v>47.480601999999998</v>
      </c>
      <c r="C3" s="6">
        <v>69.569613000000004</v>
      </c>
      <c r="D3" s="6">
        <v>77.210594</v>
      </c>
      <c r="E3">
        <v>78.399358000000007</v>
      </c>
      <c r="G3" t="s">
        <v>5</v>
      </c>
      <c r="H3" s="6">
        <v>46.411414999999998</v>
      </c>
      <c r="I3" s="6">
        <v>61.845436999999997</v>
      </c>
      <c r="J3" s="6">
        <v>48.690660000000001</v>
      </c>
      <c r="K3" s="6">
        <v>43.447462000000002</v>
      </c>
      <c r="M3" t="s">
        <v>5</v>
      </c>
      <c r="N3" s="6">
        <v>43.275900999999998</v>
      </c>
      <c r="O3" s="6">
        <v>87.716220000000007</v>
      </c>
      <c r="P3" s="6">
        <v>94.319682999999998</v>
      </c>
      <c r="Q3" s="6">
        <v>94.612196999999995</v>
      </c>
    </row>
    <row r="4" spans="1:17" x14ac:dyDescent="0.25">
      <c r="A4" t="s">
        <v>7</v>
      </c>
      <c r="B4" s="6">
        <v>46.244377999999998</v>
      </c>
      <c r="C4" s="6">
        <v>69.248396</v>
      </c>
      <c r="D4" s="6">
        <v>85.145595</v>
      </c>
      <c r="E4" s="6">
        <v>87.244581999999994</v>
      </c>
      <c r="G4" t="s">
        <v>7</v>
      </c>
      <c r="H4" s="6">
        <v>27.332145000000001</v>
      </c>
      <c r="I4" s="6">
        <v>44.265422999999998</v>
      </c>
      <c r="J4" s="6">
        <v>29.099245</v>
      </c>
      <c r="K4" s="6">
        <v>88.459487999999993</v>
      </c>
      <c r="M4" t="s">
        <v>7</v>
      </c>
      <c r="N4" s="6">
        <v>41.334034000000003</v>
      </c>
      <c r="O4" s="6">
        <v>91.964690000000004</v>
      </c>
      <c r="P4" s="6">
        <v>87.019868000000002</v>
      </c>
      <c r="Q4" s="6">
        <v>88.334901000000002</v>
      </c>
    </row>
    <row r="5" spans="1:17" x14ac:dyDescent="0.25">
      <c r="A5" t="s">
        <v>8</v>
      </c>
      <c r="B5" s="6">
        <v>40.274242999999998</v>
      </c>
      <c r="C5" s="6">
        <v>70.28</v>
      </c>
      <c r="D5" s="6">
        <v>61.236249000000001</v>
      </c>
      <c r="E5" s="6">
        <v>55.630198</v>
      </c>
      <c r="G5" t="s">
        <v>8</v>
      </c>
      <c r="H5" s="6">
        <v>42.862490000000001</v>
      </c>
      <c r="I5" s="6">
        <v>57.943075999999998</v>
      </c>
      <c r="J5" s="6">
        <v>70.211899000000003</v>
      </c>
      <c r="K5" s="6">
        <v>54.684334</v>
      </c>
      <c r="M5" t="s">
        <v>8</v>
      </c>
      <c r="N5" s="6">
        <v>47.662936000000002</v>
      </c>
      <c r="O5" s="6">
        <v>89.293249000000003</v>
      </c>
      <c r="P5" s="6">
        <v>75.105081999999996</v>
      </c>
      <c r="Q5" s="6">
        <v>98.640297000000004</v>
      </c>
    </row>
    <row r="6" spans="1:17" x14ac:dyDescent="0.25">
      <c r="A6" t="s">
        <v>9</v>
      </c>
      <c r="B6" s="6">
        <v>45.616425999999997</v>
      </c>
      <c r="C6" s="6">
        <v>57.834460999999997</v>
      </c>
      <c r="D6" s="6">
        <v>43.228700000000003</v>
      </c>
      <c r="E6" s="6">
        <v>54.903089999999999</v>
      </c>
      <c r="G6" t="s">
        <v>9</v>
      </c>
      <c r="H6" s="6">
        <v>31.22326</v>
      </c>
      <c r="I6" s="6">
        <v>63.719850000000001</v>
      </c>
      <c r="J6" s="6">
        <v>72.901562999999996</v>
      </c>
      <c r="K6" s="6">
        <v>24.942634000000002</v>
      </c>
      <c r="M6" t="s">
        <v>9</v>
      </c>
      <c r="N6" s="6">
        <v>49.653747000000003</v>
      </c>
      <c r="O6" s="6">
        <v>96.026489999999995</v>
      </c>
      <c r="P6" s="6">
        <v>95.341234</v>
      </c>
      <c r="Q6" s="6">
        <v>36</v>
      </c>
    </row>
    <row r="7" spans="1:17" x14ac:dyDescent="0.25">
      <c r="A7" t="s">
        <v>10</v>
      </c>
      <c r="B7">
        <v>35.160986000000001</v>
      </c>
      <c r="C7">
        <v>50.976269000000002</v>
      </c>
      <c r="D7">
        <v>73.871692999999993</v>
      </c>
      <c r="E7">
        <v>46.632021000000002</v>
      </c>
      <c r="G7" t="s">
        <v>10</v>
      </c>
      <c r="H7">
        <v>19.686102999999999</v>
      </c>
      <c r="I7">
        <v>13.849004000000001</v>
      </c>
      <c r="J7">
        <v>21.315622999999999</v>
      </c>
      <c r="K7">
        <v>25.173406</v>
      </c>
      <c r="M7" t="s">
        <v>10</v>
      </c>
      <c r="N7">
        <v>26.201046000000002</v>
      </c>
      <c r="O7">
        <v>57.118433000000003</v>
      </c>
      <c r="P7">
        <v>26.964561</v>
      </c>
      <c r="Q7">
        <v>28.627231999999999</v>
      </c>
    </row>
    <row r="8" spans="1:17" x14ac:dyDescent="0.25">
      <c r="A8" t="s">
        <v>11</v>
      </c>
      <c r="B8">
        <v>21.212121</v>
      </c>
      <c r="C8">
        <v>72.290808999999996</v>
      </c>
      <c r="D8">
        <v>50.229221000000003</v>
      </c>
      <c r="E8">
        <v>31.823329999999999</v>
      </c>
      <c r="G8" t="s">
        <v>11</v>
      </c>
      <c r="H8">
        <v>11.794485</v>
      </c>
      <c r="I8">
        <v>38.073098000000002</v>
      </c>
      <c r="J8">
        <v>33.945152</v>
      </c>
      <c r="K8">
        <v>47.278118999999997</v>
      </c>
      <c r="M8" t="s">
        <v>11</v>
      </c>
      <c r="N8">
        <v>22.923866</v>
      </c>
      <c r="O8">
        <v>48.190044999999998</v>
      </c>
      <c r="P8">
        <v>43.927126000000001</v>
      </c>
      <c r="Q8">
        <v>50.057493000000001</v>
      </c>
    </row>
    <row r="9" spans="1:17" x14ac:dyDescent="0.25">
      <c r="A9" t="s">
        <v>12</v>
      </c>
      <c r="B9">
        <v>29.843093</v>
      </c>
      <c r="C9">
        <v>23.108768999999999</v>
      </c>
      <c r="D9">
        <v>44.630042000000003</v>
      </c>
      <c r="E9">
        <v>32.739308000000001</v>
      </c>
      <c r="G9" t="s">
        <v>12</v>
      </c>
      <c r="H9">
        <v>7.7551019999999999</v>
      </c>
      <c r="I9">
        <v>23.912409</v>
      </c>
      <c r="J9">
        <v>22.390713000000002</v>
      </c>
      <c r="K9">
        <v>14.201855999999999</v>
      </c>
      <c r="M9" t="s">
        <v>12</v>
      </c>
      <c r="N9">
        <v>23.942340999999999</v>
      </c>
      <c r="O9">
        <v>40.521959000000003</v>
      </c>
      <c r="P9">
        <v>15.324350000000001</v>
      </c>
      <c r="Q9">
        <v>23.634622</v>
      </c>
    </row>
    <row r="10" spans="1:17" x14ac:dyDescent="0.25">
      <c r="A10" t="s">
        <v>13</v>
      </c>
      <c r="B10">
        <v>18.994902</v>
      </c>
      <c r="C10">
        <v>31.436017</v>
      </c>
      <c r="D10">
        <v>36.174183999999997</v>
      </c>
      <c r="E10">
        <v>12.79508</v>
      </c>
      <c r="G10" t="s">
        <v>13</v>
      </c>
      <c r="H10">
        <v>28.098783000000001</v>
      </c>
      <c r="I10">
        <v>40.219728000000003</v>
      </c>
      <c r="J10">
        <v>32.049160999999998</v>
      </c>
      <c r="K10">
        <v>14.409838000000001</v>
      </c>
      <c r="M10" t="s">
        <v>13</v>
      </c>
      <c r="N10">
        <v>24.642254000000001</v>
      </c>
      <c r="O10">
        <v>36.008755999999998</v>
      </c>
      <c r="P10">
        <v>18.566775</v>
      </c>
      <c r="Q10">
        <v>33.660589000000002</v>
      </c>
    </row>
    <row r="11" spans="1:17" x14ac:dyDescent="0.25">
      <c r="A11" t="s">
        <v>5</v>
      </c>
      <c r="G11" t="s">
        <v>5</v>
      </c>
      <c r="M11" t="s">
        <v>5</v>
      </c>
    </row>
    <row r="12" spans="1:17" x14ac:dyDescent="0.25">
      <c r="A12" t="s">
        <v>7</v>
      </c>
      <c r="G12" t="s">
        <v>7</v>
      </c>
      <c r="M12" t="s">
        <v>7</v>
      </c>
    </row>
    <row r="13" spans="1:17" x14ac:dyDescent="0.25">
      <c r="A13" t="s">
        <v>8</v>
      </c>
      <c r="G13" t="s">
        <v>8</v>
      </c>
      <c r="M13" t="s">
        <v>8</v>
      </c>
    </row>
    <row r="14" spans="1:17" x14ac:dyDescent="0.25">
      <c r="A14" t="s">
        <v>9</v>
      </c>
      <c r="G14" t="s">
        <v>9</v>
      </c>
      <c r="M14" t="s">
        <v>9</v>
      </c>
    </row>
    <row r="15" spans="1:17" x14ac:dyDescent="0.25">
      <c r="A15" t="s">
        <v>10</v>
      </c>
      <c r="G15" t="s">
        <v>10</v>
      </c>
      <c r="M15" t="s">
        <v>10</v>
      </c>
    </row>
    <row r="16" spans="1:17" x14ac:dyDescent="0.25">
      <c r="A16" t="s">
        <v>11</v>
      </c>
      <c r="G16" t="s">
        <v>11</v>
      </c>
      <c r="M16" t="s">
        <v>11</v>
      </c>
    </row>
    <row r="17" spans="1:17" x14ac:dyDescent="0.25">
      <c r="A17" t="s">
        <v>12</v>
      </c>
      <c r="G17" t="s">
        <v>12</v>
      </c>
      <c r="M17" t="s">
        <v>12</v>
      </c>
    </row>
    <row r="18" spans="1:17" x14ac:dyDescent="0.25">
      <c r="A18" t="s">
        <v>13</v>
      </c>
      <c r="G18" t="s">
        <v>13</v>
      </c>
      <c r="M18" t="s">
        <v>13</v>
      </c>
    </row>
    <row r="19" spans="1:1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</row>
    <row r="20" spans="1:17" x14ac:dyDescent="0.25">
      <c r="A20" t="s">
        <v>14</v>
      </c>
      <c r="B20">
        <f>COUNT(B3:B18)</f>
        <v>8</v>
      </c>
      <c r="C20">
        <f t="shared" ref="C20:D20" si="0">COUNT(C3:C18)</f>
        <v>8</v>
      </c>
      <c r="D20">
        <f t="shared" si="0"/>
        <v>8</v>
      </c>
      <c r="E20">
        <f t="shared" ref="E20" si="1">COUNT(E3:E18)</f>
        <v>8</v>
      </c>
      <c r="G20" t="s">
        <v>14</v>
      </c>
      <c r="H20">
        <f>COUNT(H3:H18)</f>
        <v>8</v>
      </c>
      <c r="I20">
        <f t="shared" ref="I20:K20" si="2">COUNT(I3:I18)</f>
        <v>8</v>
      </c>
      <c r="J20">
        <f t="shared" si="2"/>
        <v>8</v>
      </c>
      <c r="K20">
        <f t="shared" si="2"/>
        <v>8</v>
      </c>
      <c r="M20" t="s">
        <v>14</v>
      </c>
      <c r="N20">
        <f>COUNT(N3:N18)</f>
        <v>8</v>
      </c>
      <c r="O20">
        <f t="shared" ref="O20:Q20" si="3">COUNT(O3:O18)</f>
        <v>8</v>
      </c>
      <c r="P20">
        <f t="shared" si="3"/>
        <v>8</v>
      </c>
      <c r="Q20">
        <f t="shared" si="3"/>
        <v>8</v>
      </c>
    </row>
    <row r="21" spans="1:17" x14ac:dyDescent="0.25">
      <c r="A21" t="s">
        <v>15</v>
      </c>
      <c r="B21">
        <f>MAX(B3:B18)</f>
        <v>47.480601999999998</v>
      </c>
      <c r="C21">
        <f t="shared" ref="C21:D21" si="4">MAX(C3:C18)</f>
        <v>72.290808999999996</v>
      </c>
      <c r="D21">
        <f t="shared" si="4"/>
        <v>85.145595</v>
      </c>
      <c r="E21">
        <f t="shared" ref="E21" si="5">MAX(E3:E18)</f>
        <v>87.244581999999994</v>
      </c>
      <c r="G21" t="s">
        <v>15</v>
      </c>
      <c r="H21">
        <f>MAX(H3:H18)</f>
        <v>46.411414999999998</v>
      </c>
      <c r="I21">
        <f t="shared" ref="I21:K21" si="6">MAX(I3:I18)</f>
        <v>63.719850000000001</v>
      </c>
      <c r="J21">
        <f t="shared" si="6"/>
        <v>72.901562999999996</v>
      </c>
      <c r="K21">
        <f t="shared" si="6"/>
        <v>88.459487999999993</v>
      </c>
      <c r="M21" t="s">
        <v>15</v>
      </c>
      <c r="N21">
        <f>MAX(N3:N18)</f>
        <v>49.653747000000003</v>
      </c>
      <c r="O21">
        <f t="shared" ref="O21:Q21" si="7">MAX(O3:O18)</f>
        <v>96.026489999999995</v>
      </c>
      <c r="P21">
        <f t="shared" si="7"/>
        <v>95.341234</v>
      </c>
      <c r="Q21">
        <f t="shared" si="7"/>
        <v>98.640297000000004</v>
      </c>
    </row>
    <row r="22" spans="1:17" x14ac:dyDescent="0.25">
      <c r="A22" t="s">
        <v>16</v>
      </c>
      <c r="B22">
        <f>MIN(B3:B18)</f>
        <v>18.994902</v>
      </c>
      <c r="C22">
        <f t="shared" ref="C22:D22" si="8">MIN(C3:C18)</f>
        <v>23.108768999999999</v>
      </c>
      <c r="D22">
        <f t="shared" si="8"/>
        <v>36.174183999999997</v>
      </c>
      <c r="E22">
        <f t="shared" ref="E22" si="9">MIN(E3:E18)</f>
        <v>12.79508</v>
      </c>
      <c r="G22" t="s">
        <v>16</v>
      </c>
      <c r="H22">
        <f>MIN(H3:H18)</f>
        <v>7.7551019999999999</v>
      </c>
      <c r="I22">
        <f t="shared" ref="I22:K22" si="10">MIN(I3:I18)</f>
        <v>13.849004000000001</v>
      </c>
      <c r="J22">
        <f t="shared" si="10"/>
        <v>21.315622999999999</v>
      </c>
      <c r="K22">
        <f t="shared" si="10"/>
        <v>14.201855999999999</v>
      </c>
      <c r="M22" t="s">
        <v>16</v>
      </c>
      <c r="N22">
        <f>MIN(N3:N18)</f>
        <v>22.923866</v>
      </c>
      <c r="O22">
        <f t="shared" ref="O22:Q22" si="11">MIN(O3:O18)</f>
        <v>36.008755999999998</v>
      </c>
      <c r="P22">
        <f t="shared" si="11"/>
        <v>15.324350000000001</v>
      </c>
      <c r="Q22">
        <f t="shared" si="11"/>
        <v>23.634622</v>
      </c>
    </row>
    <row r="23" spans="1:17" x14ac:dyDescent="0.25">
      <c r="A23" t="s">
        <v>17</v>
      </c>
      <c r="B23">
        <f>AVERAGE(B3:B18)</f>
        <v>35.603343875</v>
      </c>
      <c r="C23">
        <f t="shared" ref="C23:D23" si="12">AVERAGE(C3:C18)</f>
        <v>55.593041750000005</v>
      </c>
      <c r="D23">
        <f t="shared" si="12"/>
        <v>58.965784749999997</v>
      </c>
      <c r="E23">
        <f t="shared" ref="E23" si="13">AVERAGE(E3:E18)</f>
        <v>50.020870875</v>
      </c>
      <c r="G23" t="s">
        <v>17</v>
      </c>
      <c r="H23">
        <f>AVERAGE(H3:H18)</f>
        <v>26.895472875000003</v>
      </c>
      <c r="I23">
        <f t="shared" ref="I23:K23" si="14">AVERAGE(I3:I18)</f>
        <v>42.978503125000003</v>
      </c>
      <c r="J23">
        <f t="shared" si="14"/>
        <v>41.325502</v>
      </c>
      <c r="K23">
        <f t="shared" si="14"/>
        <v>39.074642124999997</v>
      </c>
      <c r="M23" t="s">
        <v>17</v>
      </c>
      <c r="N23">
        <f>AVERAGE(N3:N18)</f>
        <v>34.954515624999999</v>
      </c>
      <c r="O23">
        <f t="shared" ref="O23:Q23" si="15">AVERAGE(O3:O18)</f>
        <v>68.354980249999983</v>
      </c>
      <c r="P23">
        <f t="shared" si="15"/>
        <v>57.071084874999997</v>
      </c>
      <c r="Q23">
        <f t="shared" si="15"/>
        <v>56.695916375000003</v>
      </c>
    </row>
    <row r="24" spans="1:17" x14ac:dyDescent="0.25">
      <c r="A24" t="s">
        <v>18</v>
      </c>
      <c r="B24">
        <f>STDEV(B3:B18)</f>
        <v>11.292878843899194</v>
      </c>
      <c r="C24">
        <f t="shared" ref="C24:D24" si="16">STDEV(C3:C18)</f>
        <v>19.054297562191095</v>
      </c>
      <c r="D24">
        <f t="shared" si="16"/>
        <v>18.105052986433332</v>
      </c>
      <c r="E24">
        <f t="shared" ref="E24" si="17">STDEV(E3:E18)</f>
        <v>24.707692656468094</v>
      </c>
      <c r="G24" t="s">
        <v>18</v>
      </c>
      <c r="H24">
        <f>STDEV(H3:H18)</f>
        <v>13.641086352452129</v>
      </c>
      <c r="I24">
        <f t="shared" ref="I24:K24" si="18">STDEV(I3:I18)</f>
        <v>17.950235860829952</v>
      </c>
      <c r="J24">
        <f t="shared" si="18"/>
        <v>20.475211609066235</v>
      </c>
      <c r="K24">
        <f t="shared" si="18"/>
        <v>25.039711718503931</v>
      </c>
      <c r="M24" t="s">
        <v>18</v>
      </c>
      <c r="N24">
        <f>STDEV(N3:N18)</f>
        <v>11.566488239546546</v>
      </c>
      <c r="O24">
        <f t="shared" ref="O24:Q24" si="19">STDEV(O3:O18)</f>
        <v>25.32711548659778</v>
      </c>
      <c r="P24">
        <f t="shared" si="19"/>
        <v>34.597182432177284</v>
      </c>
      <c r="Q24">
        <f t="shared" si="19"/>
        <v>31.807269846515887</v>
      </c>
    </row>
    <row r="25" spans="1:17" x14ac:dyDescent="0.25">
      <c r="A25" t="s">
        <v>19</v>
      </c>
      <c r="B25">
        <f>B23+2*B24</f>
        <v>58.189101562798385</v>
      </c>
      <c r="C25">
        <f t="shared" ref="C25:D25" si="20">C23+2*C24</f>
        <v>93.701636874382189</v>
      </c>
      <c r="D25">
        <f t="shared" si="20"/>
        <v>95.175890722866654</v>
      </c>
      <c r="E25">
        <f t="shared" ref="E25" si="21">E23+2*E24</f>
        <v>99.436256187936181</v>
      </c>
      <c r="G25" t="s">
        <v>19</v>
      </c>
      <c r="H25">
        <f>H23+2*H24</f>
        <v>54.177645579904265</v>
      </c>
      <c r="I25">
        <f t="shared" ref="I25:K25" si="22">I23+2*I24</f>
        <v>78.878974846659901</v>
      </c>
      <c r="J25">
        <f t="shared" si="22"/>
        <v>82.275925218132471</v>
      </c>
      <c r="K25">
        <f t="shared" si="22"/>
        <v>89.154065562007858</v>
      </c>
      <c r="M25" t="s">
        <v>19</v>
      </c>
      <c r="N25">
        <f>N23+2*N24</f>
        <v>58.087492104093087</v>
      </c>
      <c r="O25">
        <f t="shared" ref="O25:Q25" si="23">O23+2*O24</f>
        <v>119.00921122319554</v>
      </c>
      <c r="P25">
        <f t="shared" si="23"/>
        <v>126.26544973935457</v>
      </c>
      <c r="Q25">
        <f t="shared" si="23"/>
        <v>120.31045606803178</v>
      </c>
    </row>
    <row r="26" spans="1:17" x14ac:dyDescent="0.25">
      <c r="A26" t="s">
        <v>20</v>
      </c>
      <c r="B26">
        <f>B23-2*B24</f>
        <v>13.017586187201612</v>
      </c>
      <c r="C26">
        <f t="shared" ref="C26:D26" si="24">C23-2*C24</f>
        <v>17.484446625617814</v>
      </c>
      <c r="D26">
        <f t="shared" si="24"/>
        <v>22.755678777133333</v>
      </c>
      <c r="E26">
        <f t="shared" ref="E26" si="25">E23-2*E24</f>
        <v>0.60548556206381221</v>
      </c>
      <c r="G26" t="s">
        <v>20</v>
      </c>
      <c r="H26">
        <f>H23-2*H24</f>
        <v>-0.38669982990425567</v>
      </c>
      <c r="I26">
        <f t="shared" ref="I26:K26" si="26">I23-2*I24</f>
        <v>7.0780314033400984</v>
      </c>
      <c r="J26">
        <f t="shared" si="26"/>
        <v>0.37507878186752919</v>
      </c>
      <c r="K26">
        <f t="shared" si="26"/>
        <v>-11.004781312007864</v>
      </c>
      <c r="M26" t="s">
        <v>20</v>
      </c>
      <c r="N26">
        <f>N23-2*N24</f>
        <v>11.821539145906907</v>
      </c>
      <c r="O26">
        <f t="shared" ref="O26:Q26" si="27">O23-2*O24</f>
        <v>17.700749276804423</v>
      </c>
      <c r="P26">
        <f t="shared" si="27"/>
        <v>-12.123279989354572</v>
      </c>
      <c r="Q26">
        <f t="shared" si="27"/>
        <v>-6.91862331803177</v>
      </c>
    </row>
    <row r="27" spans="1:17" x14ac:dyDescent="0.25">
      <c r="A27" t="s">
        <v>21</v>
      </c>
      <c r="B27">
        <f>VAR(B3:B18)</f>
        <v>127.52911258298602</v>
      </c>
      <c r="C27">
        <f t="shared" ref="C27:D27" si="28">VAR(C3:C18)</f>
        <v>363.06625558852153</v>
      </c>
      <c r="D27">
        <f t="shared" si="28"/>
        <v>327.79294364155845</v>
      </c>
      <c r="E27">
        <f t="shared" ref="E27" si="29">VAR(E3:E18)</f>
        <v>610.47007640648735</v>
      </c>
      <c r="G27" t="s">
        <v>21</v>
      </c>
      <c r="H27">
        <f>VAR(H3:H18)</f>
        <v>186.07923687505576</v>
      </c>
      <c r="I27">
        <f t="shared" ref="I27:K27" si="30">VAR(I3:I18)</f>
        <v>322.21096745942566</v>
      </c>
      <c r="J27">
        <f t="shared" si="30"/>
        <v>419.23429043604068</v>
      </c>
      <c r="K27">
        <f t="shared" si="30"/>
        <v>626.98716294578298</v>
      </c>
      <c r="M27" t="s">
        <v>21</v>
      </c>
      <c r="N27">
        <f>VAR(N3:N18)</f>
        <v>133.78365019556855</v>
      </c>
      <c r="O27">
        <f t="shared" ref="O27:Q27" si="31">VAR(O3:O18)</f>
        <v>641.46277887146118</v>
      </c>
      <c r="P27">
        <f t="shared" si="31"/>
        <v>1196.9650322453563</v>
      </c>
      <c r="Q27">
        <f t="shared" si="31"/>
        <v>1011.7024150890787</v>
      </c>
    </row>
  </sheetData>
  <conditionalFormatting sqref="B7:E7 B8:D10 E9:E10 B11:E18">
    <cfRule type="cellIs" dxfId="45" priority="5" operator="lessThan">
      <formula>B$26</formula>
    </cfRule>
    <cfRule type="cellIs" dxfId="44" priority="6" operator="greaterThan">
      <formula>B$25</formula>
    </cfRule>
  </conditionalFormatting>
  <conditionalFormatting sqref="H7:K18">
    <cfRule type="cellIs" dxfId="43" priority="3" operator="lessThan">
      <formula>H$26</formula>
    </cfRule>
    <cfRule type="cellIs" dxfId="42" priority="4" operator="greaterThan">
      <formula>H$25</formula>
    </cfRule>
  </conditionalFormatting>
  <conditionalFormatting sqref="N7:Q18">
    <cfRule type="cellIs" dxfId="41" priority="1" operator="lessThan">
      <formula>N$26</formula>
    </cfRule>
    <cfRule type="cellIs" dxfId="40" priority="2" operator="greaterThan">
      <formula>N$25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AF28-72C4-4DB5-9051-EF87335C6C33}">
  <sheetPr codeName="Sheet14"/>
  <dimension ref="A1:Q27"/>
  <sheetViews>
    <sheetView workbookViewId="0">
      <selection sqref="A1:Q27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</row>
    <row r="3" spans="1:17" x14ac:dyDescent="0.25">
      <c r="A3" t="s">
        <v>5</v>
      </c>
      <c r="B3" s="6">
        <v>13947</v>
      </c>
      <c r="C3" s="6">
        <v>9873</v>
      </c>
      <c r="D3" s="6">
        <v>7141</v>
      </c>
      <c r="E3">
        <v>5929</v>
      </c>
      <c r="G3" t="s">
        <v>5</v>
      </c>
      <c r="H3" s="6">
        <v>10697</v>
      </c>
      <c r="I3" s="6">
        <v>6924</v>
      </c>
      <c r="J3" s="6">
        <v>4682</v>
      </c>
      <c r="K3" s="6">
        <v>3736</v>
      </c>
      <c r="M3" t="s">
        <v>5</v>
      </c>
      <c r="N3" s="6">
        <v>8938</v>
      </c>
      <c r="O3" s="6">
        <v>3989</v>
      </c>
      <c r="P3" s="6">
        <v>2271</v>
      </c>
      <c r="Q3" s="6">
        <v>1689</v>
      </c>
    </row>
    <row r="4" spans="1:17" x14ac:dyDescent="0.25">
      <c r="A4" t="s">
        <v>7</v>
      </c>
      <c r="B4" s="6">
        <v>13464</v>
      </c>
      <c r="C4" s="6">
        <v>9434</v>
      </c>
      <c r="D4" s="6">
        <v>3708</v>
      </c>
      <c r="E4" s="6">
        <v>3752</v>
      </c>
      <c r="G4" t="s">
        <v>7</v>
      </c>
      <c r="H4" s="6">
        <v>13340</v>
      </c>
      <c r="I4" s="6">
        <v>6546</v>
      </c>
      <c r="J4" s="6">
        <v>2713</v>
      </c>
      <c r="K4" s="6">
        <v>1615</v>
      </c>
      <c r="M4" t="s">
        <v>7</v>
      </c>
      <c r="N4" s="6">
        <v>9520</v>
      </c>
      <c r="O4" s="6">
        <v>4418</v>
      </c>
      <c r="P4" s="6">
        <v>4530</v>
      </c>
      <c r="Q4" s="6">
        <v>2126</v>
      </c>
    </row>
    <row r="5" spans="1:17" x14ac:dyDescent="0.25">
      <c r="A5" t="s">
        <v>8</v>
      </c>
      <c r="B5" s="6">
        <v>13359</v>
      </c>
      <c r="C5" s="6">
        <v>9908</v>
      </c>
      <c r="D5" s="6">
        <v>7362</v>
      </c>
      <c r="E5" s="6">
        <v>6415</v>
      </c>
      <c r="G5" t="s">
        <v>8</v>
      </c>
      <c r="H5" s="6">
        <v>12179</v>
      </c>
      <c r="I5" s="6">
        <v>7500</v>
      </c>
      <c r="J5" s="6">
        <v>3818</v>
      </c>
      <c r="K5" s="6">
        <v>3126</v>
      </c>
      <c r="M5" t="s">
        <v>8</v>
      </c>
      <c r="N5" s="6">
        <v>10633</v>
      </c>
      <c r="O5" s="6">
        <v>3792</v>
      </c>
      <c r="P5" s="6">
        <v>5234</v>
      </c>
      <c r="Q5" s="6">
        <v>2427</v>
      </c>
    </row>
    <row r="6" spans="1:17" x14ac:dyDescent="0.25">
      <c r="A6" t="s">
        <v>9</v>
      </c>
      <c r="B6" s="6">
        <v>11453</v>
      </c>
      <c r="C6" s="6">
        <v>9038</v>
      </c>
      <c r="D6" s="6">
        <v>6207</v>
      </c>
      <c r="E6" s="6">
        <v>4358</v>
      </c>
      <c r="G6" t="s">
        <v>9</v>
      </c>
      <c r="H6" s="6">
        <v>11007</v>
      </c>
      <c r="I6" s="6">
        <v>7684</v>
      </c>
      <c r="J6" s="6">
        <v>2230</v>
      </c>
      <c r="K6" s="6">
        <v>5211</v>
      </c>
      <c r="M6" t="s">
        <v>9</v>
      </c>
      <c r="N6" s="6">
        <v>9675</v>
      </c>
      <c r="O6" s="6">
        <v>755</v>
      </c>
      <c r="P6" s="6">
        <v>2447</v>
      </c>
      <c r="Q6" s="6">
        <v>1150</v>
      </c>
    </row>
    <row r="7" spans="1:17" x14ac:dyDescent="0.25">
      <c r="A7" t="s">
        <v>10</v>
      </c>
      <c r="B7">
        <v>7423</v>
      </c>
      <c r="C7">
        <v>3329</v>
      </c>
      <c r="D7">
        <v>5783</v>
      </c>
      <c r="E7">
        <v>5003</v>
      </c>
      <c r="G7" t="s">
        <v>10</v>
      </c>
      <c r="H7">
        <v>9621</v>
      </c>
      <c r="I7">
        <v>6477</v>
      </c>
      <c r="J7">
        <v>6324</v>
      </c>
      <c r="K7">
        <v>5911</v>
      </c>
      <c r="M7" t="s">
        <v>10</v>
      </c>
      <c r="N7">
        <v>10137</v>
      </c>
      <c r="O7">
        <v>6434</v>
      </c>
      <c r="P7">
        <v>7139</v>
      </c>
      <c r="Q7">
        <v>3584</v>
      </c>
    </row>
    <row r="8" spans="1:17" x14ac:dyDescent="0.25">
      <c r="A8" t="s">
        <v>11</v>
      </c>
      <c r="B8">
        <v>6402</v>
      </c>
      <c r="C8">
        <v>2187</v>
      </c>
      <c r="D8">
        <v>5017</v>
      </c>
      <c r="E8">
        <v>5298</v>
      </c>
      <c r="G8" t="s">
        <v>11</v>
      </c>
      <c r="H8">
        <v>9284</v>
      </c>
      <c r="I8">
        <v>7743</v>
      </c>
      <c r="J8">
        <v>4631</v>
      </c>
      <c r="K8">
        <v>4721</v>
      </c>
      <c r="M8" t="s">
        <v>11</v>
      </c>
      <c r="N8">
        <v>9549</v>
      </c>
      <c r="O8">
        <v>5746</v>
      </c>
      <c r="P8">
        <v>8398</v>
      </c>
      <c r="Q8">
        <v>5218</v>
      </c>
    </row>
    <row r="9" spans="1:17" x14ac:dyDescent="0.25">
      <c r="A9" t="s">
        <v>12</v>
      </c>
      <c r="B9">
        <v>9751</v>
      </c>
      <c r="C9">
        <v>5314</v>
      </c>
      <c r="D9">
        <v>8082</v>
      </c>
      <c r="E9">
        <v>5892</v>
      </c>
      <c r="G9" t="s">
        <v>12</v>
      </c>
      <c r="H9">
        <v>8330</v>
      </c>
      <c r="I9">
        <v>6850</v>
      </c>
      <c r="J9">
        <v>9562</v>
      </c>
      <c r="K9">
        <v>5281</v>
      </c>
      <c r="M9" t="s">
        <v>12</v>
      </c>
      <c r="N9">
        <v>8533</v>
      </c>
      <c r="O9">
        <v>7127</v>
      </c>
      <c r="P9">
        <v>3191</v>
      </c>
      <c r="Q9">
        <v>6262</v>
      </c>
    </row>
    <row r="10" spans="1:17" x14ac:dyDescent="0.25">
      <c r="A10" t="s">
        <v>13</v>
      </c>
      <c r="B10">
        <v>6865</v>
      </c>
      <c r="C10">
        <v>7291</v>
      </c>
      <c r="D10">
        <v>6430</v>
      </c>
      <c r="E10">
        <v>5041</v>
      </c>
      <c r="G10" t="s">
        <v>13</v>
      </c>
      <c r="H10">
        <v>8463</v>
      </c>
      <c r="I10">
        <v>8374</v>
      </c>
      <c r="J10">
        <v>8462</v>
      </c>
      <c r="K10">
        <v>7481</v>
      </c>
      <c r="M10" t="s">
        <v>13</v>
      </c>
      <c r="N10">
        <v>8875</v>
      </c>
      <c r="O10">
        <v>5482</v>
      </c>
      <c r="P10">
        <v>5833</v>
      </c>
      <c r="Q10">
        <v>6417</v>
      </c>
    </row>
    <row r="11" spans="1:17" x14ac:dyDescent="0.25">
      <c r="A11" t="s">
        <v>5</v>
      </c>
      <c r="G11" t="s">
        <v>5</v>
      </c>
      <c r="M11" t="s">
        <v>5</v>
      </c>
    </row>
    <row r="12" spans="1:17" x14ac:dyDescent="0.25">
      <c r="A12" t="s">
        <v>7</v>
      </c>
      <c r="G12" t="s">
        <v>7</v>
      </c>
      <c r="M12" t="s">
        <v>7</v>
      </c>
    </row>
    <row r="13" spans="1:17" x14ac:dyDescent="0.25">
      <c r="A13" t="s">
        <v>8</v>
      </c>
      <c r="G13" t="s">
        <v>8</v>
      </c>
      <c r="M13" t="s">
        <v>8</v>
      </c>
    </row>
    <row r="14" spans="1:17" x14ac:dyDescent="0.25">
      <c r="A14" t="s">
        <v>9</v>
      </c>
      <c r="G14" t="s">
        <v>9</v>
      </c>
      <c r="M14" t="s">
        <v>9</v>
      </c>
    </row>
    <row r="15" spans="1:17" x14ac:dyDescent="0.25">
      <c r="A15" t="s">
        <v>10</v>
      </c>
      <c r="G15" t="s">
        <v>10</v>
      </c>
      <c r="M15" t="s">
        <v>10</v>
      </c>
    </row>
    <row r="16" spans="1:17" x14ac:dyDescent="0.25">
      <c r="A16" t="s">
        <v>11</v>
      </c>
      <c r="G16" t="s">
        <v>11</v>
      </c>
      <c r="M16" t="s">
        <v>11</v>
      </c>
    </row>
    <row r="17" spans="1:17" x14ac:dyDescent="0.25">
      <c r="A17" t="s">
        <v>12</v>
      </c>
      <c r="G17" t="s">
        <v>12</v>
      </c>
      <c r="M17" t="s">
        <v>12</v>
      </c>
    </row>
    <row r="18" spans="1:17" x14ac:dyDescent="0.25">
      <c r="A18" t="s">
        <v>13</v>
      </c>
      <c r="G18" t="s">
        <v>13</v>
      </c>
      <c r="M18" t="s">
        <v>13</v>
      </c>
    </row>
    <row r="19" spans="1:1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</row>
    <row r="20" spans="1:17" x14ac:dyDescent="0.25">
      <c r="A20" t="s">
        <v>14</v>
      </c>
      <c r="B20">
        <f>COUNT(B3:B18)</f>
        <v>8</v>
      </c>
      <c r="C20">
        <f t="shared" ref="C20:D20" si="0">COUNT(C3:C18)</f>
        <v>8</v>
      </c>
      <c r="D20">
        <f t="shared" si="0"/>
        <v>8</v>
      </c>
      <c r="E20">
        <f t="shared" ref="E20" si="1">COUNT(E3:E18)</f>
        <v>8</v>
      </c>
      <c r="G20" t="s">
        <v>14</v>
      </c>
      <c r="H20">
        <f>COUNT(H3:H18)</f>
        <v>8</v>
      </c>
      <c r="I20">
        <f t="shared" ref="I20:K20" si="2">COUNT(I3:I18)</f>
        <v>8</v>
      </c>
      <c r="J20">
        <f t="shared" si="2"/>
        <v>8</v>
      </c>
      <c r="K20">
        <f t="shared" si="2"/>
        <v>8</v>
      </c>
      <c r="M20" t="s">
        <v>14</v>
      </c>
      <c r="N20">
        <f>COUNT(N3:N18)</f>
        <v>8</v>
      </c>
      <c r="O20">
        <f t="shared" ref="O20:Q20" si="3">COUNT(O3:O18)</f>
        <v>8</v>
      </c>
      <c r="P20">
        <f t="shared" si="3"/>
        <v>8</v>
      </c>
      <c r="Q20">
        <f t="shared" si="3"/>
        <v>8</v>
      </c>
    </row>
    <row r="21" spans="1:17" x14ac:dyDescent="0.25">
      <c r="A21" t="s">
        <v>15</v>
      </c>
      <c r="B21">
        <f>MAX(B3:B18)</f>
        <v>13947</v>
      </c>
      <c r="C21">
        <f t="shared" ref="C21:D21" si="4">MAX(C3:C18)</f>
        <v>9908</v>
      </c>
      <c r="D21">
        <f t="shared" si="4"/>
        <v>8082</v>
      </c>
      <c r="E21">
        <f t="shared" ref="E21" si="5">MAX(E3:E18)</f>
        <v>6415</v>
      </c>
      <c r="G21" t="s">
        <v>15</v>
      </c>
      <c r="H21">
        <f>MAX(H3:H18)</f>
        <v>13340</v>
      </c>
      <c r="I21">
        <f t="shared" ref="I21:K21" si="6">MAX(I3:I18)</f>
        <v>8374</v>
      </c>
      <c r="J21">
        <f t="shared" si="6"/>
        <v>9562</v>
      </c>
      <c r="K21">
        <f t="shared" si="6"/>
        <v>7481</v>
      </c>
      <c r="M21" t="s">
        <v>15</v>
      </c>
      <c r="N21">
        <f>MAX(N3:N18)</f>
        <v>10633</v>
      </c>
      <c r="O21">
        <f t="shared" ref="O21:Q21" si="7">MAX(O3:O18)</f>
        <v>7127</v>
      </c>
      <c r="P21">
        <f t="shared" si="7"/>
        <v>8398</v>
      </c>
      <c r="Q21">
        <f t="shared" si="7"/>
        <v>6417</v>
      </c>
    </row>
    <row r="22" spans="1:17" x14ac:dyDescent="0.25">
      <c r="A22" t="s">
        <v>16</v>
      </c>
      <c r="B22">
        <f>MIN(B3:B18)</f>
        <v>6402</v>
      </c>
      <c r="C22">
        <f t="shared" ref="C22:D22" si="8">MIN(C3:C18)</f>
        <v>2187</v>
      </c>
      <c r="D22">
        <f t="shared" si="8"/>
        <v>3708</v>
      </c>
      <c r="E22">
        <f t="shared" ref="E22" si="9">MIN(E3:E18)</f>
        <v>3752</v>
      </c>
      <c r="G22" t="s">
        <v>16</v>
      </c>
      <c r="H22">
        <f>MIN(H3:H18)</f>
        <v>8330</v>
      </c>
      <c r="I22">
        <f t="shared" ref="I22:K22" si="10">MIN(I3:I18)</f>
        <v>6477</v>
      </c>
      <c r="J22">
        <f t="shared" si="10"/>
        <v>2230</v>
      </c>
      <c r="K22">
        <f t="shared" si="10"/>
        <v>1615</v>
      </c>
      <c r="M22" t="s">
        <v>16</v>
      </c>
      <c r="N22">
        <f>MIN(N3:N18)</f>
        <v>8533</v>
      </c>
      <c r="O22">
        <f t="shared" ref="O22:Q22" si="11">MIN(O3:O18)</f>
        <v>755</v>
      </c>
      <c r="P22">
        <f t="shared" si="11"/>
        <v>2271</v>
      </c>
      <c r="Q22">
        <f t="shared" si="11"/>
        <v>1150</v>
      </c>
    </row>
    <row r="23" spans="1:17" x14ac:dyDescent="0.25">
      <c r="A23" t="s">
        <v>17</v>
      </c>
      <c r="B23">
        <f>AVERAGE(B3:B18)</f>
        <v>10333</v>
      </c>
      <c r="C23">
        <f t="shared" ref="C23:D23" si="12">AVERAGE(C3:C18)</f>
        <v>7046.75</v>
      </c>
      <c r="D23">
        <f t="shared" si="12"/>
        <v>6216.25</v>
      </c>
      <c r="E23">
        <f t="shared" ref="E23" si="13">AVERAGE(E3:E18)</f>
        <v>5211</v>
      </c>
      <c r="G23" t="s">
        <v>17</v>
      </c>
      <c r="H23">
        <f>AVERAGE(H3:H18)</f>
        <v>10365.125</v>
      </c>
      <c r="I23">
        <f t="shared" ref="I23:K23" si="14">AVERAGE(I3:I18)</f>
        <v>7262.25</v>
      </c>
      <c r="J23">
        <f t="shared" si="14"/>
        <v>5302.75</v>
      </c>
      <c r="K23">
        <f t="shared" si="14"/>
        <v>4635.25</v>
      </c>
      <c r="M23" t="s">
        <v>17</v>
      </c>
      <c r="N23">
        <f>AVERAGE(N3:N18)</f>
        <v>9482.5</v>
      </c>
      <c r="O23">
        <f t="shared" ref="O23:Q23" si="15">AVERAGE(O3:O18)</f>
        <v>4717.875</v>
      </c>
      <c r="P23">
        <f t="shared" si="15"/>
        <v>4880.375</v>
      </c>
      <c r="Q23">
        <f t="shared" si="15"/>
        <v>3609.125</v>
      </c>
    </row>
    <row r="24" spans="1:17" x14ac:dyDescent="0.25">
      <c r="A24" t="s">
        <v>18</v>
      </c>
      <c r="B24">
        <f>STDEV(B3:B18)</f>
        <v>3152.3651438245538</v>
      </c>
      <c r="C24">
        <f t="shared" ref="C24:D24" si="16">STDEV(C3:C18)</f>
        <v>3078.4828243795678</v>
      </c>
      <c r="D24">
        <f t="shared" si="16"/>
        <v>1394.4751957021579</v>
      </c>
      <c r="E24">
        <f t="shared" ref="E24" si="17">STDEV(E3:E18)</f>
        <v>875.45286240077735</v>
      </c>
      <c r="G24" t="s">
        <v>18</v>
      </c>
      <c r="H24">
        <f>STDEV(H3:H18)</f>
        <v>1778.6244634949946</v>
      </c>
      <c r="I24">
        <f t="shared" ref="I24:K24" si="18">STDEV(I3:I18)</f>
        <v>667.1368996369057</v>
      </c>
      <c r="J24">
        <f t="shared" si="18"/>
        <v>2628.2716075126527</v>
      </c>
      <c r="K24">
        <f t="shared" si="18"/>
        <v>1800.3992216013805</v>
      </c>
      <c r="M24" t="s">
        <v>18</v>
      </c>
      <c r="N24">
        <f>STDEV(N3:N18)</f>
        <v>693.02566433615675</v>
      </c>
      <c r="O24">
        <f t="shared" ref="O24:Q24" si="19">STDEV(O3:O18)</f>
        <v>1984.6807182948669</v>
      </c>
      <c r="P24">
        <f t="shared" si="19"/>
        <v>2210.8343568823575</v>
      </c>
      <c r="Q24">
        <f t="shared" si="19"/>
        <v>2099.0566886444153</v>
      </c>
    </row>
    <row r="25" spans="1:17" x14ac:dyDescent="0.25">
      <c r="A25" t="s">
        <v>19</v>
      </c>
      <c r="B25">
        <f>B23+2*B24</f>
        <v>16637.730287649109</v>
      </c>
      <c r="C25">
        <f t="shared" ref="C25:D25" si="20">C23+2*C24</f>
        <v>13203.715648759135</v>
      </c>
      <c r="D25">
        <f t="shared" si="20"/>
        <v>9005.2003914043162</v>
      </c>
      <c r="E25">
        <f t="shared" ref="E25" si="21">E23+2*E24</f>
        <v>6961.9057248015542</v>
      </c>
      <c r="G25" t="s">
        <v>19</v>
      </c>
      <c r="H25">
        <f>H23+2*H24</f>
        <v>13922.373926989989</v>
      </c>
      <c r="I25">
        <f t="shared" ref="I25:K25" si="22">I23+2*I24</f>
        <v>8596.5237992738112</v>
      </c>
      <c r="J25">
        <f t="shared" si="22"/>
        <v>10559.293215025305</v>
      </c>
      <c r="K25">
        <f t="shared" si="22"/>
        <v>8236.0484432027606</v>
      </c>
      <c r="M25" t="s">
        <v>19</v>
      </c>
      <c r="N25">
        <f>N23+2*N24</f>
        <v>10868.551328672314</v>
      </c>
      <c r="O25">
        <f t="shared" ref="O25:Q25" si="23">O23+2*O24</f>
        <v>8687.2364365897338</v>
      </c>
      <c r="P25">
        <f t="shared" si="23"/>
        <v>9302.043713764715</v>
      </c>
      <c r="Q25">
        <f t="shared" si="23"/>
        <v>7807.2383772888306</v>
      </c>
    </row>
    <row r="26" spans="1:17" x14ac:dyDescent="0.25">
      <c r="A26" t="s">
        <v>20</v>
      </c>
      <c r="B26">
        <f>B23-2*B24</f>
        <v>4028.2697123508924</v>
      </c>
      <c r="C26">
        <f t="shared" ref="C26:D26" si="24">C23-2*C24</f>
        <v>889.78435124086445</v>
      </c>
      <c r="D26">
        <f t="shared" si="24"/>
        <v>3427.2996085956843</v>
      </c>
      <c r="E26">
        <f t="shared" ref="E26" si="25">E23-2*E24</f>
        <v>3460.0942751984453</v>
      </c>
      <c r="G26" t="s">
        <v>20</v>
      </c>
      <c r="H26">
        <f>H23-2*H24</f>
        <v>6807.8760730100112</v>
      </c>
      <c r="I26">
        <f t="shared" ref="I26:K26" si="26">I23-2*I24</f>
        <v>5927.9762007261888</v>
      </c>
      <c r="J26">
        <f t="shared" si="26"/>
        <v>46.206784974694529</v>
      </c>
      <c r="K26">
        <f t="shared" si="26"/>
        <v>1034.4515567972389</v>
      </c>
      <c r="M26" t="s">
        <v>20</v>
      </c>
      <c r="N26">
        <f>N23-2*N24</f>
        <v>8096.4486713276865</v>
      </c>
      <c r="O26">
        <f t="shared" ref="O26:Q26" si="27">O23-2*O24</f>
        <v>748.51356341026622</v>
      </c>
      <c r="P26">
        <f t="shared" si="27"/>
        <v>458.70628623528501</v>
      </c>
      <c r="Q26">
        <f t="shared" si="27"/>
        <v>-588.98837728883063</v>
      </c>
    </row>
    <row r="27" spans="1:17" x14ac:dyDescent="0.25">
      <c r="A27" t="s">
        <v>21</v>
      </c>
      <c r="B27">
        <f>VAR(B3:B18)</f>
        <v>9937406</v>
      </c>
      <c r="C27">
        <f t="shared" ref="C27:D27" si="28">VAR(C3:C18)</f>
        <v>9477056.5</v>
      </c>
      <c r="D27">
        <f t="shared" si="28"/>
        <v>1944561.0714285714</v>
      </c>
      <c r="E27">
        <f t="shared" ref="E27" si="29">VAR(E3:E18)</f>
        <v>766417.71428571432</v>
      </c>
      <c r="G27" t="s">
        <v>21</v>
      </c>
      <c r="H27">
        <f>VAR(H3:H18)</f>
        <v>3163504.9821428573</v>
      </c>
      <c r="I27">
        <f t="shared" ref="I27:K27" si="30">VAR(I3:I18)</f>
        <v>445071.64285714284</v>
      </c>
      <c r="J27">
        <f t="shared" si="30"/>
        <v>6907811.6428571427</v>
      </c>
      <c r="K27">
        <f t="shared" si="30"/>
        <v>3241437.3571428573</v>
      </c>
      <c r="M27" t="s">
        <v>21</v>
      </c>
      <c r="N27">
        <f>VAR(N3:N18)</f>
        <v>480284.57142857142</v>
      </c>
      <c r="O27">
        <f t="shared" ref="O27:Q27" si="31">VAR(O3:O18)</f>
        <v>3938957.5535714286</v>
      </c>
      <c r="P27">
        <f t="shared" si="31"/>
        <v>4887788.5535714282</v>
      </c>
      <c r="Q27">
        <f t="shared" si="31"/>
        <v>4406038.9821428573</v>
      </c>
    </row>
  </sheetData>
  <conditionalFormatting sqref="B7:E7 B8:D10 E9:E10 B11:E18">
    <cfRule type="cellIs" dxfId="39" priority="5" operator="lessThan">
      <formula>B$26</formula>
    </cfRule>
    <cfRule type="cellIs" dxfId="38" priority="6" operator="greaterThan">
      <formula>B$25</formula>
    </cfRule>
  </conditionalFormatting>
  <conditionalFormatting sqref="H7:K18">
    <cfRule type="cellIs" dxfId="37" priority="3" operator="lessThan">
      <formula>H$26</formula>
    </cfRule>
    <cfRule type="cellIs" dxfId="36" priority="4" operator="greaterThan">
      <formula>H$25</formula>
    </cfRule>
  </conditionalFormatting>
  <conditionalFormatting sqref="N7:Q18">
    <cfRule type="cellIs" dxfId="35" priority="1" operator="lessThan">
      <formula>N$26</formula>
    </cfRule>
    <cfRule type="cellIs" dxfId="34" priority="2" operator="greaterThan">
      <formula>N$25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2462-1E9D-48FF-856D-D024F93C5602}">
  <sheetPr codeName="Sheet15"/>
  <dimension ref="A1:Q33"/>
  <sheetViews>
    <sheetView workbookViewId="0">
      <selection activeCell="R13" sqref="R13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A2" s="1" t="s">
        <v>29</v>
      </c>
      <c r="B2" s="1" t="s">
        <v>1</v>
      </c>
      <c r="C2" s="1" t="s">
        <v>48</v>
      </c>
      <c r="D2" s="1" t="s">
        <v>3</v>
      </c>
      <c r="E2" s="1" t="s">
        <v>49</v>
      </c>
      <c r="G2" s="1" t="s">
        <v>30</v>
      </c>
      <c r="H2" s="1" t="s">
        <v>1</v>
      </c>
      <c r="I2" s="1" t="s">
        <v>48</v>
      </c>
      <c r="J2" s="1" t="s">
        <v>3</v>
      </c>
      <c r="K2" s="1" t="s">
        <v>49</v>
      </c>
      <c r="M2" s="1" t="s">
        <v>31</v>
      </c>
      <c r="N2" s="1" t="s">
        <v>1</v>
      </c>
      <c r="O2" s="1" t="s">
        <v>48</v>
      </c>
      <c r="P2" s="1" t="s">
        <v>3</v>
      </c>
      <c r="Q2" s="1" t="s">
        <v>49</v>
      </c>
    </row>
    <row r="3" spans="1:17" x14ac:dyDescent="0.25">
      <c r="A3" t="s">
        <v>5</v>
      </c>
      <c r="B3" s="6"/>
      <c r="C3">
        <v>2.8545999999999998E-2</v>
      </c>
      <c r="G3" t="s">
        <v>5</v>
      </c>
      <c r="H3" s="6"/>
      <c r="I3">
        <v>3.6421000000000002E-2</v>
      </c>
      <c r="M3" t="s">
        <v>5</v>
      </c>
      <c r="N3" s="6"/>
      <c r="O3">
        <v>2.3719E-2</v>
      </c>
    </row>
    <row r="4" spans="1:17" x14ac:dyDescent="0.25">
      <c r="A4" t="s">
        <v>7</v>
      </c>
      <c r="B4" s="6"/>
      <c r="C4">
        <v>2.6964999999999999E-2</v>
      </c>
      <c r="G4" t="s">
        <v>7</v>
      </c>
      <c r="H4" s="6"/>
      <c r="I4">
        <v>3.5048999999999997E-2</v>
      </c>
      <c r="M4" t="s">
        <v>7</v>
      </c>
      <c r="N4" s="6"/>
      <c r="O4">
        <v>2.9364000000000001E-2</v>
      </c>
    </row>
    <row r="5" spans="1:17" x14ac:dyDescent="0.25">
      <c r="A5" t="s">
        <v>8</v>
      </c>
      <c r="B5" s="6"/>
      <c r="C5">
        <v>2.5163999999999999E-2</v>
      </c>
      <c r="D5">
        <v>8.9482000000000006E-2</v>
      </c>
      <c r="G5" t="s">
        <v>8</v>
      </c>
      <c r="H5" s="6"/>
      <c r="I5">
        <v>4.1398999999999998E-2</v>
      </c>
      <c r="J5">
        <v>0.16691700000000001</v>
      </c>
      <c r="M5" t="s">
        <v>8</v>
      </c>
      <c r="N5" s="6"/>
      <c r="O5">
        <v>3.6586E-2</v>
      </c>
      <c r="P5">
        <v>4.3491000000000002E-2</v>
      </c>
    </row>
    <row r="6" spans="1:17" x14ac:dyDescent="0.25">
      <c r="A6" t="s">
        <v>9</v>
      </c>
      <c r="B6" s="6"/>
      <c r="C6">
        <v>7.0674000000000001E-2</v>
      </c>
      <c r="D6">
        <v>6.0537000000000001E-2</v>
      </c>
      <c r="G6" t="s">
        <v>9</v>
      </c>
      <c r="H6" s="6"/>
      <c r="I6">
        <v>2.9652000000000001E-2</v>
      </c>
      <c r="J6">
        <v>0.147173</v>
      </c>
      <c r="M6" t="s">
        <v>9</v>
      </c>
      <c r="N6" s="6"/>
      <c r="O6">
        <v>3.8697000000000002E-2</v>
      </c>
      <c r="P6">
        <v>6.1406000000000002E-2</v>
      </c>
    </row>
    <row r="7" spans="1:17" x14ac:dyDescent="0.25">
      <c r="A7" t="s">
        <v>10</v>
      </c>
      <c r="C7">
        <v>4.1578999999999998E-2</v>
      </c>
      <c r="D7">
        <v>4.5922999999999999E-2</v>
      </c>
      <c r="E7">
        <v>0.119134</v>
      </c>
      <c r="G7" t="s">
        <v>10</v>
      </c>
      <c r="I7">
        <v>2.2259999999999999E-2</v>
      </c>
      <c r="J7">
        <v>0.111207</v>
      </c>
      <c r="K7">
        <v>9.7800999999999999E-2</v>
      </c>
      <c r="M7" t="s">
        <v>10</v>
      </c>
      <c r="O7">
        <v>3.7171999999999997E-2</v>
      </c>
      <c r="P7">
        <v>6.1832999999999999E-2</v>
      </c>
      <c r="Q7">
        <v>8.9445999999999998E-2</v>
      </c>
    </row>
    <row r="8" spans="1:17" x14ac:dyDescent="0.25">
      <c r="A8" t="s">
        <v>11</v>
      </c>
      <c r="C8">
        <v>2.1049999999999999E-2</v>
      </c>
      <c r="D8">
        <v>5.7838000000000001E-2</v>
      </c>
      <c r="E8">
        <v>0.103188</v>
      </c>
      <c r="G8" t="s">
        <v>11</v>
      </c>
      <c r="I8">
        <v>2.5624999999999998E-2</v>
      </c>
      <c r="J8">
        <v>8.7667999999999996E-2</v>
      </c>
      <c r="K8">
        <v>0.13114200000000001</v>
      </c>
      <c r="M8" t="s">
        <v>11</v>
      </c>
      <c r="O8">
        <v>3.9656999999999998E-2</v>
      </c>
      <c r="P8">
        <v>5.7051999999999999E-2</v>
      </c>
      <c r="Q8">
        <v>0.10014099999999999</v>
      </c>
    </row>
    <row r="9" spans="1:17" x14ac:dyDescent="0.25">
      <c r="A9" t="s">
        <v>12</v>
      </c>
      <c r="G9" t="s">
        <v>12</v>
      </c>
      <c r="M9" t="s">
        <v>12</v>
      </c>
    </row>
    <row r="10" spans="1:17" x14ac:dyDescent="0.25">
      <c r="A10" t="s">
        <v>13</v>
      </c>
      <c r="G10" t="s">
        <v>13</v>
      </c>
      <c r="M10" t="s">
        <v>13</v>
      </c>
    </row>
    <row r="11" spans="1:17" x14ac:dyDescent="0.25">
      <c r="A11" t="s">
        <v>5</v>
      </c>
      <c r="G11" t="s">
        <v>5</v>
      </c>
      <c r="M11" t="s">
        <v>5</v>
      </c>
    </row>
    <row r="12" spans="1:17" x14ac:dyDescent="0.25">
      <c r="A12" t="s">
        <v>7</v>
      </c>
      <c r="G12" t="s">
        <v>7</v>
      </c>
      <c r="M12" t="s">
        <v>7</v>
      </c>
    </row>
    <row r="13" spans="1:17" x14ac:dyDescent="0.25">
      <c r="A13" t="s">
        <v>8</v>
      </c>
      <c r="G13" t="s">
        <v>8</v>
      </c>
      <c r="M13" t="s">
        <v>8</v>
      </c>
    </row>
    <row r="14" spans="1:17" x14ac:dyDescent="0.25">
      <c r="A14" t="s">
        <v>9</v>
      </c>
      <c r="G14" t="s">
        <v>9</v>
      </c>
      <c r="M14" t="s">
        <v>9</v>
      </c>
    </row>
    <row r="15" spans="1:17" x14ac:dyDescent="0.25">
      <c r="A15" t="s">
        <v>10</v>
      </c>
      <c r="G15" t="s">
        <v>10</v>
      </c>
      <c r="M15" t="s">
        <v>10</v>
      </c>
    </row>
    <row r="16" spans="1:17" x14ac:dyDescent="0.25">
      <c r="A16" t="s">
        <v>11</v>
      </c>
      <c r="G16" t="s">
        <v>11</v>
      </c>
      <c r="M16" t="s">
        <v>11</v>
      </c>
    </row>
    <row r="17" spans="1:17" x14ac:dyDescent="0.25">
      <c r="A17" t="s">
        <v>12</v>
      </c>
      <c r="G17" t="s">
        <v>12</v>
      </c>
      <c r="M17" t="s">
        <v>12</v>
      </c>
    </row>
    <row r="18" spans="1:17" x14ac:dyDescent="0.25">
      <c r="A18" t="s">
        <v>13</v>
      </c>
      <c r="G18" t="s">
        <v>13</v>
      </c>
      <c r="M18" t="s">
        <v>13</v>
      </c>
    </row>
    <row r="19" spans="1:1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</row>
    <row r="20" spans="1:17" x14ac:dyDescent="0.25">
      <c r="A20" t="s">
        <v>14</v>
      </c>
      <c r="B20">
        <f>COUNT(B3:B18)</f>
        <v>0</v>
      </c>
      <c r="C20">
        <f t="shared" ref="C20:E20" si="0">COUNT(C3:C18)</f>
        <v>6</v>
      </c>
      <c r="D20">
        <f t="shared" si="0"/>
        <v>4</v>
      </c>
      <c r="E20">
        <f t="shared" si="0"/>
        <v>2</v>
      </c>
      <c r="G20" t="s">
        <v>14</v>
      </c>
      <c r="H20">
        <f>COUNT(H3:H18)</f>
        <v>0</v>
      </c>
      <c r="I20">
        <f>COUNT(I3:I18)</f>
        <v>6</v>
      </c>
      <c r="J20">
        <f>COUNT(J3:J18)</f>
        <v>4</v>
      </c>
      <c r="K20">
        <f>COUNT(K3:K18)</f>
        <v>2</v>
      </c>
      <c r="M20" t="s">
        <v>14</v>
      </c>
      <c r="N20">
        <f>COUNT(N3:N18)</f>
        <v>0</v>
      </c>
      <c r="O20">
        <f t="shared" ref="O20:Q20" si="1">COUNT(O3:O18)</f>
        <v>6</v>
      </c>
      <c r="P20">
        <f t="shared" si="1"/>
        <v>4</v>
      </c>
      <c r="Q20">
        <f t="shared" si="1"/>
        <v>2</v>
      </c>
    </row>
    <row r="21" spans="1:17" x14ac:dyDescent="0.25">
      <c r="A21" t="s">
        <v>15</v>
      </c>
      <c r="B21">
        <f>MAX(B3:B18)</f>
        <v>0</v>
      </c>
      <c r="C21">
        <f t="shared" ref="C21:E21" si="2">MAX(C3:C18)</f>
        <v>7.0674000000000001E-2</v>
      </c>
      <c r="D21">
        <f t="shared" si="2"/>
        <v>8.9482000000000006E-2</v>
      </c>
      <c r="E21">
        <f t="shared" si="2"/>
        <v>0.119134</v>
      </c>
      <c r="G21" t="s">
        <v>15</v>
      </c>
      <c r="H21">
        <f>MAX(H3:H18)</f>
        <v>0</v>
      </c>
      <c r="I21">
        <f>MAX(I3:I18)</f>
        <v>4.1398999999999998E-2</v>
      </c>
      <c r="J21">
        <f>MAX(J3:J18)</f>
        <v>0.16691700000000001</v>
      </c>
      <c r="K21">
        <f>MAX(K3:K18)</f>
        <v>0.13114200000000001</v>
      </c>
      <c r="M21" t="s">
        <v>15</v>
      </c>
      <c r="N21">
        <f>MAX(N3:N18)</f>
        <v>0</v>
      </c>
      <c r="O21">
        <f t="shared" ref="O21:Q21" si="3">MAX(O3:O18)</f>
        <v>3.9656999999999998E-2</v>
      </c>
      <c r="P21">
        <f t="shared" si="3"/>
        <v>6.1832999999999999E-2</v>
      </c>
      <c r="Q21">
        <f t="shared" si="3"/>
        <v>0.10014099999999999</v>
      </c>
    </row>
    <row r="22" spans="1:17" x14ac:dyDescent="0.25">
      <c r="A22" t="s">
        <v>16</v>
      </c>
      <c r="B22">
        <f>MIN(B3:B18)</f>
        <v>0</v>
      </c>
      <c r="C22">
        <f t="shared" ref="C22:E22" si="4">MIN(C3:C18)</f>
        <v>2.1049999999999999E-2</v>
      </c>
      <c r="D22">
        <f t="shared" si="4"/>
        <v>4.5922999999999999E-2</v>
      </c>
      <c r="E22">
        <f t="shared" si="4"/>
        <v>0.103188</v>
      </c>
      <c r="G22" t="s">
        <v>16</v>
      </c>
      <c r="H22">
        <f>MIN(H3:H18)</f>
        <v>0</v>
      </c>
      <c r="I22">
        <f>MIN(I3:I18)</f>
        <v>2.2259999999999999E-2</v>
      </c>
      <c r="J22">
        <f>MIN(J3:J18)</f>
        <v>8.7667999999999996E-2</v>
      </c>
      <c r="K22">
        <f>MIN(K3:K18)</f>
        <v>9.7800999999999999E-2</v>
      </c>
      <c r="M22" t="s">
        <v>16</v>
      </c>
      <c r="N22">
        <f>MIN(N3:N18)</f>
        <v>0</v>
      </c>
      <c r="O22">
        <f t="shared" ref="O22:Q22" si="5">MIN(O3:O18)</f>
        <v>2.3719E-2</v>
      </c>
      <c r="P22">
        <f t="shared" si="5"/>
        <v>4.3491000000000002E-2</v>
      </c>
      <c r="Q22">
        <f t="shared" si="5"/>
        <v>8.9445999999999998E-2</v>
      </c>
    </row>
    <row r="23" spans="1:17" x14ac:dyDescent="0.25">
      <c r="A23" t="s">
        <v>17</v>
      </c>
      <c r="B23" t="e">
        <f>AVERAGE(B3:B18)</f>
        <v>#DIV/0!</v>
      </c>
      <c r="C23">
        <f t="shared" ref="C23:E23" si="6">AVERAGE(C3:C18)</f>
        <v>3.5663E-2</v>
      </c>
      <c r="D23">
        <f t="shared" si="6"/>
        <v>6.3445000000000001E-2</v>
      </c>
      <c r="E23">
        <f t="shared" si="6"/>
        <v>0.11116100000000001</v>
      </c>
      <c r="G23" t="s">
        <v>17</v>
      </c>
      <c r="H23" t="e">
        <f>AVERAGE(H3:H18)</f>
        <v>#DIV/0!</v>
      </c>
      <c r="I23">
        <f>AVERAGE(I3:I18)</f>
        <v>3.1734333333333337E-2</v>
      </c>
      <c r="J23">
        <f>AVERAGE(J3:J18)</f>
        <v>0.12824125</v>
      </c>
      <c r="K23">
        <f>AVERAGE(K3:K18)</f>
        <v>0.1144715</v>
      </c>
      <c r="M23" t="s">
        <v>17</v>
      </c>
      <c r="N23" t="e">
        <f>AVERAGE(N3:N18)</f>
        <v>#DIV/0!</v>
      </c>
      <c r="O23">
        <f t="shared" ref="O23:Q23" si="7">AVERAGE(O3:O18)</f>
        <v>3.4199166666666669E-2</v>
      </c>
      <c r="P23">
        <f t="shared" si="7"/>
        <v>5.5945499999999995E-2</v>
      </c>
      <c r="Q23">
        <f t="shared" si="7"/>
        <v>9.4793500000000003E-2</v>
      </c>
    </row>
    <row r="24" spans="1:17" x14ac:dyDescent="0.25">
      <c r="A24" t="s">
        <v>18</v>
      </c>
      <c r="B24" t="e">
        <f>STDEV(B3:B18)</f>
        <v>#DIV/0!</v>
      </c>
      <c r="C24">
        <f t="shared" ref="C24:E24" si="8">STDEV(C3:C18)</f>
        <v>1.8497809816299879E-2</v>
      </c>
      <c r="D24">
        <f t="shared" si="8"/>
        <v>1.8482791690290355E-2</v>
      </c>
      <c r="E24">
        <f t="shared" si="8"/>
        <v>1.1275524732800688E-2</v>
      </c>
      <c r="G24" t="s">
        <v>18</v>
      </c>
      <c r="H24" t="e">
        <f>STDEV(H3:H18)</f>
        <v>#DIV/0!</v>
      </c>
      <c r="I24">
        <f>STDEV(I3:I18)</f>
        <v>7.1802604316741998E-3</v>
      </c>
      <c r="J24">
        <f>STDEV(J3:J18)</f>
        <v>3.5546115984497285E-2</v>
      </c>
      <c r="K24">
        <f>STDEV(K3:K18)</f>
        <v>2.3575647191540688E-2</v>
      </c>
      <c r="M24" t="s">
        <v>18</v>
      </c>
      <c r="N24" t="e">
        <f>STDEV(N3:N18)</f>
        <v>#DIV/0!</v>
      </c>
      <c r="O24">
        <f t="shared" ref="O24:Q24" si="9">STDEV(O3:O18)</f>
        <v>6.28913174982575E-3</v>
      </c>
      <c r="P24">
        <f t="shared" si="9"/>
        <v>8.5794061371791304E-3</v>
      </c>
      <c r="Q24">
        <f t="shared" si="9"/>
        <v>7.5625070247901235E-3</v>
      </c>
    </row>
    <row r="25" spans="1:17" x14ac:dyDescent="0.25">
      <c r="A25" t="s">
        <v>19</v>
      </c>
      <c r="B25" t="e">
        <f>B23+2*B24</f>
        <v>#DIV/0!</v>
      </c>
      <c r="C25">
        <f t="shared" ref="C25:E25" si="10">C23+2*C24</f>
        <v>7.2658619632599758E-2</v>
      </c>
      <c r="D25">
        <f t="shared" si="10"/>
        <v>0.1004105833805807</v>
      </c>
      <c r="E25">
        <f t="shared" si="10"/>
        <v>0.13371204946560139</v>
      </c>
      <c r="G25" t="s">
        <v>19</v>
      </c>
      <c r="H25" t="e">
        <f>H23+2*H24</f>
        <v>#DIV/0!</v>
      </c>
      <c r="I25">
        <f t="shared" ref="I25:K25" si="11">I23+2*I24</f>
        <v>4.6094854196681738E-2</v>
      </c>
      <c r="J25">
        <f t="shared" si="11"/>
        <v>0.19933348196899459</v>
      </c>
      <c r="K25">
        <f t="shared" si="11"/>
        <v>0.16162279438308139</v>
      </c>
      <c r="M25" t="s">
        <v>19</v>
      </c>
      <c r="N25" t="e">
        <f>N23+2*N24</f>
        <v>#DIV/0!</v>
      </c>
      <c r="O25">
        <f t="shared" ref="O25:Q25" si="12">O23+2*O24</f>
        <v>4.6777430166318169E-2</v>
      </c>
      <c r="P25">
        <f t="shared" si="12"/>
        <v>7.3104312274358263E-2</v>
      </c>
      <c r="Q25">
        <f t="shared" si="12"/>
        <v>0.10991851404958025</v>
      </c>
    </row>
    <row r="26" spans="1:17" x14ac:dyDescent="0.25">
      <c r="A26" t="s">
        <v>20</v>
      </c>
      <c r="B26" t="e">
        <f>B23-2*B24</f>
        <v>#DIV/0!</v>
      </c>
      <c r="C26">
        <f t="shared" ref="C26:E26" si="13">C23-2*C24</f>
        <v>-1.3326196325997575E-3</v>
      </c>
      <c r="D26">
        <f t="shared" si="13"/>
        <v>2.6479416619419292E-2</v>
      </c>
      <c r="E26">
        <f t="shared" si="13"/>
        <v>8.8609950534398629E-2</v>
      </c>
      <c r="G26" t="s">
        <v>20</v>
      </c>
      <c r="H26" t="e">
        <f>H23-2*H24</f>
        <v>#DIV/0!</v>
      </c>
      <c r="I26">
        <f t="shared" ref="I26:K26" si="14">I23-2*I24</f>
        <v>1.7373812469984935E-2</v>
      </c>
      <c r="J26">
        <f t="shared" si="14"/>
        <v>5.714901803100543E-2</v>
      </c>
      <c r="K26">
        <f t="shared" si="14"/>
        <v>6.7320205616918621E-2</v>
      </c>
      <c r="M26" t="s">
        <v>20</v>
      </c>
      <c r="N26" t="e">
        <f>N23-2*N24</f>
        <v>#DIV/0!</v>
      </c>
      <c r="O26">
        <f t="shared" ref="O26:Q26" si="15">O23-2*O24</f>
        <v>2.1620903167015169E-2</v>
      </c>
      <c r="P26">
        <f t="shared" si="15"/>
        <v>3.8786687725641734E-2</v>
      </c>
      <c r="Q26">
        <f t="shared" si="15"/>
        <v>7.9668485950419754E-2</v>
      </c>
    </row>
    <row r="27" spans="1:17" x14ac:dyDescent="0.25">
      <c r="A27" t="s">
        <v>21</v>
      </c>
      <c r="B27" t="e">
        <f>VAR(B3:B18)</f>
        <v>#DIV/0!</v>
      </c>
      <c r="C27">
        <f t="shared" ref="C27:E27" si="16">VAR(C3:C18)</f>
        <v>3.421689680000001E-4</v>
      </c>
      <c r="D27">
        <f t="shared" si="16"/>
        <v>3.4161358866666619E-4</v>
      </c>
      <c r="E27">
        <f t="shared" si="16"/>
        <v>1.2713745800000003E-4</v>
      </c>
      <c r="G27" t="s">
        <v>21</v>
      </c>
      <c r="H27" t="e">
        <f>VAR(H3:H18)</f>
        <v>#DIV/0!</v>
      </c>
      <c r="I27">
        <f>VAR(I3:I18)</f>
        <v>5.1556139866666161E-5</v>
      </c>
      <c r="J27">
        <f>VAR(J3:J18)</f>
        <v>1.2635263615833336E-3</v>
      </c>
      <c r="K27">
        <f>VAR(K3:K18)</f>
        <v>5.5581114050000033E-4</v>
      </c>
      <c r="M27" t="s">
        <v>21</v>
      </c>
      <c r="N27" t="e">
        <f>VAR(N3:N18)</f>
        <v>#DIV/0!</v>
      </c>
      <c r="O27">
        <f t="shared" ref="O27:Q27" si="17">VAR(O3:O18)</f>
        <v>3.9553178166666302E-5</v>
      </c>
      <c r="P27">
        <f t="shared" si="17"/>
        <v>7.3606209666666922E-5</v>
      </c>
      <c r="Q27">
        <f t="shared" si="17"/>
        <v>5.719151249999996E-5</v>
      </c>
    </row>
    <row r="31" spans="1:17" x14ac:dyDescent="0.25">
      <c r="F31">
        <v>2.3719E-2</v>
      </c>
      <c r="G31">
        <v>2.9364000000000001E-2</v>
      </c>
      <c r="H31">
        <v>3.6586E-2</v>
      </c>
      <c r="I31">
        <v>3.8697000000000002E-2</v>
      </c>
      <c r="J31">
        <v>3.7171999999999997E-2</v>
      </c>
      <c r="K31">
        <v>3.9656999999999998E-2</v>
      </c>
    </row>
    <row r="32" spans="1:17" x14ac:dyDescent="0.25">
      <c r="H32">
        <v>4.3491000000000002E-2</v>
      </c>
      <c r="I32">
        <v>6.1406000000000002E-2</v>
      </c>
      <c r="J32">
        <v>6.1832999999999999E-2</v>
      </c>
      <c r="K32">
        <v>5.7051999999999999E-2</v>
      </c>
    </row>
    <row r="33" spans="10:11" x14ac:dyDescent="0.25">
      <c r="J33">
        <v>8.9445999999999998E-2</v>
      </c>
      <c r="K33">
        <v>0.10014099999999999</v>
      </c>
    </row>
  </sheetData>
  <conditionalFormatting sqref="B7:B8 B9:E18">
    <cfRule type="cellIs" dxfId="33" priority="5" operator="lessThan">
      <formula>B$26</formula>
    </cfRule>
    <cfRule type="cellIs" dxfId="32" priority="6" operator="greaterThan">
      <formula>B$25</formula>
    </cfRule>
  </conditionalFormatting>
  <conditionalFormatting sqref="H7:H8 H9:K18">
    <cfRule type="cellIs" dxfId="31" priority="3" operator="lessThan">
      <formula>H$26</formula>
    </cfRule>
    <cfRule type="cellIs" dxfId="30" priority="4" operator="greaterThan">
      <formula>H$25</formula>
    </cfRule>
  </conditionalFormatting>
  <conditionalFormatting sqref="N7:N8 N9:Q18">
    <cfRule type="cellIs" dxfId="29" priority="1" operator="lessThan">
      <formula>N$26</formula>
    </cfRule>
    <cfRule type="cellIs" dxfId="28" priority="2" operator="greaterThan">
      <formula>N$25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67B0-229B-41D8-9F90-7566B36FC3E6}">
  <sheetPr codeName="Sheet16"/>
  <dimension ref="A1:S26"/>
  <sheetViews>
    <sheetView workbookViewId="0">
      <selection activeCell="C17" sqref="C17"/>
    </sheetView>
  </sheetViews>
  <sheetFormatPr defaultRowHeight="15" x14ac:dyDescent="0.25"/>
  <cols>
    <col min="1" max="1" width="23.140625" bestFit="1" customWidth="1"/>
  </cols>
  <sheetData>
    <row r="1" spans="1:19" x14ac:dyDescent="0.25">
      <c r="A1" t="s">
        <v>29</v>
      </c>
    </row>
    <row r="2" spans="1:19" x14ac:dyDescent="0.25">
      <c r="A2" t="s">
        <v>50</v>
      </c>
      <c r="B2" s="9">
        <v>0</v>
      </c>
      <c r="C2" s="9"/>
      <c r="D2" s="9"/>
      <c r="E2" s="9">
        <v>6</v>
      </c>
      <c r="F2" s="9"/>
      <c r="G2" s="9"/>
      <c r="H2" s="9">
        <v>7</v>
      </c>
      <c r="I2" s="9"/>
      <c r="J2" s="9"/>
      <c r="K2" s="9">
        <v>14</v>
      </c>
      <c r="L2" s="9"/>
      <c r="M2" s="9"/>
      <c r="N2" s="9">
        <v>20</v>
      </c>
      <c r="O2" s="9"/>
      <c r="P2" s="9"/>
      <c r="Q2" s="9">
        <v>21</v>
      </c>
      <c r="R2" s="9"/>
      <c r="S2" s="9"/>
    </row>
    <row r="3" spans="1:19" x14ac:dyDescent="0.25">
      <c r="B3" t="s">
        <v>51</v>
      </c>
      <c r="C3" t="s">
        <v>18</v>
      </c>
      <c r="D3" t="s">
        <v>52</v>
      </c>
      <c r="E3" t="s">
        <v>51</v>
      </c>
      <c r="F3" t="s">
        <v>18</v>
      </c>
      <c r="G3" t="s">
        <v>52</v>
      </c>
      <c r="H3" t="s">
        <v>51</v>
      </c>
      <c r="I3" t="s">
        <v>18</v>
      </c>
      <c r="J3" t="s">
        <v>52</v>
      </c>
      <c r="K3" t="s">
        <v>51</v>
      </c>
      <c r="L3" t="s">
        <v>18</v>
      </c>
      <c r="M3" t="s">
        <v>52</v>
      </c>
      <c r="N3" t="s">
        <v>51</v>
      </c>
      <c r="O3" t="s">
        <v>18</v>
      </c>
      <c r="P3" t="s">
        <v>52</v>
      </c>
      <c r="Q3" t="s">
        <v>51</v>
      </c>
      <c r="R3" t="s">
        <v>18</v>
      </c>
      <c r="S3" t="s">
        <v>52</v>
      </c>
    </row>
    <row r="4" spans="1:19" x14ac:dyDescent="0.25">
      <c r="A4" t="s">
        <v>53</v>
      </c>
    </row>
    <row r="5" spans="1:19" x14ac:dyDescent="0.25">
      <c r="A5" t="s">
        <v>54</v>
      </c>
    </row>
    <row r="6" spans="1:19" x14ac:dyDescent="0.25">
      <c r="A6" t="s">
        <v>55</v>
      </c>
    </row>
    <row r="7" spans="1:19" x14ac:dyDescent="0.25">
      <c r="A7" t="s">
        <v>56</v>
      </c>
    </row>
    <row r="8" spans="1:19" x14ac:dyDescent="0.25">
      <c r="A8" t="s">
        <v>57</v>
      </c>
    </row>
    <row r="10" spans="1:19" x14ac:dyDescent="0.25">
      <c r="A10" t="s">
        <v>30</v>
      </c>
    </row>
    <row r="11" spans="1:19" x14ac:dyDescent="0.25">
      <c r="A11" t="s">
        <v>50</v>
      </c>
      <c r="B11" s="9">
        <v>0</v>
      </c>
      <c r="C11" s="9"/>
      <c r="D11" s="9"/>
      <c r="E11" s="9">
        <v>6</v>
      </c>
      <c r="F11" s="9"/>
      <c r="G11" s="9"/>
      <c r="H11" s="9">
        <v>7</v>
      </c>
      <c r="I11" s="9"/>
      <c r="J11" s="9"/>
      <c r="K11" s="9">
        <v>14</v>
      </c>
      <c r="L11" s="9"/>
      <c r="M11" s="9"/>
      <c r="N11" s="9">
        <v>20</v>
      </c>
      <c r="O11" s="9"/>
      <c r="P11" s="9"/>
      <c r="Q11" s="9">
        <v>21</v>
      </c>
      <c r="R11" s="9"/>
      <c r="S11" s="9"/>
    </row>
    <row r="12" spans="1:19" x14ac:dyDescent="0.25">
      <c r="B12" t="s">
        <v>51</v>
      </c>
      <c r="C12" t="s">
        <v>18</v>
      </c>
      <c r="D12" t="s">
        <v>52</v>
      </c>
      <c r="E12" t="s">
        <v>51</v>
      </c>
      <c r="F12" t="s">
        <v>18</v>
      </c>
      <c r="G12" t="s">
        <v>52</v>
      </c>
      <c r="H12" t="s">
        <v>51</v>
      </c>
      <c r="I12" t="s">
        <v>18</v>
      </c>
      <c r="J12" t="s">
        <v>52</v>
      </c>
      <c r="K12" t="s">
        <v>51</v>
      </c>
      <c r="L12" t="s">
        <v>18</v>
      </c>
      <c r="M12" t="s">
        <v>52</v>
      </c>
      <c r="N12" t="s">
        <v>51</v>
      </c>
      <c r="O12" t="s">
        <v>18</v>
      </c>
      <c r="P12" t="s">
        <v>52</v>
      </c>
      <c r="Q12" t="s">
        <v>51</v>
      </c>
      <c r="R12" t="s">
        <v>18</v>
      </c>
      <c r="S12" t="s">
        <v>52</v>
      </c>
    </row>
    <row r="13" spans="1:19" x14ac:dyDescent="0.25">
      <c r="A13" t="s">
        <v>53</v>
      </c>
    </row>
    <row r="14" spans="1:19" x14ac:dyDescent="0.25">
      <c r="A14" t="s">
        <v>54</v>
      </c>
    </row>
    <row r="15" spans="1:19" x14ac:dyDescent="0.25">
      <c r="A15" t="s">
        <v>55</v>
      </c>
    </row>
    <row r="16" spans="1:19" x14ac:dyDescent="0.25">
      <c r="A16" t="s">
        <v>56</v>
      </c>
    </row>
    <row r="17" spans="1:19" x14ac:dyDescent="0.25">
      <c r="A17" t="s">
        <v>57</v>
      </c>
    </row>
    <row r="19" spans="1:19" x14ac:dyDescent="0.25">
      <c r="A19" t="s">
        <v>31</v>
      </c>
    </row>
    <row r="20" spans="1:19" x14ac:dyDescent="0.25">
      <c r="A20" t="s">
        <v>50</v>
      </c>
      <c r="B20" s="9">
        <v>0</v>
      </c>
      <c r="C20" s="9"/>
      <c r="D20" s="9"/>
      <c r="E20" s="9">
        <v>6</v>
      </c>
      <c r="F20" s="9"/>
      <c r="G20" s="9"/>
      <c r="H20" s="9">
        <v>7</v>
      </c>
      <c r="I20" s="9"/>
      <c r="J20" s="9"/>
      <c r="K20" s="9">
        <v>14</v>
      </c>
      <c r="L20" s="9"/>
      <c r="M20" s="9"/>
      <c r="N20" s="9">
        <v>20</v>
      </c>
      <c r="O20" s="9"/>
      <c r="P20" s="9"/>
      <c r="Q20" s="9">
        <v>21</v>
      </c>
      <c r="R20" s="9"/>
      <c r="S20" s="9"/>
    </row>
    <row r="21" spans="1:19" x14ac:dyDescent="0.25">
      <c r="B21" t="s">
        <v>51</v>
      </c>
      <c r="C21" t="s">
        <v>18</v>
      </c>
      <c r="D21" t="s">
        <v>52</v>
      </c>
      <c r="E21" t="s">
        <v>51</v>
      </c>
      <c r="F21" t="s">
        <v>18</v>
      </c>
      <c r="G21" t="s">
        <v>52</v>
      </c>
      <c r="H21" t="s">
        <v>51</v>
      </c>
      <c r="I21" t="s">
        <v>18</v>
      </c>
      <c r="J21" t="s">
        <v>52</v>
      </c>
      <c r="K21" t="s">
        <v>51</v>
      </c>
      <c r="L21" t="s">
        <v>18</v>
      </c>
      <c r="M21" t="s">
        <v>52</v>
      </c>
      <c r="N21" t="s">
        <v>51</v>
      </c>
      <c r="O21" t="s">
        <v>18</v>
      </c>
      <c r="P21" t="s">
        <v>52</v>
      </c>
      <c r="Q21" t="s">
        <v>51</v>
      </c>
      <c r="R21" t="s">
        <v>18</v>
      </c>
      <c r="S21" t="s">
        <v>52</v>
      </c>
    </row>
    <row r="22" spans="1:19" x14ac:dyDescent="0.25">
      <c r="A22" t="s">
        <v>53</v>
      </c>
    </row>
    <row r="23" spans="1:19" x14ac:dyDescent="0.25">
      <c r="A23" t="s">
        <v>54</v>
      </c>
    </row>
    <row r="24" spans="1:19" x14ac:dyDescent="0.25">
      <c r="A24" t="s">
        <v>55</v>
      </c>
    </row>
    <row r="25" spans="1:19" x14ac:dyDescent="0.25">
      <c r="A25" t="s">
        <v>56</v>
      </c>
    </row>
    <row r="26" spans="1:19" x14ac:dyDescent="0.25">
      <c r="A26" t="s">
        <v>57</v>
      </c>
    </row>
  </sheetData>
  <mergeCells count="18">
    <mergeCell ref="Q20:S20"/>
    <mergeCell ref="B11:D11"/>
    <mergeCell ref="E11:G11"/>
    <mergeCell ref="H11:J11"/>
    <mergeCell ref="K11:M11"/>
    <mergeCell ref="N11:P11"/>
    <mergeCell ref="Q11:S11"/>
    <mergeCell ref="B20:D20"/>
    <mergeCell ref="E20:G20"/>
    <mergeCell ref="H20:J20"/>
    <mergeCell ref="K20:M20"/>
    <mergeCell ref="N20:P20"/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C2E5-2A06-458C-926B-CEADF20EC3AD}">
  <dimension ref="A1:Q108"/>
  <sheetViews>
    <sheetView topLeftCell="A34" workbookViewId="0">
      <selection activeCell="R51" sqref="R51"/>
    </sheetView>
  </sheetViews>
  <sheetFormatPr defaultRowHeight="15" x14ac:dyDescent="0.25"/>
  <sheetData>
    <row r="1" spans="1:17" x14ac:dyDescent="0.25">
      <c r="A1" t="s">
        <v>58</v>
      </c>
    </row>
    <row r="2" spans="1:17" x14ac:dyDescent="0.25">
      <c r="A2" t="s">
        <v>29</v>
      </c>
      <c r="B2" t="s">
        <v>1</v>
      </c>
      <c r="C2" t="s">
        <v>2</v>
      </c>
      <c r="D2" t="s">
        <v>3</v>
      </c>
      <c r="E2" t="s">
        <v>4</v>
      </c>
      <c r="G2" t="s">
        <v>30</v>
      </c>
      <c r="H2" t="s">
        <v>1</v>
      </c>
      <c r="I2" t="s">
        <v>2</v>
      </c>
      <c r="J2" t="s">
        <v>3</v>
      </c>
      <c r="K2" t="s">
        <v>4</v>
      </c>
      <c r="M2" t="s">
        <v>31</v>
      </c>
      <c r="N2" t="s">
        <v>1</v>
      </c>
      <c r="O2" t="s">
        <v>2</v>
      </c>
      <c r="P2" t="s">
        <v>3</v>
      </c>
      <c r="Q2" t="s">
        <v>4</v>
      </c>
    </row>
    <row r="3" spans="1:17" x14ac:dyDescent="0.25">
      <c r="A3" t="s">
        <v>5</v>
      </c>
      <c r="B3">
        <v>23</v>
      </c>
      <c r="C3">
        <v>10</v>
      </c>
      <c r="D3">
        <v>6</v>
      </c>
      <c r="E3">
        <v>2</v>
      </c>
      <c r="G3" t="s">
        <v>5</v>
      </c>
      <c r="H3">
        <v>41</v>
      </c>
      <c r="I3">
        <v>0</v>
      </c>
      <c r="J3">
        <v>2</v>
      </c>
      <c r="K3">
        <v>9</v>
      </c>
      <c r="M3" t="s">
        <v>5</v>
      </c>
      <c r="N3">
        <v>49</v>
      </c>
      <c r="O3">
        <v>4</v>
      </c>
      <c r="P3">
        <v>6</v>
      </c>
      <c r="Q3">
        <v>0</v>
      </c>
    </row>
    <row r="4" spans="1:17" x14ac:dyDescent="0.25">
      <c r="A4" t="s">
        <v>7</v>
      </c>
      <c r="B4">
        <v>10</v>
      </c>
      <c r="C4">
        <v>10</v>
      </c>
      <c r="D4">
        <v>2</v>
      </c>
      <c r="G4" t="s">
        <v>7</v>
      </c>
      <c r="H4">
        <v>43</v>
      </c>
      <c r="I4">
        <v>2</v>
      </c>
      <c r="J4">
        <v>4</v>
      </c>
      <c r="K4">
        <v>8</v>
      </c>
      <c r="M4" t="s">
        <v>7</v>
      </c>
      <c r="N4">
        <v>37</v>
      </c>
      <c r="O4">
        <v>4</v>
      </c>
      <c r="P4">
        <v>6</v>
      </c>
      <c r="Q4">
        <v>2</v>
      </c>
    </row>
    <row r="5" spans="1:17" x14ac:dyDescent="0.25">
      <c r="A5" t="s">
        <v>8</v>
      </c>
      <c r="B5">
        <v>9</v>
      </c>
      <c r="C5">
        <v>3</v>
      </c>
      <c r="D5">
        <v>2</v>
      </c>
      <c r="E5">
        <v>1</v>
      </c>
      <c r="G5" t="s">
        <v>8</v>
      </c>
      <c r="H5">
        <v>74</v>
      </c>
      <c r="I5">
        <v>1</v>
      </c>
      <c r="J5">
        <v>0</v>
      </c>
      <c r="K5">
        <v>8</v>
      </c>
      <c r="M5" t="s">
        <v>8</v>
      </c>
      <c r="N5">
        <v>58</v>
      </c>
      <c r="O5">
        <v>2</v>
      </c>
      <c r="P5">
        <v>3</v>
      </c>
      <c r="Q5">
        <v>16</v>
      </c>
    </row>
    <row r="6" spans="1:17" x14ac:dyDescent="0.25">
      <c r="A6" t="s">
        <v>9</v>
      </c>
      <c r="B6">
        <v>29</v>
      </c>
      <c r="C6">
        <v>11</v>
      </c>
      <c r="D6">
        <v>9</v>
      </c>
      <c r="E6">
        <v>0</v>
      </c>
      <c r="G6" t="s">
        <v>9</v>
      </c>
      <c r="H6">
        <v>52</v>
      </c>
      <c r="I6">
        <v>0</v>
      </c>
      <c r="J6">
        <v>3</v>
      </c>
      <c r="K6">
        <v>0</v>
      </c>
      <c r="M6" t="s">
        <v>9</v>
      </c>
      <c r="N6">
        <v>83</v>
      </c>
      <c r="O6">
        <v>1</v>
      </c>
      <c r="P6">
        <v>0</v>
      </c>
      <c r="Q6">
        <v>5</v>
      </c>
    </row>
    <row r="7" spans="1:17" x14ac:dyDescent="0.25">
      <c r="A7" t="s">
        <v>10</v>
      </c>
      <c r="B7">
        <v>15</v>
      </c>
      <c r="C7">
        <v>24</v>
      </c>
      <c r="D7" t="s">
        <v>6</v>
      </c>
      <c r="E7" t="s">
        <v>6</v>
      </c>
      <c r="G7" t="s">
        <v>10</v>
      </c>
      <c r="H7">
        <v>39</v>
      </c>
      <c r="I7">
        <v>9</v>
      </c>
      <c r="J7">
        <v>8</v>
      </c>
      <c r="K7">
        <v>10</v>
      </c>
      <c r="M7" t="s">
        <v>10</v>
      </c>
      <c r="N7">
        <v>52</v>
      </c>
      <c r="O7">
        <v>25</v>
      </c>
      <c r="P7">
        <v>7</v>
      </c>
      <c r="Q7">
        <v>7</v>
      </c>
    </row>
    <row r="8" spans="1:17" x14ac:dyDescent="0.25">
      <c r="A8" t="s">
        <v>11</v>
      </c>
      <c r="B8">
        <v>25</v>
      </c>
      <c r="C8">
        <v>17</v>
      </c>
      <c r="D8">
        <v>0</v>
      </c>
      <c r="E8" t="s">
        <v>6</v>
      </c>
      <c r="G8" t="s">
        <v>11</v>
      </c>
      <c r="H8">
        <v>22</v>
      </c>
      <c r="I8">
        <v>12</v>
      </c>
      <c r="J8">
        <v>2</v>
      </c>
      <c r="K8">
        <v>3</v>
      </c>
      <c r="M8" t="s">
        <v>11</v>
      </c>
      <c r="N8">
        <v>35</v>
      </c>
      <c r="O8">
        <v>1</v>
      </c>
      <c r="P8">
        <v>23</v>
      </c>
      <c r="Q8">
        <v>2</v>
      </c>
    </row>
    <row r="9" spans="1:17" x14ac:dyDescent="0.25">
      <c r="A9" t="s">
        <v>12</v>
      </c>
      <c r="B9">
        <v>8</v>
      </c>
      <c r="C9">
        <v>18</v>
      </c>
      <c r="D9" t="s">
        <v>6</v>
      </c>
      <c r="E9">
        <v>1</v>
      </c>
      <c r="G9" t="s">
        <v>12</v>
      </c>
      <c r="H9">
        <v>20</v>
      </c>
      <c r="I9">
        <v>23</v>
      </c>
      <c r="J9">
        <v>5</v>
      </c>
      <c r="K9">
        <v>10</v>
      </c>
      <c r="M9" t="s">
        <v>12</v>
      </c>
      <c r="N9">
        <v>18</v>
      </c>
      <c r="O9">
        <v>1</v>
      </c>
      <c r="P9">
        <v>14</v>
      </c>
      <c r="Q9">
        <v>14</v>
      </c>
    </row>
    <row r="10" spans="1:17" x14ac:dyDescent="0.25">
      <c r="A10" t="s">
        <v>13</v>
      </c>
      <c r="B10">
        <v>4</v>
      </c>
      <c r="C10">
        <v>3</v>
      </c>
      <c r="D10">
        <v>1</v>
      </c>
      <c r="E10">
        <v>0</v>
      </c>
      <c r="G10" t="s">
        <v>13</v>
      </c>
      <c r="H10">
        <v>13</v>
      </c>
      <c r="I10">
        <v>8</v>
      </c>
      <c r="J10">
        <v>4</v>
      </c>
      <c r="K10">
        <v>16</v>
      </c>
      <c r="M10" t="s">
        <v>13</v>
      </c>
      <c r="N10">
        <v>28</v>
      </c>
      <c r="O10">
        <v>40</v>
      </c>
      <c r="P10">
        <v>1</v>
      </c>
      <c r="Q10">
        <v>1</v>
      </c>
    </row>
    <row r="12" spans="1:17" x14ac:dyDescent="0.25">
      <c r="A12" t="s">
        <v>59</v>
      </c>
    </row>
    <row r="13" spans="1:17" x14ac:dyDescent="0.25">
      <c r="A13" t="s">
        <v>29</v>
      </c>
      <c r="B13" t="s">
        <v>1</v>
      </c>
      <c r="C13" t="s">
        <v>2</v>
      </c>
      <c r="D13" t="s">
        <v>3</v>
      </c>
      <c r="E13" t="s">
        <v>4</v>
      </c>
      <c r="G13" t="s">
        <v>30</v>
      </c>
      <c r="H13" t="s">
        <v>1</v>
      </c>
      <c r="I13" t="s">
        <v>2</v>
      </c>
      <c r="J13" t="s">
        <v>3</v>
      </c>
      <c r="K13" t="s">
        <v>4</v>
      </c>
      <c r="M13" t="s">
        <v>31</v>
      </c>
      <c r="N13" t="s">
        <v>1</v>
      </c>
      <c r="O13" t="s">
        <v>2</v>
      </c>
      <c r="P13" t="s">
        <v>3</v>
      </c>
      <c r="Q13" t="s">
        <v>4</v>
      </c>
    </row>
    <row r="14" spans="1:17" x14ac:dyDescent="0.25">
      <c r="A14" t="s">
        <v>5</v>
      </c>
      <c r="C14">
        <v>5516.8804304940359</v>
      </c>
      <c r="D14">
        <v>3920.4264981406036</v>
      </c>
      <c r="E14">
        <v>-595.37756783621444</v>
      </c>
      <c r="G14" t="s">
        <v>5</v>
      </c>
      <c r="I14">
        <v>-5880.6940964290034</v>
      </c>
      <c r="J14">
        <v>-1965.8112185342595</v>
      </c>
      <c r="K14">
        <v>5350.0283309391771</v>
      </c>
      <c r="M14" t="s">
        <v>5</v>
      </c>
      <c r="O14">
        <v>-13698.068230492758</v>
      </c>
      <c r="P14">
        <v>466.85978344505668</v>
      </c>
      <c r="Q14">
        <v>18763.632753917165</v>
      </c>
    </row>
    <row r="15" spans="1:17" x14ac:dyDescent="0.25">
      <c r="A15" t="s">
        <v>7</v>
      </c>
      <c r="C15">
        <v>1809.828962598521</v>
      </c>
      <c r="D15">
        <v>3085.6225081852463</v>
      </c>
      <c r="G15" t="s">
        <v>7</v>
      </c>
      <c r="I15">
        <v>10380.591957909712</v>
      </c>
      <c r="J15">
        <v>-1531.0174737658319</v>
      </c>
      <c r="K15">
        <v>-2792.7889210836647</v>
      </c>
      <c r="M15" t="s">
        <v>7</v>
      </c>
      <c r="O15">
        <v>5509.3802383968141</v>
      </c>
      <c r="P15">
        <v>-19481.477226529802</v>
      </c>
      <c r="Q15">
        <v>-1369.0568038395056</v>
      </c>
    </row>
    <row r="16" spans="1:17" x14ac:dyDescent="0.25">
      <c r="A16" t="s">
        <v>8</v>
      </c>
      <c r="C16">
        <v>-8826.0956219264935</v>
      </c>
      <c r="D16">
        <v>-97.067703519553888</v>
      </c>
      <c r="E16">
        <v>-1844.1052028110996</v>
      </c>
      <c r="G16" t="s">
        <v>8</v>
      </c>
      <c r="I16">
        <v>472.5121021271417</v>
      </c>
      <c r="J16">
        <v>1602.1062510354532</v>
      </c>
      <c r="K16">
        <v>8180.5356093815635</v>
      </c>
      <c r="M16" t="s">
        <v>8</v>
      </c>
      <c r="O16">
        <v>-5726.5597139086167</v>
      </c>
      <c r="P16">
        <v>16546.40205247061</v>
      </c>
      <c r="Q16">
        <v>2217.9915904999193</v>
      </c>
    </row>
    <row r="17" spans="1:17" x14ac:dyDescent="0.25">
      <c r="A17" t="s">
        <v>9</v>
      </c>
      <c r="C17">
        <v>-7653.0220985412079</v>
      </c>
      <c r="D17">
        <v>-3169.3203040531685</v>
      </c>
      <c r="E17">
        <v>6207.4053628104039</v>
      </c>
      <c r="G17" t="s">
        <v>9</v>
      </c>
      <c r="I17">
        <v>2050.8133956364263</v>
      </c>
      <c r="J17">
        <v>-6091.1342688969744</v>
      </c>
      <c r="K17">
        <v>4121.3012082236337</v>
      </c>
      <c r="M17" t="s">
        <v>9</v>
      </c>
      <c r="O17">
        <v>-3425.6312165941886</v>
      </c>
      <c r="P17">
        <v>19103.858859198441</v>
      </c>
      <c r="Q17">
        <v>1057.9618794577796</v>
      </c>
    </row>
    <row r="18" spans="1:17" x14ac:dyDescent="0.25">
      <c r="A18" t="s">
        <v>10</v>
      </c>
      <c r="C18">
        <v>-481.53407233102189</v>
      </c>
      <c r="G18" t="s">
        <v>10</v>
      </c>
      <c r="I18">
        <v>15990.300852911825</v>
      </c>
      <c r="J18">
        <v>3936.9486604417389</v>
      </c>
      <c r="K18">
        <v>12677.172517776506</v>
      </c>
      <c r="M18" t="s">
        <v>10</v>
      </c>
      <c r="O18">
        <v>12837.394012723671</v>
      </c>
      <c r="P18">
        <v>23457.883419309343</v>
      </c>
      <c r="Q18">
        <v>10880.822161265793</v>
      </c>
    </row>
    <row r="19" spans="1:17" x14ac:dyDescent="0.25">
      <c r="A19" t="s">
        <v>11</v>
      </c>
      <c r="C19">
        <v>3284.6493448529923</v>
      </c>
      <c r="D19">
        <v>-7019.8537077222263</v>
      </c>
      <c r="G19" t="s">
        <v>11</v>
      </c>
      <c r="I19">
        <v>23752.238784517569</v>
      </c>
      <c r="J19">
        <v>10731.905303682595</v>
      </c>
      <c r="K19">
        <v>9269.2591462816781</v>
      </c>
      <c r="M19" t="s">
        <v>11</v>
      </c>
      <c r="O19">
        <v>10514.725828170815</v>
      </c>
      <c r="P19">
        <v>7817.4828324999125</v>
      </c>
      <c r="Q19">
        <v>12791.305875778207</v>
      </c>
    </row>
    <row r="20" spans="1:17" x14ac:dyDescent="0.25">
      <c r="A20" t="s">
        <v>12</v>
      </c>
      <c r="C20">
        <v>4424.6785436357786</v>
      </c>
      <c r="E20">
        <v>6921.336691720142</v>
      </c>
      <c r="G20" t="s">
        <v>12</v>
      </c>
      <c r="I20">
        <v>7797.0475264958559</v>
      </c>
      <c r="J20">
        <v>9561.440542766024</v>
      </c>
      <c r="K20">
        <v>12227.595785685964</v>
      </c>
      <c r="M20" t="s">
        <v>12</v>
      </c>
      <c r="O20">
        <v>18965.377051489668</v>
      </c>
      <c r="P20">
        <v>1012.9607268741986</v>
      </c>
      <c r="Q20">
        <v>9682.5306006840365</v>
      </c>
    </row>
    <row r="21" spans="1:17" x14ac:dyDescent="0.25">
      <c r="A21" t="s">
        <v>13</v>
      </c>
      <c r="C21">
        <v>4581.2042917524068</v>
      </c>
      <c r="D21">
        <v>5586.5561280931743</v>
      </c>
      <c r="E21">
        <v>6775.2459934779545</v>
      </c>
      <c r="G21" t="s">
        <v>13</v>
      </c>
      <c r="I21">
        <v>14816.357742037111</v>
      </c>
      <c r="J21">
        <v>7825.7439136505109</v>
      </c>
      <c r="K21">
        <v>4793.4923376356064</v>
      </c>
      <c r="M21" t="s">
        <v>13</v>
      </c>
      <c r="O21">
        <v>7537.2582639966695</v>
      </c>
      <c r="P21">
        <v>14578.525563648771</v>
      </c>
      <c r="Q21">
        <v>1998.8555431366342</v>
      </c>
    </row>
    <row r="23" spans="1:17" x14ac:dyDescent="0.25">
      <c r="A23" t="s">
        <v>25</v>
      </c>
    </row>
    <row r="24" spans="1:17" x14ac:dyDescent="0.25">
      <c r="A24" t="s">
        <v>29</v>
      </c>
      <c r="B24" t="s">
        <v>1</v>
      </c>
      <c r="C24" t="s">
        <v>2</v>
      </c>
      <c r="D24" t="s">
        <v>3</v>
      </c>
      <c r="E24" t="s">
        <v>4</v>
      </c>
      <c r="G24" t="s">
        <v>30</v>
      </c>
      <c r="H24" t="s">
        <v>1</v>
      </c>
      <c r="I24" t="s">
        <v>2</v>
      </c>
      <c r="J24" t="s">
        <v>3</v>
      </c>
      <c r="K24" t="s">
        <v>4</v>
      </c>
      <c r="M24" t="s">
        <v>31</v>
      </c>
      <c r="N24" t="s">
        <v>1</v>
      </c>
      <c r="O24" t="s">
        <v>2</v>
      </c>
      <c r="P24" t="s">
        <v>3</v>
      </c>
      <c r="Q24" t="s">
        <v>4</v>
      </c>
    </row>
    <row r="25" spans="1:17" x14ac:dyDescent="0.25">
      <c r="A25" t="s">
        <v>5</v>
      </c>
      <c r="C25">
        <v>66.19453791376479</v>
      </c>
      <c r="D25">
        <v>51.023815113336923</v>
      </c>
      <c r="E25">
        <v>1.4529045047865365</v>
      </c>
      <c r="G25" t="s">
        <v>5</v>
      </c>
      <c r="I25">
        <v>-21.18724715778918</v>
      </c>
      <c r="J25">
        <v>24.162805907255454</v>
      </c>
      <c r="K25">
        <v>61.360814891108987</v>
      </c>
      <c r="M25" t="s">
        <v>5</v>
      </c>
      <c r="O25">
        <v>-40.919909730001876</v>
      </c>
      <c r="P25">
        <v>13.535629048755442</v>
      </c>
      <c r="Q25">
        <v>91.9055736853214</v>
      </c>
    </row>
    <row r="26" spans="1:17" x14ac:dyDescent="0.25">
      <c r="A26" t="s">
        <v>7</v>
      </c>
      <c r="C26">
        <v>21.715314187338521</v>
      </c>
      <c r="D26">
        <v>41.007381902600557</v>
      </c>
      <c r="G26" t="s">
        <v>7</v>
      </c>
      <c r="I26">
        <v>37.399695316569172</v>
      </c>
      <c r="J26">
        <v>25.729301695339952</v>
      </c>
      <c r="K26">
        <v>32.023481771863551</v>
      </c>
      <c r="M26" t="s">
        <v>7</v>
      </c>
      <c r="O26">
        <v>16.458039062880623</v>
      </c>
      <c r="P26">
        <v>-46.055558261490773</v>
      </c>
      <c r="Q26">
        <v>31.763674443524518</v>
      </c>
    </row>
    <row r="27" spans="1:17" x14ac:dyDescent="0.25">
      <c r="A27" t="s">
        <v>8</v>
      </c>
      <c r="C27">
        <v>-105.90030518820002</v>
      </c>
      <c r="D27">
        <v>2.8197302866681451</v>
      </c>
      <c r="E27">
        <v>-13.530010172939907</v>
      </c>
      <c r="G27" t="s">
        <v>8</v>
      </c>
      <c r="I27">
        <v>1.7023892977010149</v>
      </c>
      <c r="J27">
        <v>37.017470344276795</v>
      </c>
      <c r="K27">
        <v>71.558702471538766</v>
      </c>
      <c r="M27" t="s">
        <v>8</v>
      </c>
      <c r="O27">
        <v>-17.106814086016307</v>
      </c>
      <c r="P27">
        <v>61.569658889808885</v>
      </c>
      <c r="Q27">
        <v>42.479177828649448</v>
      </c>
    </row>
    <row r="28" spans="1:17" x14ac:dyDescent="0.25">
      <c r="A28" t="s">
        <v>9</v>
      </c>
      <c r="C28">
        <v>-91.825129770195289</v>
      </c>
      <c r="D28">
        <v>-34.042830685760499</v>
      </c>
      <c r="E28">
        <v>83.076401387693338</v>
      </c>
      <c r="G28" t="s">
        <v>9</v>
      </c>
      <c r="I28">
        <v>7.3887690084473405</v>
      </c>
      <c r="J28">
        <v>9.2998938699102336</v>
      </c>
      <c r="K28">
        <v>56.933897793982311</v>
      </c>
      <c r="M28" t="s">
        <v>9</v>
      </c>
      <c r="O28">
        <v>-10.233305732794424</v>
      </c>
      <c r="P28">
        <v>69.20948809117921</v>
      </c>
      <c r="Q28">
        <v>39.013848976344782</v>
      </c>
    </row>
    <row r="29" spans="1:17" x14ac:dyDescent="0.25">
      <c r="A29" t="s">
        <v>10</v>
      </c>
      <c r="C29">
        <v>-5.7777082192138414</v>
      </c>
      <c r="G29" t="s">
        <v>10</v>
      </c>
      <c r="I29">
        <v>57.610623974434802</v>
      </c>
      <c r="J29">
        <v>45.429552726289913</v>
      </c>
      <c r="K29">
        <v>87.7594019119081</v>
      </c>
      <c r="M29" t="s">
        <v>10</v>
      </c>
      <c r="O29">
        <v>38.348838342019455</v>
      </c>
      <c r="P29">
        <v>82.216160927378098</v>
      </c>
      <c r="Q29">
        <v>68.357443215949871</v>
      </c>
    </row>
    <row r="30" spans="1:17" x14ac:dyDescent="0.25">
      <c r="A30" t="s">
        <v>11</v>
      </c>
      <c r="C30">
        <v>39.41101285963952</v>
      </c>
      <c r="D30">
        <v>-80.243628870281668</v>
      </c>
      <c r="G30" t="s">
        <v>11</v>
      </c>
      <c r="I30">
        <v>85.575706783318367</v>
      </c>
      <c r="J30">
        <v>69.910748902473912</v>
      </c>
      <c r="K30">
        <v>75.481207924902222</v>
      </c>
      <c r="M30" t="s">
        <v>11</v>
      </c>
      <c r="O30">
        <v>31.41038754403921</v>
      </c>
      <c r="P30">
        <v>35.493968470443058</v>
      </c>
      <c r="Q30">
        <v>74.06458526131216</v>
      </c>
    </row>
    <row r="31" spans="1:17" x14ac:dyDescent="0.25">
      <c r="A31" t="s">
        <v>12</v>
      </c>
      <c r="C31">
        <v>53.08970446305139</v>
      </c>
      <c r="E31">
        <v>91.642538539791843</v>
      </c>
      <c r="G31" t="s">
        <v>12</v>
      </c>
      <c r="I31">
        <v>28.091577343771611</v>
      </c>
      <c r="J31">
        <v>65.693742240950598</v>
      </c>
      <c r="K31">
        <v>86.139645267028769</v>
      </c>
      <c r="M31" t="s">
        <v>12</v>
      </c>
      <c r="O31">
        <v>56.654814670498197</v>
      </c>
      <c r="P31">
        <v>15.166983261084804</v>
      </c>
      <c r="Q31">
        <v>64.777815660870544</v>
      </c>
    </row>
    <row r="32" spans="1:17" x14ac:dyDescent="0.25">
      <c r="A32" t="s">
        <v>13</v>
      </c>
      <c r="C32">
        <v>54.967785690064453</v>
      </c>
      <c r="D32">
        <v>71.01494639643164</v>
      </c>
      <c r="E32">
        <v>89.889662727912977</v>
      </c>
      <c r="G32" t="s">
        <v>13</v>
      </c>
      <c r="I32">
        <v>53.381085346606817</v>
      </c>
      <c r="J32">
        <v>59.440291054917473</v>
      </c>
      <c r="K32">
        <v>59.355700282360878</v>
      </c>
      <c r="M32" t="s">
        <v>13</v>
      </c>
      <c r="O32">
        <v>22.515870309937821</v>
      </c>
      <c r="P32">
        <v>55.691068790284618</v>
      </c>
      <c r="Q32">
        <v>41.824557985485441</v>
      </c>
    </row>
    <row r="36" spans="1:5" x14ac:dyDescent="0.25">
      <c r="C36" t="s">
        <v>60</v>
      </c>
      <c r="D36" t="s">
        <v>61</v>
      </c>
      <c r="E36" t="s">
        <v>25</v>
      </c>
    </row>
    <row r="37" spans="1:5" x14ac:dyDescent="0.25">
      <c r="A37" s="8" t="s">
        <v>62</v>
      </c>
      <c r="B37" s="8" t="s">
        <v>2</v>
      </c>
      <c r="C37">
        <v>10</v>
      </c>
      <c r="D37">
        <v>5516.8804304940359</v>
      </c>
      <c r="E37">
        <v>66.19453791376479</v>
      </c>
    </row>
    <row r="38" spans="1:5" x14ac:dyDescent="0.25">
      <c r="A38" s="8"/>
      <c r="B38" s="8"/>
      <c r="C38">
        <v>10</v>
      </c>
      <c r="D38">
        <v>1809.828962598521</v>
      </c>
      <c r="E38">
        <v>21.715314187338521</v>
      </c>
    </row>
    <row r="39" spans="1:5" x14ac:dyDescent="0.25">
      <c r="A39" s="8"/>
      <c r="B39" s="8"/>
      <c r="C39">
        <v>3</v>
      </c>
      <c r="D39">
        <v>-8826.0956219264935</v>
      </c>
      <c r="E39">
        <v>-105.90030518820002</v>
      </c>
    </row>
    <row r="40" spans="1:5" x14ac:dyDescent="0.25">
      <c r="A40" s="8"/>
      <c r="B40" s="8"/>
      <c r="C40">
        <v>11</v>
      </c>
      <c r="D40">
        <v>-7653.0220985412079</v>
      </c>
      <c r="E40">
        <v>-91.825129770195289</v>
      </c>
    </row>
    <row r="41" spans="1:5" x14ac:dyDescent="0.25">
      <c r="A41" s="8"/>
      <c r="B41" s="8"/>
      <c r="C41">
        <v>24</v>
      </c>
      <c r="D41">
        <v>-481.53407233102189</v>
      </c>
      <c r="E41">
        <v>-5.7777082192138414</v>
      </c>
    </row>
    <row r="42" spans="1:5" x14ac:dyDescent="0.25">
      <c r="A42" s="8"/>
      <c r="B42" s="8"/>
      <c r="C42">
        <v>17</v>
      </c>
      <c r="D42">
        <v>3284.6493448529923</v>
      </c>
      <c r="E42">
        <v>39.41101285963952</v>
      </c>
    </row>
    <row r="43" spans="1:5" x14ac:dyDescent="0.25">
      <c r="A43" s="8"/>
      <c r="B43" s="8"/>
      <c r="C43">
        <v>18</v>
      </c>
      <c r="D43">
        <v>4424.6785436357786</v>
      </c>
      <c r="E43">
        <v>53.08970446305139</v>
      </c>
    </row>
    <row r="44" spans="1:5" x14ac:dyDescent="0.25">
      <c r="A44" s="8"/>
      <c r="B44" s="8"/>
      <c r="C44">
        <v>3</v>
      </c>
      <c r="D44">
        <v>4581.2042917524068</v>
      </c>
      <c r="E44">
        <v>54.967785690064453</v>
      </c>
    </row>
    <row r="45" spans="1:5" x14ac:dyDescent="0.25">
      <c r="A45" s="8"/>
      <c r="B45" s="8" t="s">
        <v>3</v>
      </c>
      <c r="C45">
        <v>6</v>
      </c>
      <c r="D45">
        <v>3920.4264981406036</v>
      </c>
      <c r="E45">
        <v>51.023815113336923</v>
      </c>
    </row>
    <row r="46" spans="1:5" x14ac:dyDescent="0.25">
      <c r="A46" s="8"/>
      <c r="B46" s="8"/>
      <c r="C46">
        <v>2</v>
      </c>
      <c r="D46">
        <v>3085.6225081852463</v>
      </c>
      <c r="E46">
        <v>41.007381902600557</v>
      </c>
    </row>
    <row r="47" spans="1:5" x14ac:dyDescent="0.25">
      <c r="A47" s="8"/>
      <c r="B47" s="8"/>
      <c r="C47">
        <v>2</v>
      </c>
      <c r="D47">
        <v>-97.067703519553888</v>
      </c>
      <c r="E47">
        <v>2.8197302866681451</v>
      </c>
    </row>
    <row r="48" spans="1:5" x14ac:dyDescent="0.25">
      <c r="A48" s="8"/>
      <c r="B48" s="8"/>
      <c r="C48">
        <v>9</v>
      </c>
      <c r="D48">
        <v>-3169.3203040531685</v>
      </c>
      <c r="E48">
        <v>-34.042830685760499</v>
      </c>
    </row>
    <row r="49" spans="1:5" x14ac:dyDescent="0.25">
      <c r="A49" s="8"/>
      <c r="B49" s="8"/>
      <c r="C49" t="s">
        <v>6</v>
      </c>
    </row>
    <row r="50" spans="1:5" x14ac:dyDescent="0.25">
      <c r="A50" s="8"/>
      <c r="B50" s="8"/>
      <c r="C50">
        <v>0</v>
      </c>
      <c r="D50">
        <v>-7019.8537077222263</v>
      </c>
      <c r="E50">
        <v>-80.243628870281668</v>
      </c>
    </row>
    <row r="51" spans="1:5" x14ac:dyDescent="0.25">
      <c r="A51" s="8"/>
      <c r="B51" s="8"/>
      <c r="C51" t="s">
        <v>6</v>
      </c>
    </row>
    <row r="52" spans="1:5" x14ac:dyDescent="0.25">
      <c r="A52" s="8"/>
      <c r="B52" s="8"/>
      <c r="C52">
        <v>1</v>
      </c>
      <c r="D52">
        <v>5586.5561280931743</v>
      </c>
      <c r="E52">
        <v>71.01494639643164</v>
      </c>
    </row>
    <row r="53" spans="1:5" x14ac:dyDescent="0.25">
      <c r="A53" s="8"/>
      <c r="B53" s="8" t="s">
        <v>4</v>
      </c>
      <c r="C53">
        <v>2</v>
      </c>
      <c r="D53">
        <v>-595.37756783621444</v>
      </c>
      <c r="E53">
        <v>1.4529045047865365</v>
      </c>
    </row>
    <row r="54" spans="1:5" x14ac:dyDescent="0.25">
      <c r="A54" s="8"/>
      <c r="B54" s="8"/>
    </row>
    <row r="55" spans="1:5" x14ac:dyDescent="0.25">
      <c r="A55" s="8"/>
      <c r="B55" s="8"/>
      <c r="C55">
        <v>1</v>
      </c>
      <c r="D55">
        <v>-1844.1052028110996</v>
      </c>
      <c r="E55">
        <v>-13.530010172939907</v>
      </c>
    </row>
    <row r="56" spans="1:5" x14ac:dyDescent="0.25">
      <c r="A56" s="8"/>
      <c r="B56" s="8"/>
      <c r="C56">
        <v>0</v>
      </c>
      <c r="D56">
        <v>6207.4053628104039</v>
      </c>
      <c r="E56">
        <v>83.076401387693338</v>
      </c>
    </row>
    <row r="57" spans="1:5" x14ac:dyDescent="0.25">
      <c r="A57" s="8"/>
      <c r="B57" s="8"/>
      <c r="C57" t="s">
        <v>6</v>
      </c>
    </row>
    <row r="58" spans="1:5" x14ac:dyDescent="0.25">
      <c r="A58" s="8"/>
      <c r="B58" s="8"/>
      <c r="C58" t="s">
        <v>6</v>
      </c>
    </row>
    <row r="59" spans="1:5" x14ac:dyDescent="0.25">
      <c r="A59" s="8"/>
      <c r="B59" s="8"/>
      <c r="C59">
        <v>1</v>
      </c>
      <c r="D59">
        <v>6921.336691720142</v>
      </c>
      <c r="E59">
        <v>91.642538539791843</v>
      </c>
    </row>
    <row r="60" spans="1:5" x14ac:dyDescent="0.25">
      <c r="A60" s="8"/>
      <c r="B60" s="8"/>
      <c r="C60">
        <v>0</v>
      </c>
      <c r="D60">
        <v>6775.2459934779545</v>
      </c>
      <c r="E60">
        <v>89.889662727912977</v>
      </c>
    </row>
    <row r="61" spans="1:5" x14ac:dyDescent="0.25">
      <c r="A61" s="8" t="s">
        <v>63</v>
      </c>
      <c r="B61" s="8" t="s">
        <v>2</v>
      </c>
      <c r="C61">
        <v>0</v>
      </c>
      <c r="D61">
        <v>-5880.6940964290034</v>
      </c>
      <c r="E61">
        <v>-21.18724715778918</v>
      </c>
    </row>
    <row r="62" spans="1:5" x14ac:dyDescent="0.25">
      <c r="A62" s="8"/>
      <c r="B62" s="8"/>
      <c r="C62">
        <v>2</v>
      </c>
      <c r="D62">
        <v>10380.591957909712</v>
      </c>
      <c r="E62">
        <v>37.399695316569172</v>
      </c>
    </row>
    <row r="63" spans="1:5" x14ac:dyDescent="0.25">
      <c r="A63" s="8"/>
      <c r="B63" s="8"/>
      <c r="C63">
        <v>1</v>
      </c>
      <c r="D63">
        <v>472.5121021271417</v>
      </c>
      <c r="E63">
        <v>1.7023892977010149</v>
      </c>
    </row>
    <row r="64" spans="1:5" x14ac:dyDescent="0.25">
      <c r="A64" s="8"/>
      <c r="B64" s="8"/>
      <c r="C64">
        <v>0</v>
      </c>
      <c r="D64">
        <v>2050.8133956364263</v>
      </c>
      <c r="E64">
        <v>7.3887690084473405</v>
      </c>
    </row>
    <row r="65" spans="1:5" x14ac:dyDescent="0.25">
      <c r="A65" s="8"/>
      <c r="B65" s="8"/>
      <c r="C65">
        <v>9</v>
      </c>
      <c r="D65">
        <v>15990.300852911825</v>
      </c>
      <c r="E65">
        <v>57.610623974434802</v>
      </c>
    </row>
    <row r="66" spans="1:5" x14ac:dyDescent="0.25">
      <c r="A66" s="8"/>
      <c r="B66" s="8"/>
      <c r="C66">
        <v>12</v>
      </c>
      <c r="D66">
        <v>23752.238784517569</v>
      </c>
      <c r="E66">
        <v>85.575706783318367</v>
      </c>
    </row>
    <row r="67" spans="1:5" x14ac:dyDescent="0.25">
      <c r="A67" s="8"/>
      <c r="B67" s="8"/>
      <c r="C67">
        <v>23</v>
      </c>
      <c r="D67">
        <v>7797.0475264958559</v>
      </c>
      <c r="E67">
        <v>28.091577343771611</v>
      </c>
    </row>
    <row r="68" spans="1:5" x14ac:dyDescent="0.25">
      <c r="A68" s="8"/>
      <c r="B68" s="8"/>
      <c r="C68">
        <v>8</v>
      </c>
      <c r="D68">
        <v>14816.357742037111</v>
      </c>
      <c r="E68">
        <v>53.381085346606817</v>
      </c>
    </row>
    <row r="69" spans="1:5" x14ac:dyDescent="0.25">
      <c r="A69" s="8"/>
      <c r="B69" s="8" t="s">
        <v>3</v>
      </c>
      <c r="C69">
        <v>2</v>
      </c>
      <c r="D69">
        <v>-1965.8112185342595</v>
      </c>
      <c r="E69">
        <v>24.162805907255454</v>
      </c>
    </row>
    <row r="70" spans="1:5" x14ac:dyDescent="0.25">
      <c r="A70" s="8"/>
      <c r="B70" s="8"/>
      <c r="C70">
        <v>4</v>
      </c>
      <c r="D70">
        <v>-1531.0174737658319</v>
      </c>
      <c r="E70">
        <v>25.729301695339952</v>
      </c>
    </row>
    <row r="71" spans="1:5" x14ac:dyDescent="0.25">
      <c r="A71" s="8"/>
      <c r="B71" s="8"/>
      <c r="C71">
        <v>0</v>
      </c>
      <c r="D71">
        <v>1602.1062510354532</v>
      </c>
      <c r="E71">
        <v>37.017470344276795</v>
      </c>
    </row>
    <row r="72" spans="1:5" x14ac:dyDescent="0.25">
      <c r="A72" s="8"/>
      <c r="B72" s="8"/>
      <c r="C72">
        <v>3</v>
      </c>
      <c r="D72">
        <v>-6091.1342688969744</v>
      </c>
      <c r="E72">
        <v>9.2998938699102336</v>
      </c>
    </row>
    <row r="73" spans="1:5" x14ac:dyDescent="0.25">
      <c r="A73" s="8"/>
      <c r="B73" s="8"/>
      <c r="C73">
        <v>8</v>
      </c>
      <c r="D73">
        <v>3936.9486604417389</v>
      </c>
      <c r="E73">
        <v>45.429552726289913</v>
      </c>
    </row>
    <row r="74" spans="1:5" x14ac:dyDescent="0.25">
      <c r="A74" s="8"/>
      <c r="B74" s="8"/>
      <c r="C74">
        <v>2</v>
      </c>
      <c r="D74">
        <v>10731.905303682595</v>
      </c>
      <c r="E74">
        <v>69.910748902473912</v>
      </c>
    </row>
    <row r="75" spans="1:5" x14ac:dyDescent="0.25">
      <c r="A75" s="8"/>
      <c r="B75" s="8"/>
      <c r="C75">
        <v>5</v>
      </c>
      <c r="D75">
        <v>9561.440542766024</v>
      </c>
      <c r="E75">
        <v>65.693742240950598</v>
      </c>
    </row>
    <row r="76" spans="1:5" x14ac:dyDescent="0.25">
      <c r="A76" s="8"/>
      <c r="B76" s="8"/>
      <c r="C76">
        <v>4</v>
      </c>
      <c r="D76">
        <v>7825.7439136505109</v>
      </c>
      <c r="E76">
        <v>59.440291054917473</v>
      </c>
    </row>
    <row r="77" spans="1:5" x14ac:dyDescent="0.25">
      <c r="A77" s="8"/>
      <c r="B77" s="8" t="s">
        <v>4</v>
      </c>
      <c r="C77">
        <v>9</v>
      </c>
      <c r="D77">
        <v>5350.0283309391771</v>
      </c>
      <c r="E77">
        <v>61.360814891108987</v>
      </c>
    </row>
    <row r="78" spans="1:5" x14ac:dyDescent="0.25">
      <c r="A78" s="8"/>
      <c r="B78" s="8"/>
      <c r="C78">
        <v>8</v>
      </c>
      <c r="D78">
        <v>-2792.7889210836647</v>
      </c>
      <c r="E78">
        <v>32.023481771863551</v>
      </c>
    </row>
    <row r="79" spans="1:5" x14ac:dyDescent="0.25">
      <c r="A79" s="8"/>
      <c r="B79" s="8"/>
      <c r="C79">
        <v>8</v>
      </c>
      <c r="D79">
        <v>8180.5356093815635</v>
      </c>
      <c r="E79">
        <v>71.558702471538766</v>
      </c>
    </row>
    <row r="80" spans="1:5" x14ac:dyDescent="0.25">
      <c r="A80" s="8"/>
      <c r="B80" s="8"/>
      <c r="C80">
        <v>0</v>
      </c>
      <c r="D80">
        <v>4121.3012082236337</v>
      </c>
      <c r="E80">
        <v>56.933897793982311</v>
      </c>
    </row>
    <row r="81" spans="1:5" x14ac:dyDescent="0.25">
      <c r="A81" s="8"/>
      <c r="B81" s="8"/>
      <c r="C81">
        <v>10</v>
      </c>
      <c r="D81">
        <v>12677.172517776506</v>
      </c>
      <c r="E81">
        <v>87.7594019119081</v>
      </c>
    </row>
    <row r="82" spans="1:5" x14ac:dyDescent="0.25">
      <c r="A82" s="8"/>
      <c r="B82" s="8"/>
      <c r="C82">
        <v>3</v>
      </c>
      <c r="D82">
        <v>9269.2591462816781</v>
      </c>
      <c r="E82">
        <v>75.481207924902222</v>
      </c>
    </row>
    <row r="83" spans="1:5" x14ac:dyDescent="0.25">
      <c r="A83" s="8"/>
      <c r="B83" s="8"/>
      <c r="C83">
        <v>10</v>
      </c>
      <c r="D83">
        <v>12227.595785685964</v>
      </c>
      <c r="E83">
        <v>86.139645267028769</v>
      </c>
    </row>
    <row r="84" spans="1:5" x14ac:dyDescent="0.25">
      <c r="A84" s="8"/>
      <c r="B84" s="8"/>
      <c r="C84">
        <v>16</v>
      </c>
      <c r="D84">
        <v>4793.4923376356064</v>
      </c>
      <c r="E84">
        <v>59.355700282360878</v>
      </c>
    </row>
    <row r="85" spans="1:5" x14ac:dyDescent="0.25">
      <c r="A85" s="8" t="s">
        <v>64</v>
      </c>
      <c r="B85" s="8" t="s">
        <v>2</v>
      </c>
      <c r="C85">
        <v>4</v>
      </c>
      <c r="D85">
        <v>-13698.068230492758</v>
      </c>
      <c r="E85">
        <v>-40.919909730001876</v>
      </c>
    </row>
    <row r="86" spans="1:5" x14ac:dyDescent="0.25">
      <c r="A86" s="8"/>
      <c r="B86" s="8"/>
      <c r="C86">
        <v>4</v>
      </c>
      <c r="D86">
        <v>5509.3802383968141</v>
      </c>
      <c r="E86">
        <v>16.458039062880623</v>
      </c>
    </row>
    <row r="87" spans="1:5" x14ac:dyDescent="0.25">
      <c r="A87" s="8"/>
      <c r="B87" s="8"/>
      <c r="C87">
        <v>2</v>
      </c>
      <c r="D87">
        <v>-5726.5597139086167</v>
      </c>
      <c r="E87">
        <v>-17.106814086016307</v>
      </c>
    </row>
    <row r="88" spans="1:5" x14ac:dyDescent="0.25">
      <c r="A88" s="8"/>
      <c r="B88" s="8"/>
      <c r="C88">
        <v>1</v>
      </c>
      <c r="D88">
        <v>-3425.6312165941886</v>
      </c>
      <c r="E88">
        <v>-10.233305732794424</v>
      </c>
    </row>
    <row r="89" spans="1:5" x14ac:dyDescent="0.25">
      <c r="A89" s="8"/>
      <c r="B89" s="8"/>
      <c r="C89">
        <v>25</v>
      </c>
      <c r="D89">
        <v>12837.394012723671</v>
      </c>
      <c r="E89">
        <v>38.348838342019455</v>
      </c>
    </row>
    <row r="90" spans="1:5" x14ac:dyDescent="0.25">
      <c r="A90" s="8"/>
      <c r="B90" s="8"/>
      <c r="C90">
        <v>1</v>
      </c>
      <c r="D90">
        <v>10514.725828170815</v>
      </c>
      <c r="E90">
        <v>31.41038754403921</v>
      </c>
    </row>
    <row r="91" spans="1:5" x14ac:dyDescent="0.25">
      <c r="A91" s="8"/>
      <c r="B91" s="8"/>
      <c r="C91">
        <v>1</v>
      </c>
      <c r="D91">
        <v>18965.377051489668</v>
      </c>
      <c r="E91">
        <v>56.654814670498197</v>
      </c>
    </row>
    <row r="92" spans="1:5" x14ac:dyDescent="0.25">
      <c r="A92" s="8"/>
      <c r="B92" s="8"/>
      <c r="C92">
        <v>40</v>
      </c>
      <c r="D92">
        <v>7537.2582639966695</v>
      </c>
      <c r="E92">
        <v>22.515870309937821</v>
      </c>
    </row>
    <row r="93" spans="1:5" x14ac:dyDescent="0.25">
      <c r="A93" s="8"/>
      <c r="B93" s="8" t="s">
        <v>3</v>
      </c>
      <c r="C93">
        <v>6</v>
      </c>
      <c r="D93">
        <v>466.85978344505668</v>
      </c>
      <c r="E93">
        <v>13.535629048755442</v>
      </c>
    </row>
    <row r="94" spans="1:5" x14ac:dyDescent="0.25">
      <c r="A94" s="8"/>
      <c r="B94" s="8"/>
      <c r="C94">
        <v>6</v>
      </c>
      <c r="D94">
        <v>-19481.477226529802</v>
      </c>
      <c r="E94">
        <v>-46.055558261490773</v>
      </c>
    </row>
    <row r="95" spans="1:5" x14ac:dyDescent="0.25">
      <c r="A95" s="8"/>
      <c r="B95" s="8"/>
      <c r="C95">
        <v>3</v>
      </c>
      <c r="D95">
        <v>16546.40205247061</v>
      </c>
      <c r="E95">
        <v>61.569658889808885</v>
      </c>
    </row>
    <row r="96" spans="1:5" x14ac:dyDescent="0.25">
      <c r="A96" s="8"/>
      <c r="B96" s="8"/>
      <c r="C96">
        <v>0</v>
      </c>
      <c r="D96">
        <v>19103.858859198441</v>
      </c>
      <c r="E96">
        <v>69.20948809117921</v>
      </c>
    </row>
    <row r="97" spans="1:5" x14ac:dyDescent="0.25">
      <c r="A97" s="8"/>
      <c r="B97" s="8"/>
      <c r="C97">
        <v>7</v>
      </c>
      <c r="D97">
        <v>23457.883419309343</v>
      </c>
      <c r="E97">
        <v>82.216160927378098</v>
      </c>
    </row>
    <row r="98" spans="1:5" x14ac:dyDescent="0.25">
      <c r="A98" s="8"/>
      <c r="B98" s="8"/>
      <c r="C98">
        <v>23</v>
      </c>
      <c r="D98">
        <v>7817.4828324999125</v>
      </c>
      <c r="E98">
        <v>35.493968470443058</v>
      </c>
    </row>
    <row r="99" spans="1:5" x14ac:dyDescent="0.25">
      <c r="A99" s="8"/>
      <c r="B99" s="8"/>
      <c r="C99">
        <v>14</v>
      </c>
      <c r="D99">
        <v>1012.9607268741986</v>
      </c>
      <c r="E99">
        <v>15.166983261084804</v>
      </c>
    </row>
    <row r="100" spans="1:5" x14ac:dyDescent="0.25">
      <c r="A100" s="8"/>
      <c r="B100" s="8"/>
      <c r="C100">
        <v>1</v>
      </c>
      <c r="D100">
        <v>14578.525563648771</v>
      </c>
      <c r="E100">
        <v>55.691068790284618</v>
      </c>
    </row>
    <row r="101" spans="1:5" x14ac:dyDescent="0.25">
      <c r="A101" s="8"/>
      <c r="B101" s="8" t="s">
        <v>4</v>
      </c>
      <c r="C101">
        <v>0</v>
      </c>
      <c r="D101">
        <v>18763.632753917165</v>
      </c>
      <c r="E101">
        <v>91.9055736853214</v>
      </c>
    </row>
    <row r="102" spans="1:5" x14ac:dyDescent="0.25">
      <c r="A102" s="8"/>
      <c r="B102" s="8"/>
      <c r="C102">
        <v>2</v>
      </c>
      <c r="D102">
        <v>-1369.0568038395056</v>
      </c>
      <c r="E102">
        <v>31.763674443524518</v>
      </c>
    </row>
    <row r="103" spans="1:5" x14ac:dyDescent="0.25">
      <c r="A103" s="8"/>
      <c r="B103" s="8"/>
      <c r="C103">
        <v>16</v>
      </c>
      <c r="D103">
        <v>2217.9915904999193</v>
      </c>
      <c r="E103">
        <v>42.479177828649448</v>
      </c>
    </row>
    <row r="104" spans="1:5" x14ac:dyDescent="0.25">
      <c r="A104" s="8"/>
      <c r="B104" s="8"/>
      <c r="C104">
        <v>5</v>
      </c>
      <c r="D104">
        <v>1057.9618794577796</v>
      </c>
      <c r="E104">
        <v>39.013848976344782</v>
      </c>
    </row>
    <row r="105" spans="1:5" x14ac:dyDescent="0.25">
      <c r="A105" s="8"/>
      <c r="B105" s="8"/>
      <c r="C105">
        <v>7</v>
      </c>
      <c r="D105">
        <v>10880.822161265793</v>
      </c>
      <c r="E105">
        <v>68.357443215949871</v>
      </c>
    </row>
    <row r="106" spans="1:5" x14ac:dyDescent="0.25">
      <c r="A106" s="8"/>
      <c r="B106" s="8"/>
      <c r="C106">
        <v>2</v>
      </c>
      <c r="D106">
        <v>12791.305875778207</v>
      </c>
      <c r="E106">
        <v>74.06458526131216</v>
      </c>
    </row>
    <row r="107" spans="1:5" x14ac:dyDescent="0.25">
      <c r="A107" s="8"/>
      <c r="B107" s="8"/>
      <c r="C107">
        <v>14</v>
      </c>
      <c r="D107">
        <v>9682.5306006840365</v>
      </c>
      <c r="E107">
        <v>64.777815660870544</v>
      </c>
    </row>
    <row r="108" spans="1:5" x14ac:dyDescent="0.25">
      <c r="A108" s="8"/>
      <c r="B108" s="8"/>
      <c r="C108">
        <v>1</v>
      </c>
      <c r="D108">
        <v>1998.8555431366342</v>
      </c>
      <c r="E108">
        <v>41.824557985485441</v>
      </c>
    </row>
  </sheetData>
  <mergeCells count="12">
    <mergeCell ref="A85:A108"/>
    <mergeCell ref="B85:B92"/>
    <mergeCell ref="B93:B100"/>
    <mergeCell ref="B101:B108"/>
    <mergeCell ref="B37:B44"/>
    <mergeCell ref="B45:B52"/>
    <mergeCell ref="B53:B60"/>
    <mergeCell ref="A37:A60"/>
    <mergeCell ref="A61:A84"/>
    <mergeCell ref="B61:B68"/>
    <mergeCell ref="B69:B76"/>
    <mergeCell ref="B77:B8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863E-43B7-48BB-B3DB-F08CD7585FC0}">
  <dimension ref="A1:AK67"/>
  <sheetViews>
    <sheetView tabSelected="1" workbookViewId="0">
      <selection activeCell="AE42" sqref="AE42"/>
    </sheetView>
  </sheetViews>
  <sheetFormatPr defaultRowHeight="15" x14ac:dyDescent="0.25"/>
  <cols>
    <col min="19" max="19" width="9.140625" style="10"/>
  </cols>
  <sheetData>
    <row r="1" spans="1:37" x14ac:dyDescent="0.25">
      <c r="A1" t="s">
        <v>0</v>
      </c>
      <c r="T1" t="s">
        <v>65</v>
      </c>
      <c r="U1" t="s">
        <v>0</v>
      </c>
    </row>
    <row r="2" spans="1:37" x14ac:dyDescent="0.25">
      <c r="A2" s="1" t="s">
        <v>29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30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31</v>
      </c>
      <c r="N2" s="1" t="s">
        <v>1</v>
      </c>
      <c r="O2" s="1" t="s">
        <v>2</v>
      </c>
      <c r="P2" s="1" t="s">
        <v>3</v>
      </c>
      <c r="Q2" s="1" t="s">
        <v>4</v>
      </c>
      <c r="U2" s="1" t="s">
        <v>29</v>
      </c>
      <c r="V2" s="1" t="s">
        <v>1</v>
      </c>
      <c r="W2" s="1" t="s">
        <v>2</v>
      </c>
      <c r="X2" s="1" t="s">
        <v>3</v>
      </c>
      <c r="Y2" s="1" t="s">
        <v>4</v>
      </c>
      <c r="AA2" s="1" t="s">
        <v>30</v>
      </c>
      <c r="AB2" s="1" t="s">
        <v>1</v>
      </c>
      <c r="AC2" s="1" t="s">
        <v>2</v>
      </c>
      <c r="AD2" s="1" t="s">
        <v>3</v>
      </c>
      <c r="AE2" s="1" t="s">
        <v>4</v>
      </c>
      <c r="AG2" s="1" t="s">
        <v>31</v>
      </c>
      <c r="AH2" s="1" t="s">
        <v>1</v>
      </c>
      <c r="AI2" s="1" t="s">
        <v>2</v>
      </c>
      <c r="AJ2" s="1" t="s">
        <v>3</v>
      </c>
      <c r="AK2" s="1" t="s">
        <v>4</v>
      </c>
    </row>
    <row r="3" spans="1:37" x14ac:dyDescent="0.25">
      <c r="A3" t="s">
        <v>5</v>
      </c>
      <c r="B3" s="6">
        <v>981.13455489584999</v>
      </c>
      <c r="C3" s="6"/>
      <c r="D3" s="6"/>
      <c r="G3" t="s">
        <v>5</v>
      </c>
      <c r="H3" s="6">
        <v>912.358518866341</v>
      </c>
      <c r="I3" s="6"/>
      <c r="J3" s="6"/>
      <c r="K3" s="6"/>
      <c r="M3" t="s">
        <v>5</v>
      </c>
      <c r="N3" s="6">
        <v>1083.9329489695101</v>
      </c>
      <c r="O3" s="6"/>
      <c r="P3" s="6"/>
      <c r="Q3" s="6">
        <v>890.64780659069004</v>
      </c>
      <c r="U3" t="s">
        <v>5</v>
      </c>
      <c r="V3" s="6">
        <v>981.13455489584999</v>
      </c>
      <c r="W3" s="6"/>
      <c r="X3" s="6"/>
      <c r="AA3" t="s">
        <v>5</v>
      </c>
      <c r="AB3" s="6">
        <v>912.358518866341</v>
      </c>
      <c r="AC3" s="6"/>
      <c r="AD3" s="6"/>
      <c r="AE3" s="6"/>
      <c r="AG3" t="s">
        <v>5</v>
      </c>
      <c r="AH3" s="6">
        <v>1083.9329489695101</v>
      </c>
      <c r="AI3" s="6"/>
      <c r="AJ3" s="6"/>
      <c r="AK3" s="6">
        <v>890.64780659069004</v>
      </c>
    </row>
    <row r="4" spans="1:37" x14ac:dyDescent="0.25">
      <c r="A4" t="s">
        <v>7</v>
      </c>
      <c r="B4" s="6">
        <v>960.589347556804</v>
      </c>
      <c r="C4" s="6"/>
      <c r="D4" s="6"/>
      <c r="E4" s="6">
        <v>1337.9452040491201</v>
      </c>
      <c r="G4" t="s">
        <v>7</v>
      </c>
      <c r="H4" s="6">
        <v>989.41876771264901</v>
      </c>
      <c r="I4" s="6"/>
      <c r="J4" s="6"/>
      <c r="K4" s="6">
        <v>1020.4356892355</v>
      </c>
      <c r="M4" t="s">
        <v>7</v>
      </c>
      <c r="N4" s="6">
        <v>1031.4565020734301</v>
      </c>
      <c r="O4" s="6"/>
      <c r="P4" s="6"/>
      <c r="Q4" s="6">
        <v>977.23861772961402</v>
      </c>
      <c r="U4" t="s">
        <v>7</v>
      </c>
      <c r="V4" s="6">
        <v>960.589347556804</v>
      </c>
      <c r="W4" s="6"/>
      <c r="X4" s="6"/>
      <c r="Y4" s="6">
        <v>1337.9452040491201</v>
      </c>
      <c r="AA4" t="s">
        <v>7</v>
      </c>
      <c r="AB4" s="6">
        <v>989.41876771264901</v>
      </c>
      <c r="AC4" s="6"/>
      <c r="AD4" s="6"/>
      <c r="AE4" s="6">
        <v>1020.4356892355</v>
      </c>
      <c r="AG4" t="s">
        <v>7</v>
      </c>
      <c r="AH4" s="6">
        <v>1031.4565020734301</v>
      </c>
      <c r="AI4" s="6"/>
      <c r="AJ4" s="6"/>
      <c r="AK4" s="6">
        <v>977.23861772961402</v>
      </c>
    </row>
    <row r="5" spans="1:37" x14ac:dyDescent="0.25">
      <c r="A5" t="s">
        <v>8</v>
      </c>
      <c r="B5" s="6">
        <v>875.32025262376806</v>
      </c>
      <c r="C5" s="6"/>
      <c r="D5" s="6"/>
      <c r="E5" s="6">
        <v>963.95313225072005</v>
      </c>
      <c r="G5" t="s">
        <v>8</v>
      </c>
      <c r="H5" s="6">
        <v>1074.82417866231</v>
      </c>
      <c r="I5" s="6"/>
      <c r="J5" s="6"/>
      <c r="K5" s="6">
        <v>997.15515925952104</v>
      </c>
      <c r="M5" t="s">
        <v>8</v>
      </c>
      <c r="N5" s="6">
        <v>916.67950438450202</v>
      </c>
      <c r="O5" s="6"/>
      <c r="P5" s="6"/>
      <c r="Q5" s="6">
        <v>963.44243669257196</v>
      </c>
      <c r="U5" t="s">
        <v>8</v>
      </c>
      <c r="V5" s="6">
        <v>875.32025262376806</v>
      </c>
      <c r="W5" s="6"/>
      <c r="X5" s="6"/>
      <c r="Y5" s="6">
        <v>963.95313225072005</v>
      </c>
      <c r="AA5" t="s">
        <v>8</v>
      </c>
      <c r="AB5" s="6">
        <v>1074.82417866231</v>
      </c>
      <c r="AC5" s="6"/>
      <c r="AD5" s="6"/>
      <c r="AE5" s="6">
        <v>997.15515925952104</v>
      </c>
      <c r="AG5" t="s">
        <v>8</v>
      </c>
      <c r="AH5" s="6">
        <v>916.67950438450202</v>
      </c>
      <c r="AI5" s="6"/>
      <c r="AJ5" s="6"/>
      <c r="AK5" s="6">
        <v>963.44243669257196</v>
      </c>
    </row>
    <row r="6" spans="1:37" x14ac:dyDescent="0.25">
      <c r="A6" t="s">
        <v>9</v>
      </c>
      <c r="B6" s="6">
        <v>1004.89097524832</v>
      </c>
      <c r="C6" s="6"/>
      <c r="D6" s="6"/>
      <c r="E6" s="6">
        <v>1008.27383017633</v>
      </c>
      <c r="G6" t="s">
        <v>9</v>
      </c>
      <c r="H6" s="6">
        <v>1131.5291248816</v>
      </c>
      <c r="I6" s="6"/>
      <c r="J6" s="6"/>
      <c r="K6" s="6">
        <v>928.73841527412401</v>
      </c>
      <c r="M6" t="s">
        <v>9</v>
      </c>
      <c r="N6" s="6">
        <v>1014.71874090601</v>
      </c>
      <c r="O6" s="6"/>
      <c r="P6" s="6"/>
      <c r="Q6" s="6">
        <v>843.95863753282504</v>
      </c>
      <c r="U6" t="s">
        <v>9</v>
      </c>
      <c r="V6" s="6">
        <v>1004.89097524832</v>
      </c>
      <c r="W6" s="6"/>
      <c r="X6" s="6"/>
      <c r="Y6" s="6">
        <v>1008.27383017633</v>
      </c>
      <c r="AA6" t="s">
        <v>9</v>
      </c>
      <c r="AB6" s="6">
        <v>1131.5291248816</v>
      </c>
      <c r="AC6" s="6"/>
      <c r="AD6" s="6"/>
      <c r="AE6" s="6">
        <v>928.73841527412401</v>
      </c>
      <c r="AG6" t="s">
        <v>9</v>
      </c>
      <c r="AH6" s="6">
        <v>1014.71874090601</v>
      </c>
      <c r="AI6" s="6"/>
      <c r="AJ6" s="6"/>
      <c r="AK6" s="6">
        <v>843.95863753282504</v>
      </c>
    </row>
    <row r="7" spans="1:37" x14ac:dyDescent="0.25">
      <c r="A7" t="s">
        <v>10</v>
      </c>
      <c r="B7">
        <v>986.08143469986499</v>
      </c>
      <c r="G7" t="s">
        <v>10</v>
      </c>
      <c r="H7">
        <v>1076.2536389532199</v>
      </c>
      <c r="K7">
        <v>1063.8774593201399</v>
      </c>
      <c r="M7" t="s">
        <v>10</v>
      </c>
      <c r="N7">
        <v>945.086498781778</v>
      </c>
      <c r="Q7">
        <v>1237.5029744516501</v>
      </c>
      <c r="U7" t="s">
        <v>10</v>
      </c>
      <c r="V7">
        <v>986.08143469986499</v>
      </c>
      <c r="AA7" t="s">
        <v>10</v>
      </c>
      <c r="AB7">
        <v>1076.2536389532199</v>
      </c>
      <c r="AE7">
        <v>1063.8774593201399</v>
      </c>
      <c r="AG7" t="s">
        <v>10</v>
      </c>
      <c r="AH7">
        <v>945.086498781778</v>
      </c>
      <c r="AK7">
        <v>1237.5029744516501</v>
      </c>
    </row>
    <row r="8" spans="1:37" x14ac:dyDescent="0.25">
      <c r="A8" t="s">
        <v>11</v>
      </c>
      <c r="B8">
        <v>1096.54599327402</v>
      </c>
      <c r="G8" t="s">
        <v>11</v>
      </c>
      <c r="H8">
        <v>974.38221195095298</v>
      </c>
      <c r="K8">
        <v>698.91190863218606</v>
      </c>
      <c r="M8" t="s">
        <v>11</v>
      </c>
      <c r="N8">
        <v>1036.7000564868299</v>
      </c>
      <c r="Q8">
        <v>804.23469553654002</v>
      </c>
      <c r="U8" t="s">
        <v>11</v>
      </c>
      <c r="V8">
        <v>1096.54599327402</v>
      </c>
      <c r="AA8" t="s">
        <v>11</v>
      </c>
      <c r="AB8">
        <v>974.38221195095298</v>
      </c>
      <c r="AG8" t="s">
        <v>11</v>
      </c>
      <c r="AH8">
        <v>1036.7000564868299</v>
      </c>
      <c r="AK8">
        <v>804.23469553654002</v>
      </c>
    </row>
    <row r="9" spans="1:37" x14ac:dyDescent="0.25">
      <c r="A9" t="s">
        <v>12</v>
      </c>
      <c r="B9">
        <v>1039.01008876386</v>
      </c>
      <c r="E9">
        <v>1034.31135339654</v>
      </c>
      <c r="G9" t="s">
        <v>12</v>
      </c>
      <c r="H9">
        <v>1023.66598987005</v>
      </c>
      <c r="K9">
        <v>1007.33522073859</v>
      </c>
      <c r="M9" t="s">
        <v>12</v>
      </c>
      <c r="N9">
        <v>1068.10457410972</v>
      </c>
      <c r="Q9">
        <v>1052.93289740861</v>
      </c>
      <c r="U9" t="s">
        <v>12</v>
      </c>
      <c r="V9">
        <v>1039.01008876386</v>
      </c>
      <c r="Y9">
        <v>1034.31135339654</v>
      </c>
      <c r="AA9" t="s">
        <v>12</v>
      </c>
      <c r="AB9">
        <v>1023.66598987005</v>
      </c>
      <c r="AE9">
        <v>1007.33522073859</v>
      </c>
      <c r="AG9" t="s">
        <v>12</v>
      </c>
      <c r="AH9">
        <v>1068.10457410972</v>
      </c>
      <c r="AK9">
        <v>1052.93289740861</v>
      </c>
    </row>
    <row r="10" spans="1:37" x14ac:dyDescent="0.25">
      <c r="A10" t="s">
        <v>13</v>
      </c>
      <c r="B10">
        <v>1139.3332788938101</v>
      </c>
      <c r="E10">
        <v>1236.05925113485</v>
      </c>
      <c r="G10" t="s">
        <v>13</v>
      </c>
      <c r="H10">
        <v>1022.35034470267</v>
      </c>
      <c r="K10">
        <v>913.194494469407</v>
      </c>
      <c r="M10" t="s">
        <v>13</v>
      </c>
      <c r="N10">
        <v>1124.5890235142699</v>
      </c>
      <c r="Q10">
        <v>1088.0617467352199</v>
      </c>
      <c r="U10" t="s">
        <v>13</v>
      </c>
      <c r="V10">
        <v>1139.3332788938101</v>
      </c>
      <c r="Y10">
        <v>1236.05925113485</v>
      </c>
      <c r="AA10" t="s">
        <v>13</v>
      </c>
      <c r="AB10">
        <v>1022.35034470267</v>
      </c>
      <c r="AE10">
        <v>913.194494469407</v>
      </c>
      <c r="AG10" t="s">
        <v>13</v>
      </c>
      <c r="AH10">
        <v>1124.5890235142699</v>
      </c>
      <c r="AK10">
        <v>1088.0617467352199</v>
      </c>
    </row>
    <row r="11" spans="1:37" x14ac:dyDescent="0.25">
      <c r="A11" t="s">
        <v>5</v>
      </c>
      <c r="G11" t="s">
        <v>5</v>
      </c>
      <c r="M11" t="s">
        <v>5</v>
      </c>
      <c r="U11" t="s">
        <v>5</v>
      </c>
      <c r="AA11" t="s">
        <v>5</v>
      </c>
      <c r="AG11" t="s">
        <v>5</v>
      </c>
    </row>
    <row r="12" spans="1:37" x14ac:dyDescent="0.25">
      <c r="A12" t="s">
        <v>7</v>
      </c>
      <c r="G12" t="s">
        <v>7</v>
      </c>
      <c r="M12" t="s">
        <v>7</v>
      </c>
      <c r="U12" t="s">
        <v>7</v>
      </c>
      <c r="AA12" t="s">
        <v>7</v>
      </c>
      <c r="AG12" t="s">
        <v>7</v>
      </c>
    </row>
    <row r="13" spans="1:37" x14ac:dyDescent="0.25">
      <c r="A13" t="s">
        <v>8</v>
      </c>
      <c r="G13" t="s">
        <v>8</v>
      </c>
      <c r="M13" t="s">
        <v>8</v>
      </c>
      <c r="U13" t="s">
        <v>8</v>
      </c>
      <c r="AA13" t="s">
        <v>8</v>
      </c>
      <c r="AG13" t="s">
        <v>8</v>
      </c>
    </row>
    <row r="14" spans="1:37" x14ac:dyDescent="0.25">
      <c r="A14" t="s">
        <v>9</v>
      </c>
      <c r="G14" t="s">
        <v>9</v>
      </c>
      <c r="M14" t="s">
        <v>9</v>
      </c>
      <c r="U14" t="s">
        <v>9</v>
      </c>
      <c r="AA14" t="s">
        <v>9</v>
      </c>
      <c r="AG14" t="s">
        <v>9</v>
      </c>
    </row>
    <row r="15" spans="1:37" x14ac:dyDescent="0.25">
      <c r="A15" t="s">
        <v>10</v>
      </c>
      <c r="G15" t="s">
        <v>10</v>
      </c>
      <c r="M15" t="s">
        <v>10</v>
      </c>
      <c r="U15" t="s">
        <v>10</v>
      </c>
      <c r="AA15" t="s">
        <v>10</v>
      </c>
      <c r="AG15" t="s">
        <v>10</v>
      </c>
    </row>
    <row r="16" spans="1:37" x14ac:dyDescent="0.25">
      <c r="A16" t="s">
        <v>11</v>
      </c>
      <c r="G16" t="s">
        <v>11</v>
      </c>
      <c r="M16" t="s">
        <v>11</v>
      </c>
      <c r="U16" t="s">
        <v>11</v>
      </c>
      <c r="AA16" t="s">
        <v>11</v>
      </c>
      <c r="AG16" t="s">
        <v>11</v>
      </c>
    </row>
    <row r="17" spans="1:37" x14ac:dyDescent="0.25">
      <c r="A17" t="s">
        <v>12</v>
      </c>
      <c r="G17" t="s">
        <v>12</v>
      </c>
      <c r="M17" t="s">
        <v>12</v>
      </c>
      <c r="U17" t="s">
        <v>12</v>
      </c>
      <c r="AA17" t="s">
        <v>12</v>
      </c>
      <c r="AG17" t="s">
        <v>12</v>
      </c>
    </row>
    <row r="18" spans="1:37" x14ac:dyDescent="0.25">
      <c r="A18" t="s">
        <v>13</v>
      </c>
      <c r="G18" t="s">
        <v>13</v>
      </c>
      <c r="M18" t="s">
        <v>13</v>
      </c>
      <c r="U18" t="s">
        <v>13</v>
      </c>
      <c r="AA18" t="s">
        <v>13</v>
      </c>
      <c r="AG18" t="s">
        <v>13</v>
      </c>
    </row>
    <row r="19" spans="1:37" x14ac:dyDescent="0.25">
      <c r="A19" s="2"/>
      <c r="B19" s="2"/>
      <c r="C19" s="2"/>
      <c r="D19" s="2"/>
      <c r="E19" s="2"/>
      <c r="G19" s="2"/>
      <c r="H19" s="2"/>
      <c r="I19" s="2"/>
      <c r="J19" s="2"/>
      <c r="K19" s="2"/>
      <c r="M19" s="2"/>
      <c r="N19" s="2"/>
      <c r="O19" s="2"/>
      <c r="P19" s="2"/>
      <c r="Q19" s="2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</row>
    <row r="20" spans="1:37" x14ac:dyDescent="0.25">
      <c r="A20" t="s">
        <v>14</v>
      </c>
      <c r="B20">
        <f>COUNT(B3:B18)</f>
        <v>8</v>
      </c>
      <c r="C20">
        <f t="shared" ref="C20:D20" si="0">COUNT(C3:C18)</f>
        <v>0</v>
      </c>
      <c r="D20">
        <f t="shared" si="0"/>
        <v>0</v>
      </c>
      <c r="E20">
        <f>COUNT(E4:E18)</f>
        <v>5</v>
      </c>
      <c r="G20" t="s">
        <v>14</v>
      </c>
      <c r="H20">
        <f>COUNT(H3:H18)</f>
        <v>8</v>
      </c>
      <c r="I20">
        <f t="shared" ref="I20:K20" si="1">COUNT(I3:I18)</f>
        <v>0</v>
      </c>
      <c r="J20">
        <f t="shared" si="1"/>
        <v>0</v>
      </c>
      <c r="K20">
        <f t="shared" si="1"/>
        <v>7</v>
      </c>
      <c r="M20" t="s">
        <v>14</v>
      </c>
      <c r="N20">
        <f>COUNT(N3:N18)</f>
        <v>8</v>
      </c>
      <c r="O20">
        <f t="shared" ref="O20:Q20" si="2">COUNT(O3:O18)</f>
        <v>0</v>
      </c>
      <c r="P20">
        <f t="shared" si="2"/>
        <v>0</v>
      </c>
      <c r="Q20">
        <f t="shared" si="2"/>
        <v>8</v>
      </c>
      <c r="U20" t="s">
        <v>14</v>
      </c>
      <c r="V20">
        <f>COUNT(V3:V18)</f>
        <v>8</v>
      </c>
      <c r="W20">
        <f t="shared" ref="W20:X20" si="3">COUNT(W3:W18)</f>
        <v>0</v>
      </c>
      <c r="X20">
        <f t="shared" si="3"/>
        <v>0</v>
      </c>
      <c r="Y20">
        <f>COUNT(Y4:Y18)</f>
        <v>5</v>
      </c>
      <c r="AA20" t="s">
        <v>14</v>
      </c>
      <c r="AB20">
        <f>COUNT(AB3:AB18)</f>
        <v>8</v>
      </c>
      <c r="AC20">
        <f t="shared" ref="AC20:AE20" si="4">COUNT(AC3:AC18)</f>
        <v>0</v>
      </c>
      <c r="AD20">
        <f t="shared" si="4"/>
        <v>0</v>
      </c>
      <c r="AE20">
        <f t="shared" si="4"/>
        <v>6</v>
      </c>
      <c r="AG20" t="s">
        <v>14</v>
      </c>
      <c r="AH20">
        <f>COUNT(AH3:AH18)</f>
        <v>8</v>
      </c>
      <c r="AI20">
        <f t="shared" ref="AI20:AK20" si="5">COUNT(AI3:AI18)</f>
        <v>0</v>
      </c>
      <c r="AJ20">
        <f t="shared" si="5"/>
        <v>0</v>
      </c>
      <c r="AK20">
        <f t="shared" si="5"/>
        <v>8</v>
      </c>
    </row>
    <row r="21" spans="1:37" x14ac:dyDescent="0.25">
      <c r="A21" t="s">
        <v>15</v>
      </c>
      <c r="B21">
        <f>MAX(B3:B18)</f>
        <v>1139.3332788938101</v>
      </c>
      <c r="C21">
        <f t="shared" ref="C21:D21" si="6">MAX(C3:C18)</f>
        <v>0</v>
      </c>
      <c r="D21">
        <f t="shared" si="6"/>
        <v>0</v>
      </c>
      <c r="E21">
        <f>MAX(E4:E18)</f>
        <v>1337.9452040491201</v>
      </c>
      <c r="G21" t="s">
        <v>15</v>
      </c>
      <c r="H21">
        <f>MAX(H3:H18)</f>
        <v>1131.5291248816</v>
      </c>
      <c r="I21">
        <f t="shared" ref="I21:K21" si="7">MAX(I3:I18)</f>
        <v>0</v>
      </c>
      <c r="J21">
        <f t="shared" si="7"/>
        <v>0</v>
      </c>
      <c r="K21">
        <f t="shared" si="7"/>
        <v>1063.8774593201399</v>
      </c>
      <c r="M21" t="s">
        <v>15</v>
      </c>
      <c r="N21">
        <f>MAX(N3:N18)</f>
        <v>1124.5890235142699</v>
      </c>
      <c r="O21">
        <f t="shared" ref="O21:Q21" si="8">MAX(O3:O18)</f>
        <v>0</v>
      </c>
      <c r="P21">
        <f t="shared" si="8"/>
        <v>0</v>
      </c>
      <c r="Q21">
        <f t="shared" si="8"/>
        <v>1237.5029744516501</v>
      </c>
      <c r="U21" t="s">
        <v>15</v>
      </c>
      <c r="V21">
        <f>MAX(V3:V18)</f>
        <v>1139.3332788938101</v>
      </c>
      <c r="W21">
        <f t="shared" ref="W21:X21" si="9">MAX(W3:W18)</f>
        <v>0</v>
      </c>
      <c r="X21">
        <f t="shared" si="9"/>
        <v>0</v>
      </c>
      <c r="Y21">
        <f>MAX(Y4:Y18)</f>
        <v>1337.9452040491201</v>
      </c>
      <c r="AA21" t="s">
        <v>15</v>
      </c>
      <c r="AB21">
        <f>MAX(AB3:AB18)</f>
        <v>1131.5291248816</v>
      </c>
      <c r="AC21">
        <f t="shared" ref="AC21:AE21" si="10">MAX(AC3:AC18)</f>
        <v>0</v>
      </c>
      <c r="AD21">
        <f t="shared" si="10"/>
        <v>0</v>
      </c>
      <c r="AE21">
        <f t="shared" si="10"/>
        <v>1063.8774593201399</v>
      </c>
      <c r="AG21" t="s">
        <v>15</v>
      </c>
      <c r="AH21">
        <f>MAX(AH3:AH18)</f>
        <v>1124.5890235142699</v>
      </c>
      <c r="AI21">
        <f t="shared" ref="AI21:AK21" si="11">MAX(AI3:AI18)</f>
        <v>0</v>
      </c>
      <c r="AJ21">
        <f t="shared" si="11"/>
        <v>0</v>
      </c>
      <c r="AK21">
        <f t="shared" si="11"/>
        <v>1237.5029744516501</v>
      </c>
    </row>
    <row r="22" spans="1:37" x14ac:dyDescent="0.25">
      <c r="A22" t="s">
        <v>16</v>
      </c>
      <c r="B22">
        <f>MIN(B3:B18)</f>
        <v>875.32025262376806</v>
      </c>
      <c r="C22">
        <f t="shared" ref="C22:D22" si="12">MIN(C3:C18)</f>
        <v>0</v>
      </c>
      <c r="D22">
        <f t="shared" si="12"/>
        <v>0</v>
      </c>
      <c r="E22">
        <f>MIN(E4:E18)</f>
        <v>963.95313225072005</v>
      </c>
      <c r="G22" t="s">
        <v>16</v>
      </c>
      <c r="H22">
        <f>MIN(H3:H18)</f>
        <v>912.358518866341</v>
      </c>
      <c r="I22">
        <f t="shared" ref="I22:K22" si="13">MIN(I3:I18)</f>
        <v>0</v>
      </c>
      <c r="J22">
        <f t="shared" si="13"/>
        <v>0</v>
      </c>
      <c r="K22">
        <f t="shared" si="13"/>
        <v>698.91190863218606</v>
      </c>
      <c r="M22" t="s">
        <v>16</v>
      </c>
      <c r="N22">
        <f>MIN(N3:N18)</f>
        <v>916.67950438450202</v>
      </c>
      <c r="O22">
        <f t="shared" ref="O22:Q22" si="14">MIN(O3:O18)</f>
        <v>0</v>
      </c>
      <c r="P22">
        <f t="shared" si="14"/>
        <v>0</v>
      </c>
      <c r="Q22">
        <f t="shared" si="14"/>
        <v>804.23469553654002</v>
      </c>
      <c r="U22" t="s">
        <v>16</v>
      </c>
      <c r="V22">
        <f>MIN(V3:V18)</f>
        <v>875.32025262376806</v>
      </c>
      <c r="W22">
        <f t="shared" ref="W22:X22" si="15">MIN(W3:W18)</f>
        <v>0</v>
      </c>
      <c r="X22">
        <f t="shared" si="15"/>
        <v>0</v>
      </c>
      <c r="Y22">
        <f>MIN(Y4:Y18)</f>
        <v>963.95313225072005</v>
      </c>
      <c r="AA22" t="s">
        <v>16</v>
      </c>
      <c r="AB22">
        <f>MIN(AB3:AB18)</f>
        <v>912.358518866341</v>
      </c>
      <c r="AC22">
        <f t="shared" ref="AC22:AE22" si="16">MIN(AC3:AC18)</f>
        <v>0</v>
      </c>
      <c r="AD22">
        <f t="shared" si="16"/>
        <v>0</v>
      </c>
      <c r="AE22">
        <f t="shared" si="16"/>
        <v>913.194494469407</v>
      </c>
      <c r="AG22" t="s">
        <v>16</v>
      </c>
      <c r="AH22">
        <f>MIN(AH3:AH18)</f>
        <v>916.67950438450202</v>
      </c>
      <c r="AI22">
        <f t="shared" ref="AI22:AK22" si="17">MIN(AI3:AI18)</f>
        <v>0</v>
      </c>
      <c r="AJ22">
        <f t="shared" si="17"/>
        <v>0</v>
      </c>
      <c r="AK22">
        <f t="shared" si="17"/>
        <v>804.23469553654002</v>
      </c>
    </row>
    <row r="23" spans="1:37" x14ac:dyDescent="0.25">
      <c r="A23" t="s">
        <v>17</v>
      </c>
      <c r="B23">
        <f>AVERAGE(B3:B18)</f>
        <v>1010.3632407445371</v>
      </c>
      <c r="C23" t="e">
        <f t="shared" ref="C23:D23" si="18">AVERAGE(C3:C18)</f>
        <v>#DIV/0!</v>
      </c>
      <c r="D23" t="e">
        <f t="shared" si="18"/>
        <v>#DIV/0!</v>
      </c>
      <c r="E23">
        <f>AVERAGE(E4:E18)</f>
        <v>1116.1085542015121</v>
      </c>
      <c r="G23" t="s">
        <v>17</v>
      </c>
      <c r="H23">
        <f>AVERAGE(H3:H18)</f>
        <v>1025.5978469499742</v>
      </c>
      <c r="I23" t="e">
        <f t="shared" ref="I23:K23" si="19">AVERAGE(I3:I18)</f>
        <v>#DIV/0!</v>
      </c>
      <c r="J23" t="e">
        <f t="shared" si="19"/>
        <v>#DIV/0!</v>
      </c>
      <c r="K23">
        <f t="shared" si="19"/>
        <v>947.09262098992383</v>
      </c>
      <c r="M23" t="s">
        <v>17</v>
      </c>
      <c r="N23">
        <f>AVERAGE(N3:N18)</f>
        <v>1027.6584811532564</v>
      </c>
      <c r="O23" t="e">
        <f t="shared" ref="O23:Q23" si="20">AVERAGE(O3:O18)</f>
        <v>#DIV/0!</v>
      </c>
      <c r="P23" t="e">
        <f t="shared" si="20"/>
        <v>#DIV/0!</v>
      </c>
      <c r="Q23">
        <f t="shared" si="20"/>
        <v>982.25247658471517</v>
      </c>
      <c r="U23" t="s">
        <v>17</v>
      </c>
      <c r="V23">
        <f>AVERAGE(V3:V18)</f>
        <v>1010.3632407445371</v>
      </c>
      <c r="W23" t="e">
        <f t="shared" ref="W23:X23" si="21">AVERAGE(W3:W18)</f>
        <v>#DIV/0!</v>
      </c>
      <c r="X23" t="e">
        <f t="shared" si="21"/>
        <v>#DIV/0!</v>
      </c>
      <c r="Y23">
        <f>AVERAGE(Y4:Y18)</f>
        <v>1116.1085542015121</v>
      </c>
      <c r="AA23" t="s">
        <v>17</v>
      </c>
      <c r="AB23">
        <f>AVERAGE(AB3:AB18)</f>
        <v>1025.5978469499742</v>
      </c>
      <c r="AC23" t="e">
        <f t="shared" ref="AC23:AE23" si="22">AVERAGE(AC3:AC18)</f>
        <v>#DIV/0!</v>
      </c>
      <c r="AD23" t="e">
        <f t="shared" si="22"/>
        <v>#DIV/0!</v>
      </c>
      <c r="AE23">
        <f t="shared" si="22"/>
        <v>988.45607304954683</v>
      </c>
      <c r="AG23" t="s">
        <v>17</v>
      </c>
      <c r="AH23">
        <f>AVERAGE(AH3:AH18)</f>
        <v>1027.6584811532564</v>
      </c>
      <c r="AI23" t="e">
        <f t="shared" ref="AI23:AK23" si="23">AVERAGE(AI3:AI18)</f>
        <v>#DIV/0!</v>
      </c>
      <c r="AJ23" t="e">
        <f t="shared" si="23"/>
        <v>#DIV/0!</v>
      </c>
      <c r="AK23">
        <f t="shared" si="23"/>
        <v>982.25247658471517</v>
      </c>
    </row>
    <row r="24" spans="1:37" x14ac:dyDescent="0.25">
      <c r="A24" t="s">
        <v>18</v>
      </c>
      <c r="B24">
        <f>STDEV(B3:B18)</f>
        <v>82.001129286447423</v>
      </c>
      <c r="C24" t="e">
        <f t="shared" ref="C24:D24" si="24">STDEV(C3:C18)</f>
        <v>#DIV/0!</v>
      </c>
      <c r="D24" t="e">
        <f t="shared" si="24"/>
        <v>#DIV/0!</v>
      </c>
      <c r="E24">
        <f>STDEV(E4:E18)</f>
        <v>162.07255404952417</v>
      </c>
      <c r="G24" t="s">
        <v>18</v>
      </c>
      <c r="H24">
        <f>STDEV(H3:H18)</f>
        <v>68.639917011923473</v>
      </c>
      <c r="I24" t="e">
        <f t="shared" ref="I24:K24" si="25">STDEV(I3:I18)</f>
        <v>#DIV/0!</v>
      </c>
      <c r="J24" t="e">
        <f t="shared" si="25"/>
        <v>#DIV/0!</v>
      </c>
      <c r="K24">
        <f t="shared" si="25"/>
        <v>121.26620752255364</v>
      </c>
      <c r="M24" t="s">
        <v>18</v>
      </c>
      <c r="N24">
        <f>STDEV(N3:N18)</f>
        <v>69.27822755107546</v>
      </c>
      <c r="O24" t="e">
        <f t="shared" ref="O24:Q24" si="26">STDEV(O3:O18)</f>
        <v>#DIV/0!</v>
      </c>
      <c r="P24" t="e">
        <f t="shared" si="26"/>
        <v>#DIV/0!</v>
      </c>
      <c r="Q24">
        <f t="shared" si="26"/>
        <v>141.89031399240633</v>
      </c>
      <c r="U24" t="s">
        <v>18</v>
      </c>
      <c r="V24">
        <f>STDEV(V3:V18)</f>
        <v>82.001129286447423</v>
      </c>
      <c r="W24" t="e">
        <f t="shared" ref="W24:X24" si="27">STDEV(W3:W18)</f>
        <v>#DIV/0!</v>
      </c>
      <c r="X24" t="e">
        <f t="shared" si="27"/>
        <v>#DIV/0!</v>
      </c>
      <c r="Y24">
        <f>STDEV(Y4:Y18)</f>
        <v>162.07255404952417</v>
      </c>
      <c r="AA24" t="s">
        <v>18</v>
      </c>
      <c r="AB24">
        <f>STDEV(AB3:AB18)</f>
        <v>68.639917011923473</v>
      </c>
      <c r="AC24" t="e">
        <f t="shared" ref="AC24:AE24" si="28">STDEV(AC3:AC18)</f>
        <v>#DIV/0!</v>
      </c>
      <c r="AD24" t="e">
        <f t="shared" si="28"/>
        <v>#DIV/0!</v>
      </c>
      <c r="AE24">
        <f t="shared" si="28"/>
        <v>57.225311772482698</v>
      </c>
      <c r="AG24" t="s">
        <v>18</v>
      </c>
      <c r="AH24">
        <f>STDEV(AH3:AH18)</f>
        <v>69.27822755107546</v>
      </c>
      <c r="AI24" t="e">
        <f t="shared" ref="AI24:AK24" si="29">STDEV(AI3:AI18)</f>
        <v>#DIV/0!</v>
      </c>
      <c r="AJ24" t="e">
        <f t="shared" si="29"/>
        <v>#DIV/0!</v>
      </c>
      <c r="AK24">
        <f t="shared" si="29"/>
        <v>141.89031399240633</v>
      </c>
    </row>
    <row r="25" spans="1:37" x14ac:dyDescent="0.25">
      <c r="A25" t="s">
        <v>19</v>
      </c>
      <c r="B25">
        <f>B23+2*B24</f>
        <v>1174.3654993174318</v>
      </c>
      <c r="C25" t="e">
        <f t="shared" ref="C25:E25" si="30">C23+2*C24</f>
        <v>#DIV/0!</v>
      </c>
      <c r="D25" t="e">
        <f t="shared" si="30"/>
        <v>#DIV/0!</v>
      </c>
      <c r="E25">
        <f t="shared" si="30"/>
        <v>1440.2536623005603</v>
      </c>
      <c r="G25" t="s">
        <v>19</v>
      </c>
      <c r="H25">
        <f>H23+2*H24</f>
        <v>1162.877680973821</v>
      </c>
      <c r="I25" t="e">
        <f t="shared" ref="I25:K25" si="31">I23+2*I24</f>
        <v>#DIV/0!</v>
      </c>
      <c r="J25" t="e">
        <f t="shared" si="31"/>
        <v>#DIV/0!</v>
      </c>
      <c r="K25">
        <f t="shared" si="31"/>
        <v>1189.6250360350311</v>
      </c>
      <c r="M25" t="s">
        <v>19</v>
      </c>
      <c r="N25">
        <f>N23+2*N24</f>
        <v>1166.2149362554073</v>
      </c>
      <c r="O25" t="e">
        <f t="shared" ref="O25:Q25" si="32">O23+2*O24</f>
        <v>#DIV/0!</v>
      </c>
      <c r="P25" t="e">
        <f t="shared" si="32"/>
        <v>#DIV/0!</v>
      </c>
      <c r="Q25">
        <f t="shared" si="32"/>
        <v>1266.0331045695279</v>
      </c>
      <c r="U25" t="s">
        <v>19</v>
      </c>
      <c r="V25">
        <f>V23+2*V24</f>
        <v>1174.3654993174318</v>
      </c>
      <c r="W25" t="e">
        <f t="shared" ref="W25:Y25" si="33">W23+2*W24</f>
        <v>#DIV/0!</v>
      </c>
      <c r="X25" t="e">
        <f t="shared" si="33"/>
        <v>#DIV/0!</v>
      </c>
      <c r="Y25">
        <f t="shared" si="33"/>
        <v>1440.2536623005603</v>
      </c>
      <c r="AA25" t="s">
        <v>19</v>
      </c>
      <c r="AB25">
        <f>AB23+2*AB24</f>
        <v>1162.877680973821</v>
      </c>
      <c r="AC25" t="e">
        <f t="shared" ref="AC25:AE25" si="34">AC23+2*AC24</f>
        <v>#DIV/0!</v>
      </c>
      <c r="AD25" t="e">
        <f t="shared" si="34"/>
        <v>#DIV/0!</v>
      </c>
      <c r="AE25">
        <f t="shared" si="34"/>
        <v>1102.9066965945121</v>
      </c>
      <c r="AG25" t="s">
        <v>19</v>
      </c>
      <c r="AH25">
        <f>AH23+2*AH24</f>
        <v>1166.2149362554073</v>
      </c>
      <c r="AI25" t="e">
        <f t="shared" ref="AI25:AK25" si="35">AI23+2*AI24</f>
        <v>#DIV/0!</v>
      </c>
      <c r="AJ25" t="e">
        <f t="shared" si="35"/>
        <v>#DIV/0!</v>
      </c>
      <c r="AK25">
        <f t="shared" si="35"/>
        <v>1266.0331045695279</v>
      </c>
    </row>
    <row r="26" spans="1:37" x14ac:dyDescent="0.25">
      <c r="A26" t="s">
        <v>20</v>
      </c>
      <c r="B26">
        <f>B23-2*B24</f>
        <v>846.36098217164226</v>
      </c>
      <c r="C26" t="e">
        <f t="shared" ref="C26:E26" si="36">C23-2*C24</f>
        <v>#DIV/0!</v>
      </c>
      <c r="D26" t="e">
        <f t="shared" si="36"/>
        <v>#DIV/0!</v>
      </c>
      <c r="E26">
        <f t="shared" si="36"/>
        <v>791.96344610246376</v>
      </c>
      <c r="G26" t="s">
        <v>20</v>
      </c>
      <c r="H26">
        <f>H23-2*H24</f>
        <v>888.31801292612727</v>
      </c>
      <c r="I26" t="e">
        <f t="shared" ref="I26:K26" si="37">I23-2*I24</f>
        <v>#DIV/0!</v>
      </c>
      <c r="J26" t="e">
        <f t="shared" si="37"/>
        <v>#DIV/0!</v>
      </c>
      <c r="K26">
        <f t="shared" si="37"/>
        <v>704.56020594481652</v>
      </c>
      <c r="M26" t="s">
        <v>20</v>
      </c>
      <c r="N26">
        <f>N23-2*N24</f>
        <v>889.10202605110544</v>
      </c>
      <c r="O26" t="e">
        <f t="shared" ref="O26:Q26" si="38">O23-2*O24</f>
        <v>#DIV/0!</v>
      </c>
      <c r="P26" t="e">
        <f t="shared" si="38"/>
        <v>#DIV/0!</v>
      </c>
      <c r="Q26">
        <f t="shared" si="38"/>
        <v>698.4718485999025</v>
      </c>
      <c r="U26" t="s">
        <v>20</v>
      </c>
      <c r="V26">
        <f>V23-2*V24</f>
        <v>846.36098217164226</v>
      </c>
      <c r="W26" t="e">
        <f t="shared" ref="W26:Y26" si="39">W23-2*W24</f>
        <v>#DIV/0!</v>
      </c>
      <c r="X26" t="e">
        <f t="shared" si="39"/>
        <v>#DIV/0!</v>
      </c>
      <c r="Y26">
        <f t="shared" si="39"/>
        <v>791.96344610246376</v>
      </c>
      <c r="AA26" t="s">
        <v>20</v>
      </c>
      <c r="AB26">
        <f>AB23-2*AB24</f>
        <v>888.31801292612727</v>
      </c>
      <c r="AC26" t="e">
        <f t="shared" ref="AC26:AE26" si="40">AC23-2*AC24</f>
        <v>#DIV/0!</v>
      </c>
      <c r="AD26" t="e">
        <f t="shared" si="40"/>
        <v>#DIV/0!</v>
      </c>
      <c r="AE26">
        <f t="shared" si="40"/>
        <v>874.00544950458141</v>
      </c>
      <c r="AG26" t="s">
        <v>20</v>
      </c>
      <c r="AH26">
        <f>AH23-2*AH24</f>
        <v>889.10202605110544</v>
      </c>
      <c r="AI26" t="e">
        <f t="shared" ref="AI26:AK26" si="41">AI23-2*AI24</f>
        <v>#DIV/0!</v>
      </c>
      <c r="AJ26" t="e">
        <f t="shared" si="41"/>
        <v>#DIV/0!</v>
      </c>
      <c r="AK26">
        <f t="shared" si="41"/>
        <v>698.4718485999025</v>
      </c>
    </row>
    <row r="27" spans="1:37" x14ac:dyDescent="0.25">
      <c r="A27" t="s">
        <v>21</v>
      </c>
      <c r="B27">
        <f>VAR(B3:B18)</f>
        <v>6724.1852042526643</v>
      </c>
      <c r="C27" t="e">
        <f t="shared" ref="C27:D27" si="42">VAR(C3:C18)</f>
        <v>#DIV/0!</v>
      </c>
      <c r="D27" t="e">
        <f t="shared" si="42"/>
        <v>#DIV/0!</v>
      </c>
      <c r="E27">
        <f>VAR(E4:E18)</f>
        <v>26267.512776135933</v>
      </c>
      <c r="G27" t="s">
        <v>21</v>
      </c>
      <c r="H27">
        <f>VAR(H3:H18)</f>
        <v>4711.4382074037412</v>
      </c>
      <c r="I27" t="e">
        <f t="shared" ref="I27:K27" si="43">VAR(I3:I18)</f>
        <v>#DIV/0!</v>
      </c>
      <c r="J27" t="e">
        <f t="shared" si="43"/>
        <v>#DIV/0!</v>
      </c>
      <c r="K27">
        <f t="shared" si="43"/>
        <v>14705.493086903045</v>
      </c>
      <c r="M27" t="s">
        <v>21</v>
      </c>
      <c r="N27">
        <f>VAR(N3:N18)</f>
        <v>4799.4728126185919</v>
      </c>
      <c r="O27" t="e">
        <f t="shared" ref="O27:Q27" si="44">VAR(O3:O18)</f>
        <v>#DIV/0!</v>
      </c>
      <c r="P27" t="e">
        <f t="shared" si="44"/>
        <v>#DIV/0!</v>
      </c>
      <c r="Q27">
        <f t="shared" si="44"/>
        <v>20132.861204863661</v>
      </c>
      <c r="U27" t="s">
        <v>21</v>
      </c>
      <c r="V27">
        <f>VAR(V3:V18)</f>
        <v>6724.1852042526643</v>
      </c>
      <c r="W27" t="e">
        <f t="shared" ref="W27:X27" si="45">VAR(W3:W18)</f>
        <v>#DIV/0!</v>
      </c>
      <c r="X27" t="e">
        <f t="shared" si="45"/>
        <v>#DIV/0!</v>
      </c>
      <c r="Y27">
        <f>VAR(Y4:Y18)</f>
        <v>26267.512776135933</v>
      </c>
      <c r="AA27" t="s">
        <v>21</v>
      </c>
      <c r="AB27">
        <f>VAR(AB3:AB18)</f>
        <v>4711.4382074037412</v>
      </c>
      <c r="AC27" t="e">
        <f t="shared" ref="AC27:AE27" si="46">VAR(AC3:AC18)</f>
        <v>#DIV/0!</v>
      </c>
      <c r="AD27" t="e">
        <f t="shared" si="46"/>
        <v>#DIV/0!</v>
      </c>
      <c r="AE27">
        <f t="shared" si="46"/>
        <v>3274.736307457847</v>
      </c>
      <c r="AG27" t="s">
        <v>21</v>
      </c>
      <c r="AH27">
        <f>VAR(AH3:AH18)</f>
        <v>4799.4728126185919</v>
      </c>
      <c r="AI27" t="e">
        <f t="shared" ref="AI27:AK27" si="47">VAR(AI3:AI18)</f>
        <v>#DIV/0!</v>
      </c>
      <c r="AJ27" t="e">
        <f t="shared" si="47"/>
        <v>#DIV/0!</v>
      </c>
      <c r="AK27">
        <f t="shared" si="47"/>
        <v>20132.861204863661</v>
      </c>
    </row>
    <row r="29" spans="1:37" x14ac:dyDescent="0.25">
      <c r="A29" t="s">
        <v>22</v>
      </c>
      <c r="G29" t="s">
        <v>23</v>
      </c>
      <c r="H29">
        <f>AVERAGE(H3:H10)</f>
        <v>1025.5978469499742</v>
      </c>
      <c r="I29" t="e">
        <f t="shared" ref="I29:K29" si="48">AVERAGE(I3:I10)</f>
        <v>#DIV/0!</v>
      </c>
      <c r="J29" t="e">
        <f t="shared" si="48"/>
        <v>#DIV/0!</v>
      </c>
      <c r="K29">
        <f t="shared" si="48"/>
        <v>947.09262098992383</v>
      </c>
      <c r="M29" t="s">
        <v>23</v>
      </c>
      <c r="N29">
        <f>AVERAGE(N3:N10)</f>
        <v>1027.6584811532564</v>
      </c>
      <c r="O29" t="e">
        <f t="shared" ref="O29:Q29" si="49">AVERAGE(O3:O10)</f>
        <v>#DIV/0!</v>
      </c>
      <c r="P29" t="e">
        <f t="shared" si="49"/>
        <v>#DIV/0!</v>
      </c>
      <c r="Q29">
        <f t="shared" si="49"/>
        <v>982.25247658471517</v>
      </c>
      <c r="U29" t="s">
        <v>22</v>
      </c>
      <c r="AA29" t="s">
        <v>23</v>
      </c>
      <c r="AB29">
        <f>AVERAGE(AB3:AB10)</f>
        <v>1025.5978469499742</v>
      </c>
      <c r="AC29" t="e">
        <f t="shared" ref="AC29:AE29" si="50">AVERAGE(AC3:AC10)</f>
        <v>#DIV/0!</v>
      </c>
      <c r="AD29" t="e">
        <f t="shared" si="50"/>
        <v>#DIV/0!</v>
      </c>
      <c r="AE29">
        <f t="shared" si="50"/>
        <v>988.45607304954683</v>
      </c>
      <c r="AG29" t="s">
        <v>23</v>
      </c>
      <c r="AH29">
        <f>AVERAGE(AH3:AH10)</f>
        <v>1027.6584811532564</v>
      </c>
      <c r="AI29" t="e">
        <f t="shared" ref="AI29:AK29" si="51">AVERAGE(AI3:AI10)</f>
        <v>#DIV/0!</v>
      </c>
      <c r="AJ29" t="e">
        <f t="shared" si="51"/>
        <v>#DIV/0!</v>
      </c>
      <c r="AK29">
        <f t="shared" si="51"/>
        <v>982.25247658471517</v>
      </c>
    </row>
    <row r="30" spans="1:37" x14ac:dyDescent="0.25">
      <c r="A30" t="s">
        <v>1</v>
      </c>
      <c r="B30" t="e">
        <f>TTEST(B11:B18,H11:H18,2,3)</f>
        <v>#DIV/0!</v>
      </c>
      <c r="G30" t="s">
        <v>24</v>
      </c>
      <c r="H30" t="e">
        <f>AVERAGE(H11:H18)</f>
        <v>#DIV/0!</v>
      </c>
      <c r="I30" t="e">
        <f t="shared" ref="I30:K30" si="52">AVERAGE(I11:I18)</f>
        <v>#DIV/0!</v>
      </c>
      <c r="J30" t="e">
        <f t="shared" si="52"/>
        <v>#DIV/0!</v>
      </c>
      <c r="K30" t="e">
        <f t="shared" si="52"/>
        <v>#DIV/0!</v>
      </c>
      <c r="M30" t="s">
        <v>24</v>
      </c>
      <c r="N30" t="e">
        <f>AVERAGE(N11:N18)</f>
        <v>#DIV/0!</v>
      </c>
      <c r="O30" t="e">
        <f t="shared" ref="O30:Q30" si="53">AVERAGE(O11:O18)</f>
        <v>#DIV/0!</v>
      </c>
      <c r="P30" t="e">
        <f t="shared" si="53"/>
        <v>#DIV/0!</v>
      </c>
      <c r="Q30" t="e">
        <f t="shared" si="53"/>
        <v>#DIV/0!</v>
      </c>
      <c r="U30" t="s">
        <v>1</v>
      </c>
      <c r="V30" t="e">
        <f>TTEST(V11:V18,AB11:AB18,2,3)</f>
        <v>#DIV/0!</v>
      </c>
      <c r="AA30" t="s">
        <v>24</v>
      </c>
      <c r="AB30" t="e">
        <f>AVERAGE(AB11:AB18)</f>
        <v>#DIV/0!</v>
      </c>
      <c r="AC30" t="e">
        <f t="shared" ref="AC30:AE30" si="54">AVERAGE(AC11:AC18)</f>
        <v>#DIV/0!</v>
      </c>
      <c r="AD30" t="e">
        <f t="shared" si="54"/>
        <v>#DIV/0!</v>
      </c>
      <c r="AE30" t="e">
        <f t="shared" si="54"/>
        <v>#DIV/0!</v>
      </c>
      <c r="AG30" t="s">
        <v>24</v>
      </c>
      <c r="AH30" t="e">
        <f>AVERAGE(AH11:AH18)</f>
        <v>#DIV/0!</v>
      </c>
      <c r="AI30" t="e">
        <f t="shared" ref="AI30:AK30" si="55">AVERAGE(AI11:AI18)</f>
        <v>#DIV/0!</v>
      </c>
      <c r="AJ30" t="e">
        <f t="shared" si="55"/>
        <v>#DIV/0!</v>
      </c>
      <c r="AK30" t="e">
        <f t="shared" si="55"/>
        <v>#DIV/0!</v>
      </c>
    </row>
    <row r="31" spans="1:37" x14ac:dyDescent="0.25">
      <c r="A31" t="s">
        <v>2</v>
      </c>
      <c r="B31" t="e">
        <f>TTEST(C11:C18,I11:I18,2,3)</f>
        <v>#DIV/0!</v>
      </c>
      <c r="U31" t="s">
        <v>2</v>
      </c>
      <c r="V31" t="e">
        <f>TTEST(W11:W18,AC11:AC18,2,3)</f>
        <v>#DIV/0!</v>
      </c>
    </row>
    <row r="32" spans="1:37" x14ac:dyDescent="0.25">
      <c r="A32" t="s">
        <v>3</v>
      </c>
      <c r="B32" t="e">
        <f>TTEST(D11:D18,J11:J18,2,3)</f>
        <v>#DIV/0!</v>
      </c>
      <c r="U32" t="s">
        <v>3</v>
      </c>
      <c r="V32" t="e">
        <f>TTEST(X11:X18,AD11:AD18,2,3)</f>
        <v>#DIV/0!</v>
      </c>
    </row>
    <row r="33" spans="1:37" x14ac:dyDescent="0.25">
      <c r="A33" t="s">
        <v>4</v>
      </c>
      <c r="B33" t="e">
        <f>TTEST(E11:E18,K11:K18,2,3)</f>
        <v>#DIV/0!</v>
      </c>
      <c r="U33" t="s">
        <v>4</v>
      </c>
      <c r="V33" t="e">
        <f>TTEST(Y11:Y18,AE11:AE18,2,3)</f>
        <v>#DIV/0!</v>
      </c>
    </row>
    <row r="35" spans="1:37" x14ac:dyDescent="0.25">
      <c r="A35" t="s">
        <v>47</v>
      </c>
      <c r="U35" t="s">
        <v>47</v>
      </c>
    </row>
    <row r="36" spans="1:37" x14ac:dyDescent="0.25">
      <c r="A36" s="1" t="s">
        <v>29</v>
      </c>
      <c r="B36" s="1" t="s">
        <v>1</v>
      </c>
      <c r="C36" s="1" t="s">
        <v>2</v>
      </c>
      <c r="D36" s="1" t="s">
        <v>3</v>
      </c>
      <c r="E36" s="1" t="s">
        <v>4</v>
      </c>
      <c r="G36" s="1" t="s">
        <v>30</v>
      </c>
      <c r="H36" s="1" t="s">
        <v>1</v>
      </c>
      <c r="I36" s="1" t="s">
        <v>2</v>
      </c>
      <c r="J36" s="1" t="s">
        <v>3</v>
      </c>
      <c r="K36" s="1" t="s">
        <v>4</v>
      </c>
      <c r="M36" s="1" t="s">
        <v>31</v>
      </c>
      <c r="N36" s="1" t="s">
        <v>1</v>
      </c>
      <c r="O36" s="1" t="s">
        <v>2</v>
      </c>
      <c r="P36" s="1" t="s">
        <v>3</v>
      </c>
      <c r="Q36" s="1" t="s">
        <v>4</v>
      </c>
      <c r="U36" s="1" t="s">
        <v>29</v>
      </c>
      <c r="V36" s="1" t="s">
        <v>1</v>
      </c>
      <c r="W36" s="1" t="s">
        <v>2</v>
      </c>
      <c r="X36" s="1" t="s">
        <v>3</v>
      </c>
      <c r="Y36" s="1" t="s">
        <v>4</v>
      </c>
      <c r="AA36" s="1" t="s">
        <v>30</v>
      </c>
      <c r="AB36" s="1" t="s">
        <v>1</v>
      </c>
      <c r="AC36" s="1" t="s">
        <v>2</v>
      </c>
      <c r="AD36" s="1" t="s">
        <v>3</v>
      </c>
      <c r="AE36" s="1" t="s">
        <v>4</v>
      </c>
      <c r="AG36" s="1" t="s">
        <v>31</v>
      </c>
      <c r="AH36" s="1" t="s">
        <v>1</v>
      </c>
      <c r="AI36" s="1" t="s">
        <v>2</v>
      </c>
      <c r="AJ36" s="1" t="s">
        <v>3</v>
      </c>
      <c r="AK36" s="1" t="s">
        <v>4</v>
      </c>
    </row>
    <row r="37" spans="1:37" x14ac:dyDescent="0.25">
      <c r="A37" t="s">
        <v>5</v>
      </c>
      <c r="B37" s="3">
        <f>-((B3-$B$23)/$B$23)*100</f>
        <v>2.8928888809482451</v>
      </c>
      <c r="C37" s="3"/>
      <c r="D37" s="3"/>
      <c r="E37" s="3"/>
      <c r="G37" t="s">
        <v>5</v>
      </c>
      <c r="H37" s="3">
        <f>-((H3-$H$29)/$H$29)*100</f>
        <v>11.041299318285001</v>
      </c>
      <c r="I37" s="3"/>
      <c r="J37" s="3"/>
      <c r="K37" s="3"/>
      <c r="M37" t="s">
        <v>5</v>
      </c>
      <c r="N37" s="3">
        <f>-((N3-$N$29)/$N$29)*100</f>
        <v>-5.4759892365313352</v>
      </c>
      <c r="O37" s="3"/>
      <c r="P37" s="3"/>
      <c r="Q37" s="3">
        <f>-((Q3-$N$29)/$N$29)*100</f>
        <v>13.332315849601178</v>
      </c>
      <c r="U37" t="s">
        <v>5</v>
      </c>
      <c r="V37" s="3">
        <f>-((V3-$B$23)/$B$23)*100</f>
        <v>2.8928888809482451</v>
      </c>
      <c r="W37" s="3"/>
      <c r="X37" s="3"/>
      <c r="Y37" s="3"/>
      <c r="AA37" t="s">
        <v>5</v>
      </c>
      <c r="AB37" s="3">
        <f>-((AB3-$H$29)/$H$29)*100</f>
        <v>11.041299318285001</v>
      </c>
      <c r="AC37" s="3"/>
      <c r="AD37" s="3"/>
      <c r="AE37" s="3"/>
      <c r="AG37" t="s">
        <v>5</v>
      </c>
      <c r="AH37" s="3">
        <f>-((AH3-$N$29)/$N$29)*100</f>
        <v>-5.4759892365313352</v>
      </c>
      <c r="AI37" s="3"/>
      <c r="AJ37" s="3"/>
      <c r="AK37" s="3">
        <f>-((AK3-$N$29)/$N$29)*100</f>
        <v>13.332315849601178</v>
      </c>
    </row>
    <row r="38" spans="1:37" x14ac:dyDescent="0.25">
      <c r="A38" t="s">
        <v>7</v>
      </c>
      <c r="B38" s="3">
        <f t="shared" ref="B38:B44" si="56">-((B4-$B$23)/$B$23)*100</f>
        <v>4.9263365075568908</v>
      </c>
      <c r="C38" s="3"/>
      <c r="D38" s="3"/>
      <c r="E38" s="3">
        <f>-((E4-$B$23)/$B$23)*100</f>
        <v>-32.422197294429253</v>
      </c>
      <c r="G38" t="s">
        <v>7</v>
      </c>
      <c r="H38" s="3">
        <f t="shared" ref="H38:K44" si="57">-((H4-$H$29)/$H$29)*100</f>
        <v>3.5276087352287369</v>
      </c>
      <c r="I38" s="3"/>
      <c r="J38" s="3"/>
      <c r="K38" s="3">
        <f t="shared" si="57"/>
        <v>0.50333156702950022</v>
      </c>
      <c r="M38" t="s">
        <v>7</v>
      </c>
      <c r="N38" s="3">
        <f t="shared" ref="N38:Q44" si="58">-((N4-$N$29)/$N$29)*100</f>
        <v>-0.36958006865388848</v>
      </c>
      <c r="O38" s="3"/>
      <c r="P38" s="3"/>
      <c r="Q38" s="3">
        <f t="shared" si="58"/>
        <v>4.9062859255596578</v>
      </c>
      <c r="U38" t="s">
        <v>7</v>
      </c>
      <c r="V38" s="3">
        <f t="shared" ref="V38:V44" si="59">-((V4-$B$23)/$B$23)*100</f>
        <v>4.9263365075568908</v>
      </c>
      <c r="W38" s="3"/>
      <c r="X38" s="3"/>
      <c r="Y38" s="3">
        <f>-((Y4-$B$23)/$B$23)*100</f>
        <v>-32.422197294429253</v>
      </c>
      <c r="AA38" t="s">
        <v>7</v>
      </c>
      <c r="AB38" s="3">
        <f t="shared" ref="AB38:AE38" si="60">-((AB4-$H$29)/$H$29)*100</f>
        <v>3.5276087352287369</v>
      </c>
      <c r="AC38" s="3"/>
      <c r="AD38" s="3"/>
      <c r="AE38" s="3">
        <f t="shared" ref="AE38:AH38" si="61">-((AE4-$H$29)/$H$29)*100</f>
        <v>0.50333156702950022</v>
      </c>
      <c r="AG38" t="s">
        <v>7</v>
      </c>
      <c r="AH38" s="3">
        <f t="shared" ref="AH38:AK38" si="62">-((AH4-$N$29)/$N$29)*100</f>
        <v>-0.36958006865388848</v>
      </c>
      <c r="AI38" s="3"/>
      <c r="AJ38" s="3"/>
      <c r="AK38" s="3">
        <f t="shared" ref="AK38" si="63">-((AK4-$N$29)/$N$29)*100</f>
        <v>4.9062859255596578</v>
      </c>
    </row>
    <row r="39" spans="1:37" x14ac:dyDescent="0.25">
      <c r="A39" t="s">
        <v>8</v>
      </c>
      <c r="B39" s="3">
        <f t="shared" si="56"/>
        <v>13.365785954490562</v>
      </c>
      <c r="C39" s="3"/>
      <c r="D39" s="3"/>
      <c r="E39" s="3">
        <f t="shared" ref="E39:E40" si="64">-((E5-$B$23)/$B$23)*100</f>
        <v>4.5934082538095291</v>
      </c>
      <c r="G39" t="s">
        <v>8</v>
      </c>
      <c r="H39" s="3">
        <f t="shared" si="57"/>
        <v>-4.7997694085191469</v>
      </c>
      <c r="I39" s="3"/>
      <c r="J39" s="3"/>
      <c r="K39" s="3">
        <f t="shared" si="57"/>
        <v>2.7732788027040844</v>
      </c>
      <c r="M39" t="s">
        <v>8</v>
      </c>
      <c r="N39" s="3">
        <f t="shared" si="58"/>
        <v>10.799207986315825</v>
      </c>
      <c r="O39" s="3"/>
      <c r="P39" s="3"/>
      <c r="Q39" s="3">
        <f t="shared" si="58"/>
        <v>6.2487728791592376</v>
      </c>
      <c r="U39" t="s">
        <v>8</v>
      </c>
      <c r="V39" s="3">
        <f t="shared" si="59"/>
        <v>13.365785954490562</v>
      </c>
      <c r="W39" s="3"/>
      <c r="X39" s="3"/>
      <c r="Y39" s="3">
        <f t="shared" ref="Y39:Y40" si="65">-((Y5-$B$23)/$B$23)*100</f>
        <v>4.5934082538095291</v>
      </c>
      <c r="AA39" t="s">
        <v>8</v>
      </c>
      <c r="AB39" s="3">
        <f t="shared" ref="AB39:AE39" si="66">-((AB5-$H$29)/$H$29)*100</f>
        <v>-4.7997694085191469</v>
      </c>
      <c r="AC39" s="3"/>
      <c r="AD39" s="3"/>
      <c r="AE39" s="3">
        <f t="shared" ref="AE39:AH39" si="67">-((AE5-$H$29)/$H$29)*100</f>
        <v>2.7732788027040844</v>
      </c>
      <c r="AG39" t="s">
        <v>8</v>
      </c>
      <c r="AH39" s="3">
        <f t="shared" ref="AH39:AK39" si="68">-((AH5-$N$29)/$N$29)*100</f>
        <v>10.799207986315825</v>
      </c>
      <c r="AI39" s="3"/>
      <c r="AJ39" s="3"/>
      <c r="AK39" s="3">
        <f t="shared" ref="AK39" si="69">-((AK5-$N$29)/$N$29)*100</f>
        <v>6.2487728791592376</v>
      </c>
    </row>
    <row r="40" spans="1:37" x14ac:dyDescent="0.25">
      <c r="A40" t="s">
        <v>9</v>
      </c>
      <c r="B40" s="3">
        <f t="shared" si="56"/>
        <v>0.54161367669952942</v>
      </c>
      <c r="C40" s="3"/>
      <c r="D40" s="3"/>
      <c r="E40" s="3">
        <f t="shared" si="64"/>
        <v>0.20679795977804957</v>
      </c>
      <c r="G40" t="s">
        <v>9</v>
      </c>
      <c r="H40" s="3">
        <f t="shared" si="57"/>
        <v>-10.328734430035601</v>
      </c>
      <c r="I40" s="3"/>
      <c r="J40" s="3"/>
      <c r="K40" s="3">
        <f t="shared" si="57"/>
        <v>9.4441921815554171</v>
      </c>
      <c r="M40" t="s">
        <v>9</v>
      </c>
      <c r="N40" s="3">
        <f t="shared" si="58"/>
        <v>1.259147906094755</v>
      </c>
      <c r="O40" s="3"/>
      <c r="P40" s="3"/>
      <c r="Q40" s="3">
        <f t="shared" si="58"/>
        <v>17.87557315872878</v>
      </c>
      <c r="U40" t="s">
        <v>9</v>
      </c>
      <c r="V40" s="3">
        <f t="shared" si="59"/>
        <v>0.54161367669952942</v>
      </c>
      <c r="W40" s="3"/>
      <c r="X40" s="3"/>
      <c r="Y40" s="3">
        <f t="shared" si="65"/>
        <v>0.20679795977804957</v>
      </c>
      <c r="AA40" t="s">
        <v>9</v>
      </c>
      <c r="AB40" s="3">
        <f t="shared" ref="AB40:AE40" si="70">-((AB6-$H$29)/$H$29)*100</f>
        <v>-10.328734430035601</v>
      </c>
      <c r="AC40" s="3"/>
      <c r="AD40" s="3"/>
      <c r="AE40" s="3">
        <f t="shared" ref="AE40:AH40" si="71">-((AE6-$H$29)/$H$29)*100</f>
        <v>9.4441921815554171</v>
      </c>
      <c r="AG40" t="s">
        <v>9</v>
      </c>
      <c r="AH40" s="3">
        <f t="shared" ref="AH40:AK40" si="72">-((AH6-$N$29)/$N$29)*100</f>
        <v>1.259147906094755</v>
      </c>
      <c r="AI40" s="3"/>
      <c r="AJ40" s="3"/>
      <c r="AK40" s="3">
        <f t="shared" ref="AK40" si="73">-((AK6-$N$29)/$N$29)*100</f>
        <v>17.87557315872878</v>
      </c>
    </row>
    <row r="41" spans="1:37" x14ac:dyDescent="0.25">
      <c r="A41" t="s">
        <v>10</v>
      </c>
      <c r="B41" s="3">
        <f t="shared" si="56"/>
        <v>2.4032748882252282</v>
      </c>
      <c r="C41" s="3"/>
      <c r="D41" s="3"/>
      <c r="E41" s="3"/>
      <c r="G41" t="s">
        <v>10</v>
      </c>
      <c r="H41" s="3">
        <f t="shared" si="57"/>
        <v>-4.9391476545988331</v>
      </c>
      <c r="I41" s="3"/>
      <c r="J41" s="3"/>
      <c r="K41" s="3">
        <f t="shared" si="57"/>
        <v>-3.7324193380480959</v>
      </c>
      <c r="M41" t="s">
        <v>10</v>
      </c>
      <c r="N41" s="3">
        <f t="shared" si="58"/>
        <v>8.0349633546365187</v>
      </c>
      <c r="O41" s="3"/>
      <c r="P41" s="3"/>
      <c r="Q41" s="3">
        <f t="shared" si="58"/>
        <v>-20.419672210840169</v>
      </c>
      <c r="U41" t="s">
        <v>10</v>
      </c>
      <c r="V41" s="3">
        <f t="shared" si="59"/>
        <v>2.4032748882252282</v>
      </c>
      <c r="W41" s="3"/>
      <c r="X41" s="3"/>
      <c r="Y41" s="3"/>
      <c r="AA41" t="s">
        <v>10</v>
      </c>
      <c r="AB41" s="3">
        <f t="shared" ref="AB41:AE41" si="74">-((AB7-$H$29)/$H$29)*100</f>
        <v>-4.9391476545988331</v>
      </c>
      <c r="AC41" s="3"/>
      <c r="AD41" s="3"/>
      <c r="AE41" s="3">
        <f t="shared" ref="AE41:AH41" si="75">-((AE7-$H$29)/$H$29)*100</f>
        <v>-3.7324193380480959</v>
      </c>
      <c r="AG41" t="s">
        <v>10</v>
      </c>
      <c r="AH41" s="3">
        <f t="shared" ref="AH41:AK41" si="76">-((AH7-$N$29)/$N$29)*100</f>
        <v>8.0349633546365187</v>
      </c>
      <c r="AI41" s="3"/>
      <c r="AJ41" s="3"/>
      <c r="AK41" s="3">
        <f t="shared" ref="AK41" si="77">-((AK7-$N$29)/$N$29)*100</f>
        <v>-20.419672210840169</v>
      </c>
    </row>
    <row r="42" spans="1:37" x14ac:dyDescent="0.25">
      <c r="A42" t="s">
        <v>11</v>
      </c>
      <c r="B42" s="3">
        <f t="shared" si="56"/>
        <v>-8.5298780729567003</v>
      </c>
      <c r="C42" s="3"/>
      <c r="D42" s="3"/>
      <c r="E42" s="3"/>
      <c r="G42" t="s">
        <v>11</v>
      </c>
      <c r="H42" s="3">
        <f t="shared" si="57"/>
        <v>4.9937346447568487</v>
      </c>
      <c r="I42" s="3"/>
      <c r="J42" s="3"/>
      <c r="K42" s="3">
        <f t="shared" si="57"/>
        <v>31.853219981820313</v>
      </c>
      <c r="M42" t="s">
        <v>11</v>
      </c>
      <c r="N42" s="3">
        <f t="shared" si="58"/>
        <v>-0.87982296642235691</v>
      </c>
      <c r="O42" s="3"/>
      <c r="P42" s="3"/>
      <c r="Q42" s="3">
        <f t="shared" si="58"/>
        <v>21.741054028570492</v>
      </c>
      <c r="U42" t="s">
        <v>11</v>
      </c>
      <c r="V42" s="3">
        <f t="shared" si="59"/>
        <v>-8.5298780729567003</v>
      </c>
      <c r="W42" s="3"/>
      <c r="X42" s="3"/>
      <c r="Y42" s="3"/>
      <c r="AA42" t="s">
        <v>11</v>
      </c>
      <c r="AB42" s="3">
        <f t="shared" ref="AB42:AE42" si="78">-((AB8-$H$29)/$H$29)*100</f>
        <v>4.9937346447568487</v>
      </c>
      <c r="AC42" s="3"/>
      <c r="AD42" s="3"/>
      <c r="AE42" s="3"/>
      <c r="AG42" t="s">
        <v>11</v>
      </c>
      <c r="AH42" s="3">
        <f t="shared" ref="AH42:AK42" si="79">-((AH8-$N$29)/$N$29)*100</f>
        <v>-0.87982296642235691</v>
      </c>
      <c r="AI42" s="3"/>
      <c r="AJ42" s="3"/>
      <c r="AK42" s="3">
        <f t="shared" ref="AK42" si="80">-((AK8-$N$29)/$N$29)*100</f>
        <v>21.741054028570492</v>
      </c>
    </row>
    <row r="43" spans="1:37" x14ac:dyDescent="0.25">
      <c r="A43" t="s">
        <v>12</v>
      </c>
      <c r="B43" s="3">
        <f t="shared" si="56"/>
        <v>-2.8353018859052228</v>
      </c>
      <c r="C43" s="3"/>
      <c r="D43" s="3"/>
      <c r="E43" s="3">
        <f t="shared" ref="E43:E44" si="81">-((E9-$B$23)/$B$23)*100</f>
        <v>-2.3702478164541643</v>
      </c>
      <c r="G43" t="s">
        <v>12</v>
      </c>
      <c r="H43" s="3">
        <f t="shared" si="57"/>
        <v>0.18836399527059339</v>
      </c>
      <c r="I43" s="3"/>
      <c r="J43" s="3"/>
      <c r="K43" s="3">
        <f t="shared" si="57"/>
        <v>1.7806810208987249</v>
      </c>
      <c r="M43" t="s">
        <v>12</v>
      </c>
      <c r="N43" s="3">
        <f t="shared" si="58"/>
        <v>-3.9357523630880102</v>
      </c>
      <c r="O43" s="3"/>
      <c r="P43" s="3"/>
      <c r="Q43" s="3">
        <f t="shared" si="58"/>
        <v>-2.4594178629256462</v>
      </c>
      <c r="U43" t="s">
        <v>12</v>
      </c>
      <c r="V43" s="3">
        <f t="shared" si="59"/>
        <v>-2.8353018859052228</v>
      </c>
      <c r="W43" s="3"/>
      <c r="X43" s="3"/>
      <c r="Y43" s="3">
        <f t="shared" ref="Y43:Y44" si="82">-((Y9-$B$23)/$B$23)*100</f>
        <v>-2.3702478164541643</v>
      </c>
      <c r="AA43" t="s">
        <v>12</v>
      </c>
      <c r="AB43" s="3">
        <f t="shared" ref="AB43:AE43" si="83">-((AB9-$H$29)/$H$29)*100</f>
        <v>0.18836399527059339</v>
      </c>
      <c r="AC43" s="3"/>
      <c r="AD43" s="3"/>
      <c r="AE43" s="3">
        <f t="shared" ref="AE43:AH43" si="84">-((AE9-$H$29)/$H$29)*100</f>
        <v>1.7806810208987249</v>
      </c>
      <c r="AG43" t="s">
        <v>12</v>
      </c>
      <c r="AH43" s="3">
        <f t="shared" ref="AH43:AK43" si="85">-((AH9-$N$29)/$N$29)*100</f>
        <v>-3.9357523630880102</v>
      </c>
      <c r="AI43" s="3"/>
      <c r="AJ43" s="3"/>
      <c r="AK43" s="3">
        <f t="shared" ref="AK43" si="86">-((AK9-$N$29)/$N$29)*100</f>
        <v>-2.4594178629256462</v>
      </c>
    </row>
    <row r="44" spans="1:37" x14ac:dyDescent="0.25">
      <c r="A44" t="s">
        <v>13</v>
      </c>
      <c r="B44" s="3">
        <f t="shared" si="56"/>
        <v>-12.764719949058614</v>
      </c>
      <c r="C44" s="3"/>
      <c r="D44" s="3"/>
      <c r="E44" s="3">
        <f t="shared" si="81"/>
        <v>-22.338105870122263</v>
      </c>
      <c r="G44" t="s">
        <v>13</v>
      </c>
      <c r="H44" s="3">
        <f t="shared" si="57"/>
        <v>0.31664479961243258</v>
      </c>
      <c r="I44" s="3"/>
      <c r="J44" s="3"/>
      <c r="K44" s="3">
        <f t="shared" si="57"/>
        <v>10.959788265434014</v>
      </c>
      <c r="M44" t="s">
        <v>13</v>
      </c>
      <c r="N44" s="3">
        <f t="shared" si="58"/>
        <v>-9.4321746123514068</v>
      </c>
      <c r="O44" s="3"/>
      <c r="P44" s="3"/>
      <c r="Q44" s="3">
        <f t="shared" si="58"/>
        <v>-5.8777567343362858</v>
      </c>
      <c r="U44" t="s">
        <v>13</v>
      </c>
      <c r="V44" s="3">
        <f t="shared" si="59"/>
        <v>-12.764719949058614</v>
      </c>
      <c r="W44" s="3"/>
      <c r="X44" s="3"/>
      <c r="Y44" s="3">
        <f t="shared" si="82"/>
        <v>-22.338105870122263</v>
      </c>
      <c r="AA44" t="s">
        <v>13</v>
      </c>
      <c r="AB44" s="3">
        <f t="shared" ref="AB44:AE44" si="87">-((AB10-$H$29)/$H$29)*100</f>
        <v>0.31664479961243258</v>
      </c>
      <c r="AC44" s="3"/>
      <c r="AD44" s="3"/>
      <c r="AE44" s="3">
        <f t="shared" ref="AE44:AH44" si="88">-((AE10-$H$29)/$H$29)*100</f>
        <v>10.959788265434014</v>
      </c>
      <c r="AG44" t="s">
        <v>13</v>
      </c>
      <c r="AH44" s="3">
        <f t="shared" ref="AH44:AK44" si="89">-((AH10-$N$29)/$N$29)*100</f>
        <v>-9.4321746123514068</v>
      </c>
      <c r="AI44" s="3"/>
      <c r="AJ44" s="3"/>
      <c r="AK44" s="3">
        <f t="shared" ref="AK44" si="90">-((AK10-$N$29)/$N$29)*100</f>
        <v>-5.8777567343362858</v>
      </c>
    </row>
    <row r="45" spans="1:37" x14ac:dyDescent="0.25">
      <c r="A45" t="s">
        <v>5</v>
      </c>
      <c r="B45" s="3"/>
      <c r="C45" s="3"/>
      <c r="D45" s="3"/>
      <c r="E45" s="3"/>
      <c r="G45" t="s">
        <v>5</v>
      </c>
      <c r="H45" s="3"/>
      <c r="I45" s="3"/>
      <c r="J45" s="3"/>
      <c r="K45" s="3"/>
      <c r="M45" t="s">
        <v>5</v>
      </c>
      <c r="N45" s="3"/>
      <c r="O45" s="3"/>
      <c r="P45" s="3"/>
      <c r="Q45" s="3"/>
      <c r="U45" t="s">
        <v>5</v>
      </c>
      <c r="V45" s="3"/>
      <c r="W45" s="3"/>
      <c r="X45" s="3"/>
      <c r="Y45" s="3"/>
      <c r="AA45" t="s">
        <v>5</v>
      </c>
      <c r="AB45" s="3"/>
      <c r="AC45" s="3"/>
      <c r="AD45" s="3"/>
      <c r="AE45" s="3"/>
      <c r="AG45" t="s">
        <v>5</v>
      </c>
      <c r="AH45" s="3"/>
      <c r="AI45" s="3"/>
      <c r="AJ45" s="3"/>
      <c r="AK45" s="3"/>
    </row>
    <row r="46" spans="1:37" x14ac:dyDescent="0.25">
      <c r="A46" t="s">
        <v>7</v>
      </c>
      <c r="B46" s="3"/>
      <c r="C46" s="3"/>
      <c r="D46" s="3"/>
      <c r="E46" s="3"/>
      <c r="G46" t="s">
        <v>7</v>
      </c>
      <c r="H46" s="3"/>
      <c r="I46" s="3"/>
      <c r="J46" s="3"/>
      <c r="K46" s="3"/>
      <c r="M46" t="s">
        <v>7</v>
      </c>
      <c r="N46" s="3"/>
      <c r="O46" s="3"/>
      <c r="P46" s="3"/>
      <c r="Q46" s="3"/>
      <c r="U46" t="s">
        <v>7</v>
      </c>
      <c r="V46" s="3"/>
      <c r="W46" s="3"/>
      <c r="X46" s="3"/>
      <c r="Y46" s="3"/>
      <c r="AA46" t="s">
        <v>7</v>
      </c>
      <c r="AB46" s="3"/>
      <c r="AC46" s="3"/>
      <c r="AD46" s="3"/>
      <c r="AE46" s="3"/>
      <c r="AG46" t="s">
        <v>7</v>
      </c>
      <c r="AH46" s="3"/>
      <c r="AI46" s="3"/>
      <c r="AJ46" s="3"/>
      <c r="AK46" s="3"/>
    </row>
    <row r="47" spans="1:37" x14ac:dyDescent="0.25">
      <c r="A47" t="s">
        <v>8</v>
      </c>
      <c r="B47" s="3"/>
      <c r="C47" s="3"/>
      <c r="D47" s="3"/>
      <c r="E47" s="3"/>
      <c r="G47" t="s">
        <v>8</v>
      </c>
      <c r="H47" s="3"/>
      <c r="I47" s="3"/>
      <c r="J47" s="3"/>
      <c r="K47" s="3"/>
      <c r="M47" t="s">
        <v>8</v>
      </c>
      <c r="N47" s="3"/>
      <c r="O47" s="3"/>
      <c r="P47" s="3"/>
      <c r="Q47" s="3"/>
      <c r="U47" t="s">
        <v>8</v>
      </c>
      <c r="V47" s="3"/>
      <c r="W47" s="3"/>
      <c r="X47" s="3"/>
      <c r="Y47" s="3"/>
      <c r="AA47" t="s">
        <v>8</v>
      </c>
      <c r="AB47" s="3"/>
      <c r="AC47" s="3"/>
      <c r="AD47" s="3"/>
      <c r="AE47" s="3"/>
      <c r="AG47" t="s">
        <v>8</v>
      </c>
      <c r="AH47" s="3"/>
      <c r="AI47" s="3"/>
      <c r="AJ47" s="3"/>
      <c r="AK47" s="3"/>
    </row>
    <row r="48" spans="1:37" x14ac:dyDescent="0.25">
      <c r="A48" t="s">
        <v>9</v>
      </c>
      <c r="B48" s="3"/>
      <c r="C48" s="3"/>
      <c r="D48" s="3"/>
      <c r="E48" s="3"/>
      <c r="G48" t="s">
        <v>9</v>
      </c>
      <c r="H48" s="3"/>
      <c r="I48" s="3"/>
      <c r="J48" s="3"/>
      <c r="K48" s="3"/>
      <c r="M48" t="s">
        <v>9</v>
      </c>
      <c r="N48" s="3"/>
      <c r="O48" s="3"/>
      <c r="P48" s="3"/>
      <c r="Q48" s="3"/>
      <c r="U48" t="s">
        <v>9</v>
      </c>
      <c r="V48" s="3"/>
      <c r="W48" s="3"/>
      <c r="X48" s="3"/>
      <c r="Y48" s="3"/>
      <c r="AA48" t="s">
        <v>9</v>
      </c>
      <c r="AB48" s="3"/>
      <c r="AC48" s="3"/>
      <c r="AD48" s="3"/>
      <c r="AE48" s="3"/>
      <c r="AG48" t="s">
        <v>9</v>
      </c>
      <c r="AH48" s="3"/>
      <c r="AI48" s="3"/>
      <c r="AJ48" s="3"/>
      <c r="AK48" s="3"/>
    </row>
    <row r="49" spans="1:37" x14ac:dyDescent="0.25">
      <c r="A49" t="s">
        <v>10</v>
      </c>
      <c r="B49" s="3"/>
      <c r="C49" s="3"/>
      <c r="D49" s="3"/>
      <c r="E49" s="3"/>
      <c r="G49" t="s">
        <v>10</v>
      </c>
      <c r="H49" s="3"/>
      <c r="I49" s="3"/>
      <c r="J49" s="3"/>
      <c r="K49" s="3"/>
      <c r="M49" t="s">
        <v>10</v>
      </c>
      <c r="N49" s="3"/>
      <c r="O49" s="3"/>
      <c r="P49" s="3"/>
      <c r="Q49" s="3"/>
      <c r="U49" t="s">
        <v>10</v>
      </c>
      <c r="V49" s="3"/>
      <c r="W49" s="3"/>
      <c r="X49" s="3"/>
      <c r="Y49" s="3"/>
      <c r="AA49" t="s">
        <v>10</v>
      </c>
      <c r="AB49" s="3"/>
      <c r="AC49" s="3"/>
      <c r="AD49" s="3"/>
      <c r="AE49" s="3"/>
      <c r="AG49" t="s">
        <v>10</v>
      </c>
      <c r="AH49" s="3"/>
      <c r="AI49" s="3"/>
      <c r="AJ49" s="3"/>
      <c r="AK49" s="3"/>
    </row>
    <row r="50" spans="1:37" x14ac:dyDescent="0.25">
      <c r="A50" t="s">
        <v>11</v>
      </c>
      <c r="B50" s="3"/>
      <c r="C50" s="3"/>
      <c r="D50" s="3"/>
      <c r="E50" s="3"/>
      <c r="G50" t="s">
        <v>11</v>
      </c>
      <c r="H50" s="3"/>
      <c r="I50" s="3"/>
      <c r="J50" s="3"/>
      <c r="K50" s="3"/>
      <c r="M50" t="s">
        <v>11</v>
      </c>
      <c r="N50" s="3"/>
      <c r="O50" s="3"/>
      <c r="P50" s="3"/>
      <c r="Q50" s="3"/>
      <c r="U50" t="s">
        <v>11</v>
      </c>
      <c r="V50" s="3"/>
      <c r="W50" s="3"/>
      <c r="X50" s="3"/>
      <c r="Y50" s="3"/>
      <c r="AA50" t="s">
        <v>11</v>
      </c>
      <c r="AB50" s="3"/>
      <c r="AC50" s="3"/>
      <c r="AD50" s="3"/>
      <c r="AE50" s="3"/>
      <c r="AG50" t="s">
        <v>11</v>
      </c>
      <c r="AH50" s="3"/>
      <c r="AI50" s="3"/>
      <c r="AJ50" s="3"/>
      <c r="AK50" s="3"/>
    </row>
    <row r="51" spans="1:37" x14ac:dyDescent="0.25">
      <c r="A51" t="s">
        <v>12</v>
      </c>
      <c r="B51" s="3"/>
      <c r="C51" s="3"/>
      <c r="D51" s="3"/>
      <c r="E51" s="3"/>
      <c r="G51" t="s">
        <v>12</v>
      </c>
      <c r="H51" s="3"/>
      <c r="I51" s="3"/>
      <c r="J51" s="3"/>
      <c r="K51" s="3"/>
      <c r="M51" t="s">
        <v>12</v>
      </c>
      <c r="N51" s="3"/>
      <c r="O51" s="3"/>
      <c r="P51" s="3"/>
      <c r="Q51" s="3"/>
      <c r="U51" t="s">
        <v>12</v>
      </c>
      <c r="V51" s="3"/>
      <c r="W51" s="3"/>
      <c r="X51" s="3"/>
      <c r="Y51" s="3"/>
      <c r="AA51" t="s">
        <v>12</v>
      </c>
      <c r="AB51" s="3"/>
      <c r="AC51" s="3"/>
      <c r="AD51" s="3"/>
      <c r="AE51" s="3"/>
      <c r="AG51" t="s">
        <v>12</v>
      </c>
      <c r="AH51" s="3"/>
      <c r="AI51" s="3"/>
      <c r="AJ51" s="3"/>
      <c r="AK51" s="3"/>
    </row>
    <row r="52" spans="1:37" x14ac:dyDescent="0.25">
      <c r="A52" t="s">
        <v>13</v>
      </c>
      <c r="B52" s="3"/>
      <c r="C52" s="3"/>
      <c r="D52" s="3"/>
      <c r="E52" s="3"/>
      <c r="G52" t="s">
        <v>13</v>
      </c>
      <c r="H52" s="3"/>
      <c r="I52" s="3"/>
      <c r="J52" s="3"/>
      <c r="K52" s="3"/>
      <c r="M52" t="s">
        <v>13</v>
      </c>
      <c r="N52" s="3"/>
      <c r="O52" s="3"/>
      <c r="P52" s="3"/>
      <c r="Q52" s="3"/>
      <c r="U52" t="s">
        <v>13</v>
      </c>
      <c r="V52" s="3"/>
      <c r="W52" s="3"/>
      <c r="X52" s="3"/>
      <c r="Y52" s="3"/>
      <c r="AA52" t="s">
        <v>13</v>
      </c>
      <c r="AB52" s="3"/>
      <c r="AC52" s="3"/>
      <c r="AD52" s="3"/>
      <c r="AE52" s="3"/>
      <c r="AG52" t="s">
        <v>13</v>
      </c>
      <c r="AH52" s="3"/>
      <c r="AI52" s="3"/>
      <c r="AJ52" s="3"/>
      <c r="AK52" s="3"/>
    </row>
    <row r="53" spans="1:37" x14ac:dyDescent="0.25">
      <c r="A53" s="2"/>
      <c r="B53" s="2"/>
      <c r="C53" s="2"/>
      <c r="D53" s="2"/>
      <c r="E53" s="2"/>
      <c r="G53" s="2"/>
      <c r="H53" s="2"/>
      <c r="I53" s="2"/>
      <c r="J53" s="2"/>
      <c r="K53" s="2"/>
      <c r="M53" s="2"/>
      <c r="N53" s="2"/>
      <c r="O53" s="2"/>
      <c r="P53" s="2"/>
      <c r="Q53" s="2"/>
      <c r="U53" s="2"/>
      <c r="V53" s="2"/>
      <c r="W53" s="2"/>
      <c r="X53" s="2"/>
      <c r="Y53" s="2"/>
      <c r="AA53" s="2"/>
      <c r="AB53" s="2"/>
      <c r="AC53" s="2"/>
      <c r="AD53" s="2"/>
      <c r="AE53" s="2"/>
      <c r="AG53" s="2"/>
      <c r="AH53" s="2"/>
      <c r="AI53" s="2"/>
      <c r="AJ53" s="2"/>
      <c r="AK53" s="2"/>
    </row>
    <row r="54" spans="1:37" x14ac:dyDescent="0.25">
      <c r="A54" t="s">
        <v>14</v>
      </c>
      <c r="B54">
        <f>COUNT(B37:B52)</f>
        <v>8</v>
      </c>
      <c r="C54">
        <f t="shared" ref="C54:E54" si="91">COUNT(C37:C52)</f>
        <v>0</v>
      </c>
      <c r="D54">
        <f t="shared" si="91"/>
        <v>0</v>
      </c>
      <c r="E54">
        <f t="shared" si="91"/>
        <v>5</v>
      </c>
      <c r="G54" t="s">
        <v>14</v>
      </c>
      <c r="H54">
        <f>COUNT(H37:H52)</f>
        <v>8</v>
      </c>
      <c r="I54">
        <f t="shared" ref="I54:K54" si="92">COUNT(I37:I52)</f>
        <v>0</v>
      </c>
      <c r="J54">
        <f t="shared" si="92"/>
        <v>0</v>
      </c>
      <c r="K54">
        <f t="shared" si="92"/>
        <v>7</v>
      </c>
      <c r="M54" t="s">
        <v>14</v>
      </c>
      <c r="N54">
        <f>COUNT(N37:N52)</f>
        <v>8</v>
      </c>
      <c r="O54">
        <f t="shared" ref="O54:Q54" si="93">COUNT(O37:O52)</f>
        <v>0</v>
      </c>
      <c r="P54">
        <f t="shared" si="93"/>
        <v>0</v>
      </c>
      <c r="Q54">
        <f t="shared" si="93"/>
        <v>8</v>
      </c>
      <c r="U54" t="s">
        <v>14</v>
      </c>
      <c r="V54">
        <f>COUNT(V37:V52)</f>
        <v>8</v>
      </c>
      <c r="W54">
        <f t="shared" ref="W54:Y54" si="94">COUNT(W37:W52)</f>
        <v>0</v>
      </c>
      <c r="X54">
        <f t="shared" si="94"/>
        <v>0</v>
      </c>
      <c r="Y54">
        <f t="shared" si="94"/>
        <v>5</v>
      </c>
      <c r="AA54" t="s">
        <v>14</v>
      </c>
      <c r="AB54">
        <f>COUNT(AB37:AB52)</f>
        <v>8</v>
      </c>
      <c r="AC54">
        <f t="shared" ref="AC54:AE54" si="95">COUNT(AC37:AC52)</f>
        <v>0</v>
      </c>
      <c r="AD54">
        <f t="shared" si="95"/>
        <v>0</v>
      </c>
      <c r="AE54">
        <f t="shared" si="95"/>
        <v>6</v>
      </c>
      <c r="AG54" t="s">
        <v>14</v>
      </c>
      <c r="AH54">
        <f>COUNT(AH37:AH52)</f>
        <v>8</v>
      </c>
      <c r="AI54">
        <f t="shared" ref="AI54:AK54" si="96">COUNT(AI37:AI52)</f>
        <v>0</v>
      </c>
      <c r="AJ54">
        <f t="shared" si="96"/>
        <v>0</v>
      </c>
      <c r="AK54">
        <f t="shared" si="96"/>
        <v>8</v>
      </c>
    </row>
    <row r="55" spans="1:37" x14ac:dyDescent="0.25">
      <c r="A55" t="s">
        <v>15</v>
      </c>
      <c r="B55">
        <f>MAX(B37:B52)</f>
        <v>13.365785954490562</v>
      </c>
      <c r="C55">
        <f t="shared" ref="C55:E55" si="97">MAX(C37:C52)</f>
        <v>0</v>
      </c>
      <c r="D55">
        <f t="shared" si="97"/>
        <v>0</v>
      </c>
      <c r="E55">
        <f t="shared" si="97"/>
        <v>4.5934082538095291</v>
      </c>
      <c r="G55" t="s">
        <v>15</v>
      </c>
      <c r="H55">
        <f>MAX(H37:H52)</f>
        <v>11.041299318285001</v>
      </c>
      <c r="I55">
        <f t="shared" ref="I55:K55" si="98">MAX(I37:I52)</f>
        <v>0</v>
      </c>
      <c r="J55">
        <f t="shared" si="98"/>
        <v>0</v>
      </c>
      <c r="K55">
        <f t="shared" si="98"/>
        <v>31.853219981820313</v>
      </c>
      <c r="M55" t="s">
        <v>15</v>
      </c>
      <c r="N55">
        <f>MAX(N37:N52)</f>
        <v>10.799207986315825</v>
      </c>
      <c r="O55">
        <f t="shared" ref="O55:Q55" si="99">MAX(O37:O52)</f>
        <v>0</v>
      </c>
      <c r="P55">
        <f t="shared" si="99"/>
        <v>0</v>
      </c>
      <c r="Q55">
        <f t="shared" si="99"/>
        <v>21.741054028570492</v>
      </c>
      <c r="U55" t="s">
        <v>15</v>
      </c>
      <c r="V55">
        <f>MAX(V37:V52)</f>
        <v>13.365785954490562</v>
      </c>
      <c r="W55">
        <f t="shared" ref="W55:Y55" si="100">MAX(W37:W52)</f>
        <v>0</v>
      </c>
      <c r="X55">
        <f t="shared" si="100"/>
        <v>0</v>
      </c>
      <c r="Y55">
        <f t="shared" si="100"/>
        <v>4.5934082538095291</v>
      </c>
      <c r="AA55" t="s">
        <v>15</v>
      </c>
      <c r="AB55">
        <f>MAX(AB37:AB52)</f>
        <v>11.041299318285001</v>
      </c>
      <c r="AC55">
        <f t="shared" ref="AC55:AE55" si="101">MAX(AC37:AC52)</f>
        <v>0</v>
      </c>
      <c r="AD55">
        <f t="shared" si="101"/>
        <v>0</v>
      </c>
      <c r="AE55">
        <f t="shared" si="101"/>
        <v>10.959788265434014</v>
      </c>
      <c r="AG55" t="s">
        <v>15</v>
      </c>
      <c r="AH55">
        <f>MAX(AH37:AH52)</f>
        <v>10.799207986315825</v>
      </c>
      <c r="AI55">
        <f t="shared" ref="AI55:AK55" si="102">MAX(AI37:AI52)</f>
        <v>0</v>
      </c>
      <c r="AJ55">
        <f t="shared" si="102"/>
        <v>0</v>
      </c>
      <c r="AK55">
        <f t="shared" si="102"/>
        <v>21.741054028570492</v>
      </c>
    </row>
    <row r="56" spans="1:37" x14ac:dyDescent="0.25">
      <c r="A56" t="s">
        <v>16</v>
      </c>
      <c r="B56">
        <f>MIN(B37:B52)</f>
        <v>-12.764719949058614</v>
      </c>
      <c r="C56">
        <f t="shared" ref="C56:E56" si="103">MIN(C37:C52)</f>
        <v>0</v>
      </c>
      <c r="D56">
        <f t="shared" si="103"/>
        <v>0</v>
      </c>
      <c r="E56">
        <f t="shared" si="103"/>
        <v>-32.422197294429253</v>
      </c>
      <c r="G56" t="s">
        <v>16</v>
      </c>
      <c r="H56">
        <f>MIN(H37:H52)</f>
        <v>-10.328734430035601</v>
      </c>
      <c r="I56">
        <f t="shared" ref="I56:K56" si="104">MIN(I37:I52)</f>
        <v>0</v>
      </c>
      <c r="J56">
        <f t="shared" si="104"/>
        <v>0</v>
      </c>
      <c r="K56">
        <f t="shared" si="104"/>
        <v>-3.7324193380480959</v>
      </c>
      <c r="M56" t="s">
        <v>16</v>
      </c>
      <c r="N56">
        <f>MIN(N37:N52)</f>
        <v>-9.4321746123514068</v>
      </c>
      <c r="O56">
        <f t="shared" ref="O56:Q56" si="105">MIN(O37:O52)</f>
        <v>0</v>
      </c>
      <c r="P56">
        <f t="shared" si="105"/>
        <v>0</v>
      </c>
      <c r="Q56">
        <f t="shared" si="105"/>
        <v>-20.419672210840169</v>
      </c>
      <c r="U56" t="s">
        <v>16</v>
      </c>
      <c r="V56">
        <f>MIN(V37:V52)</f>
        <v>-12.764719949058614</v>
      </c>
      <c r="W56">
        <f t="shared" ref="W56:Y56" si="106">MIN(W37:W52)</f>
        <v>0</v>
      </c>
      <c r="X56">
        <f t="shared" si="106"/>
        <v>0</v>
      </c>
      <c r="Y56">
        <f t="shared" si="106"/>
        <v>-32.422197294429253</v>
      </c>
      <c r="AA56" t="s">
        <v>16</v>
      </c>
      <c r="AB56">
        <f>MIN(AB37:AB52)</f>
        <v>-10.328734430035601</v>
      </c>
      <c r="AC56">
        <f t="shared" ref="AC56:AE56" si="107">MIN(AC37:AC52)</f>
        <v>0</v>
      </c>
      <c r="AD56">
        <f t="shared" si="107"/>
        <v>0</v>
      </c>
      <c r="AE56">
        <f t="shared" si="107"/>
        <v>-3.7324193380480959</v>
      </c>
      <c r="AG56" t="s">
        <v>16</v>
      </c>
      <c r="AH56">
        <f>MIN(AH37:AH52)</f>
        <v>-9.4321746123514068</v>
      </c>
      <c r="AI56">
        <f t="shared" ref="AI56:AK56" si="108">MIN(AI37:AI52)</f>
        <v>0</v>
      </c>
      <c r="AJ56">
        <f t="shared" si="108"/>
        <v>0</v>
      </c>
      <c r="AK56">
        <f t="shared" si="108"/>
        <v>-20.419672210840169</v>
      </c>
    </row>
    <row r="57" spans="1:37" x14ac:dyDescent="0.25">
      <c r="A57" t="s">
        <v>17</v>
      </c>
      <c r="B57">
        <f>AVERAGE(B37:B52)</f>
        <v>-1.0436096431476471E-14</v>
      </c>
      <c r="C57" t="e">
        <f t="shared" ref="C57:E57" si="109">AVERAGE(C37:C52)</f>
        <v>#DIV/0!</v>
      </c>
      <c r="D57" t="e">
        <f t="shared" si="109"/>
        <v>#DIV/0!</v>
      </c>
      <c r="E57">
        <f t="shared" si="109"/>
        <v>-10.466068953483619</v>
      </c>
      <c r="G57" t="s">
        <v>17</v>
      </c>
      <c r="H57">
        <f>AVERAGE(H37:H52)</f>
        <v>3.9690473130349346E-15</v>
      </c>
      <c r="I57" t="e">
        <f t="shared" ref="I57:K57" si="110">AVERAGE(I37:I52)</f>
        <v>#DIV/0!</v>
      </c>
      <c r="J57" t="e">
        <f t="shared" si="110"/>
        <v>#DIV/0!</v>
      </c>
      <c r="K57">
        <f t="shared" si="110"/>
        <v>7.6545817830562797</v>
      </c>
      <c r="M57" t="s">
        <v>17</v>
      </c>
      <c r="N57">
        <f>AVERAGE(N37:N52)</f>
        <v>1.2656542480726785E-14</v>
      </c>
      <c r="O57" t="e">
        <f t="shared" ref="O57:Q57" si="111">AVERAGE(O37:O52)</f>
        <v>#DIV/0!</v>
      </c>
      <c r="P57" t="e">
        <f t="shared" si="111"/>
        <v>#DIV/0!</v>
      </c>
      <c r="Q57">
        <f t="shared" si="111"/>
        <v>4.4183943791896549</v>
      </c>
      <c r="U57" t="s">
        <v>17</v>
      </c>
      <c r="V57">
        <f>AVERAGE(V37:V52)</f>
        <v>-1.0436096431476471E-14</v>
      </c>
      <c r="W57" t="e">
        <f t="shared" ref="W57:Y57" si="112">AVERAGE(W37:W52)</f>
        <v>#DIV/0!</v>
      </c>
      <c r="X57" t="e">
        <f t="shared" si="112"/>
        <v>#DIV/0!</v>
      </c>
      <c r="Y57">
        <f t="shared" si="112"/>
        <v>-10.466068953483619</v>
      </c>
      <c r="AA57" t="s">
        <v>17</v>
      </c>
      <c r="AB57">
        <f>AVERAGE(AB37:AB52)</f>
        <v>3.9690473130349346E-15</v>
      </c>
      <c r="AC57" t="e">
        <f t="shared" ref="AC57:AE57" si="113">AVERAGE(AC37:AC52)</f>
        <v>#DIV/0!</v>
      </c>
      <c r="AD57" t="e">
        <f t="shared" si="113"/>
        <v>#DIV/0!</v>
      </c>
      <c r="AE57">
        <f t="shared" si="113"/>
        <v>3.6214754165956076</v>
      </c>
      <c r="AG57" t="s">
        <v>17</v>
      </c>
      <c r="AH57">
        <f>AVERAGE(AH37:AH52)</f>
        <v>1.2656542480726785E-14</v>
      </c>
      <c r="AI57" t="e">
        <f t="shared" ref="AI57:AK57" si="114">AVERAGE(AI37:AI52)</f>
        <v>#DIV/0!</v>
      </c>
      <c r="AJ57" t="e">
        <f t="shared" si="114"/>
        <v>#DIV/0!</v>
      </c>
      <c r="AK57">
        <f t="shared" si="114"/>
        <v>4.4183943791896549</v>
      </c>
    </row>
    <row r="58" spans="1:37" x14ac:dyDescent="0.25">
      <c r="A58" t="s">
        <v>18</v>
      </c>
      <c r="B58">
        <f>STDEV(B37:B52)</f>
        <v>8.1160048168439651</v>
      </c>
      <c r="C58" t="e">
        <f t="shared" ref="C58:D58" si="115">STDEV(C37:C52)</f>
        <v>#DIV/0!</v>
      </c>
      <c r="D58" t="e">
        <f t="shared" si="115"/>
        <v>#DIV/0!</v>
      </c>
      <c r="E58">
        <f>STDEV(E37:E52)</f>
        <v>16.041018468772933</v>
      </c>
      <c r="G58" t="s">
        <v>18</v>
      </c>
      <c r="H58">
        <f>STDEV(H37:H52)</f>
        <v>6.6926736650288179</v>
      </c>
      <c r="I58" t="e">
        <f t="shared" ref="I58:K58" si="116">STDEV(I37:I52)</f>
        <v>#DIV/0!</v>
      </c>
      <c r="J58" t="e">
        <f t="shared" si="116"/>
        <v>#DIV/0!</v>
      </c>
      <c r="K58">
        <f t="shared" si="116"/>
        <v>11.823953012692606</v>
      </c>
      <c r="M58" t="s">
        <v>18</v>
      </c>
      <c r="N58">
        <f>STDEV(N37:N52)</f>
        <v>6.7413667888314626</v>
      </c>
      <c r="O58" t="e">
        <f t="shared" ref="O58:Q58" si="117">STDEV(O37:O52)</f>
        <v>#DIV/0!</v>
      </c>
      <c r="P58" t="e">
        <f t="shared" si="117"/>
        <v>#DIV/0!</v>
      </c>
      <c r="Q58">
        <f t="shared" si="117"/>
        <v>13.807146692661465</v>
      </c>
      <c r="U58" t="s">
        <v>18</v>
      </c>
      <c r="V58">
        <f>STDEV(V37:V52)</f>
        <v>8.1160048168439651</v>
      </c>
      <c r="W58" t="e">
        <f t="shared" ref="W58:X58" si="118">STDEV(W37:W52)</f>
        <v>#DIV/0!</v>
      </c>
      <c r="X58" t="e">
        <f t="shared" si="118"/>
        <v>#DIV/0!</v>
      </c>
      <c r="Y58">
        <f>STDEV(Y37:Y52)</f>
        <v>16.041018468772933</v>
      </c>
      <c r="AA58" t="s">
        <v>18</v>
      </c>
      <c r="AB58">
        <f>STDEV(AB37:AB52)</f>
        <v>6.6926736650288179</v>
      </c>
      <c r="AC58" t="e">
        <f t="shared" ref="AC58:AE58" si="119">STDEV(AC37:AC52)</f>
        <v>#DIV/0!</v>
      </c>
      <c r="AD58" t="e">
        <f t="shared" si="119"/>
        <v>#DIV/0!</v>
      </c>
      <c r="AE58">
        <f t="shared" si="119"/>
        <v>5.5797027989737966</v>
      </c>
      <c r="AG58" t="s">
        <v>18</v>
      </c>
      <c r="AH58">
        <f>STDEV(AH37:AH52)</f>
        <v>6.7413667888314626</v>
      </c>
      <c r="AI58" t="e">
        <f t="shared" ref="AI58:AK58" si="120">STDEV(AI37:AI52)</f>
        <v>#DIV/0!</v>
      </c>
      <c r="AJ58" t="e">
        <f t="shared" si="120"/>
        <v>#DIV/0!</v>
      </c>
      <c r="AK58">
        <f t="shared" si="120"/>
        <v>13.807146692661465</v>
      </c>
    </row>
    <row r="59" spans="1:37" x14ac:dyDescent="0.25">
      <c r="A59" t="s">
        <v>19</v>
      </c>
      <c r="B59">
        <f>B57+2*B58</f>
        <v>16.23200963368792</v>
      </c>
      <c r="C59" t="e">
        <f t="shared" ref="C59:E59" si="121">C57+2*C58</f>
        <v>#DIV/0!</v>
      </c>
      <c r="D59" t="e">
        <f t="shared" si="121"/>
        <v>#DIV/0!</v>
      </c>
      <c r="E59">
        <f t="shared" si="121"/>
        <v>21.615967984062245</v>
      </c>
      <c r="G59" t="s">
        <v>19</v>
      </c>
      <c r="H59">
        <f>H57+2*H58</f>
        <v>13.385347330057639</v>
      </c>
      <c r="I59" t="e">
        <f t="shared" ref="I59:K59" si="122">I57+2*I58</f>
        <v>#DIV/0!</v>
      </c>
      <c r="J59" t="e">
        <f t="shared" si="122"/>
        <v>#DIV/0!</v>
      </c>
      <c r="K59">
        <f t="shared" si="122"/>
        <v>31.302487808441491</v>
      </c>
      <c r="M59" t="s">
        <v>19</v>
      </c>
      <c r="N59">
        <f>N57+2*N58</f>
        <v>13.482733577662938</v>
      </c>
      <c r="O59" t="e">
        <f t="shared" ref="O59:Q59" si="123">O57+2*O58</f>
        <v>#DIV/0!</v>
      </c>
      <c r="P59" t="e">
        <f t="shared" si="123"/>
        <v>#DIV/0!</v>
      </c>
      <c r="Q59">
        <f t="shared" si="123"/>
        <v>32.032687764512588</v>
      </c>
      <c r="U59" t="s">
        <v>19</v>
      </c>
      <c r="V59">
        <f>V57+2*V58</f>
        <v>16.23200963368792</v>
      </c>
      <c r="W59" t="e">
        <f t="shared" ref="W59:Y59" si="124">W57+2*W58</f>
        <v>#DIV/0!</v>
      </c>
      <c r="X59" t="e">
        <f t="shared" si="124"/>
        <v>#DIV/0!</v>
      </c>
      <c r="Y59">
        <f t="shared" si="124"/>
        <v>21.615967984062245</v>
      </c>
      <c r="AA59" t="s">
        <v>19</v>
      </c>
      <c r="AB59">
        <f>AB57+2*AB58</f>
        <v>13.385347330057639</v>
      </c>
      <c r="AC59" t="e">
        <f t="shared" ref="AC59:AE59" si="125">AC57+2*AC58</f>
        <v>#DIV/0!</v>
      </c>
      <c r="AD59" t="e">
        <f t="shared" si="125"/>
        <v>#DIV/0!</v>
      </c>
      <c r="AE59">
        <f t="shared" si="125"/>
        <v>14.780881014543201</v>
      </c>
      <c r="AG59" t="s">
        <v>19</v>
      </c>
      <c r="AH59">
        <f>AH57+2*AH58</f>
        <v>13.482733577662938</v>
      </c>
      <c r="AI59" t="e">
        <f t="shared" ref="AI59:AK59" si="126">AI57+2*AI58</f>
        <v>#DIV/0!</v>
      </c>
      <c r="AJ59" t="e">
        <f t="shared" si="126"/>
        <v>#DIV/0!</v>
      </c>
      <c r="AK59">
        <f t="shared" si="126"/>
        <v>32.032687764512588</v>
      </c>
    </row>
    <row r="60" spans="1:37" x14ac:dyDescent="0.25">
      <c r="A60" t="s">
        <v>20</v>
      </c>
      <c r="B60">
        <f>B57-2*B58</f>
        <v>-16.232009633687941</v>
      </c>
      <c r="C60" t="e">
        <f t="shared" ref="C60:E60" si="127">C57-2*C58</f>
        <v>#DIV/0!</v>
      </c>
      <c r="D60" t="e">
        <f t="shared" si="127"/>
        <v>#DIV/0!</v>
      </c>
      <c r="E60">
        <f t="shared" si="127"/>
        <v>-42.548105891029486</v>
      </c>
      <c r="G60" t="s">
        <v>20</v>
      </c>
      <c r="H60">
        <f>H57-2*H58</f>
        <v>-13.385347330057632</v>
      </c>
      <c r="I60" t="e">
        <f t="shared" ref="I60:K60" si="128">I57-2*I58</f>
        <v>#DIV/0!</v>
      </c>
      <c r="J60" t="e">
        <f t="shared" si="128"/>
        <v>#DIV/0!</v>
      </c>
      <c r="K60">
        <f t="shared" si="128"/>
        <v>-15.993324242328931</v>
      </c>
      <c r="M60" t="s">
        <v>20</v>
      </c>
      <c r="N60">
        <f>N57-2*N58</f>
        <v>-13.482733577662913</v>
      </c>
      <c r="O60" t="e">
        <f t="shared" ref="O60:Q60" si="129">O57-2*O58</f>
        <v>#DIV/0!</v>
      </c>
      <c r="P60" t="e">
        <f t="shared" si="129"/>
        <v>#DIV/0!</v>
      </c>
      <c r="Q60">
        <f t="shared" si="129"/>
        <v>-23.195899006133274</v>
      </c>
      <c r="U60" t="s">
        <v>20</v>
      </c>
      <c r="V60">
        <f>V57-2*V58</f>
        <v>-16.232009633687941</v>
      </c>
      <c r="W60" t="e">
        <f t="shared" ref="W60:Y60" si="130">W57-2*W58</f>
        <v>#DIV/0!</v>
      </c>
      <c r="X60" t="e">
        <f t="shared" si="130"/>
        <v>#DIV/0!</v>
      </c>
      <c r="Y60">
        <f t="shared" si="130"/>
        <v>-42.548105891029486</v>
      </c>
      <c r="AA60" t="s">
        <v>20</v>
      </c>
      <c r="AB60">
        <f>AB57-2*AB58</f>
        <v>-13.385347330057632</v>
      </c>
      <c r="AC60" t="e">
        <f t="shared" ref="AC60:AE60" si="131">AC57-2*AC58</f>
        <v>#DIV/0!</v>
      </c>
      <c r="AD60" t="e">
        <f t="shared" si="131"/>
        <v>#DIV/0!</v>
      </c>
      <c r="AE60">
        <f t="shared" si="131"/>
        <v>-7.5379301813519852</v>
      </c>
      <c r="AG60" t="s">
        <v>20</v>
      </c>
      <c r="AH60">
        <f>AH57-2*AH58</f>
        <v>-13.482733577662913</v>
      </c>
      <c r="AI60" t="e">
        <f t="shared" ref="AI60:AK60" si="132">AI57-2*AI58</f>
        <v>#DIV/0!</v>
      </c>
      <c r="AJ60" t="e">
        <f t="shared" si="132"/>
        <v>#DIV/0!</v>
      </c>
      <c r="AK60">
        <f t="shared" si="132"/>
        <v>-23.195899006133274</v>
      </c>
    </row>
    <row r="61" spans="1:37" x14ac:dyDescent="0.25">
      <c r="A61" t="s">
        <v>21</v>
      </c>
      <c r="B61">
        <f>VAR(B37:B52)</f>
        <v>65.869534187034446</v>
      </c>
      <c r="C61" t="e">
        <f t="shared" ref="C61:E61" si="133">VAR(C37:C52)</f>
        <v>#DIV/0!</v>
      </c>
      <c r="D61" t="e">
        <f t="shared" si="133"/>
        <v>#DIV/0!</v>
      </c>
      <c r="E61">
        <f t="shared" si="133"/>
        <v>257.31427351551434</v>
      </c>
      <c r="G61" t="s">
        <v>21</v>
      </c>
      <c r="H61">
        <f>VAR(H37:H52)</f>
        <v>44.791880786570268</v>
      </c>
      <c r="I61" t="e">
        <f t="shared" ref="I61:K61" si="134">VAR(I37:I52)</f>
        <v>#DIV/0!</v>
      </c>
      <c r="J61" t="e">
        <f t="shared" si="134"/>
        <v>#DIV/0!</v>
      </c>
      <c r="K61">
        <f t="shared" si="134"/>
        <v>139.80586484636254</v>
      </c>
      <c r="M61" t="s">
        <v>21</v>
      </c>
      <c r="N61">
        <f>VAR(N37:N52)</f>
        <v>45.446026181559823</v>
      </c>
      <c r="O61" t="e">
        <f t="shared" ref="O61:Q61" si="135">VAR(O37:O52)</f>
        <v>#DIV/0!</v>
      </c>
      <c r="P61" t="e">
        <f t="shared" si="135"/>
        <v>#DIV/0!</v>
      </c>
      <c r="Q61">
        <f t="shared" si="135"/>
        <v>190.63729979267245</v>
      </c>
      <c r="U61" t="s">
        <v>21</v>
      </c>
      <c r="V61">
        <f>VAR(V37:V52)</f>
        <v>65.869534187034446</v>
      </c>
      <c r="W61" t="e">
        <f t="shared" ref="W61:Y61" si="136">VAR(W37:W52)</f>
        <v>#DIV/0!</v>
      </c>
      <c r="X61" t="e">
        <f t="shared" si="136"/>
        <v>#DIV/0!</v>
      </c>
      <c r="Y61">
        <f t="shared" si="136"/>
        <v>257.31427351551434</v>
      </c>
      <c r="AA61" t="s">
        <v>21</v>
      </c>
      <c r="AB61">
        <f>VAR(AB37:AB52)</f>
        <v>44.791880786570268</v>
      </c>
      <c r="AC61" t="e">
        <f t="shared" ref="AC61:AE61" si="137">VAR(AC37:AC52)</f>
        <v>#DIV/0!</v>
      </c>
      <c r="AD61" t="e">
        <f t="shared" si="137"/>
        <v>#DIV/0!</v>
      </c>
      <c r="AE61">
        <f t="shared" si="137"/>
        <v>31.133083324876019</v>
      </c>
      <c r="AG61" t="s">
        <v>21</v>
      </c>
      <c r="AH61">
        <f>VAR(AH37:AH52)</f>
        <v>45.446026181559823</v>
      </c>
      <c r="AI61" t="e">
        <f t="shared" ref="AI61:AK61" si="138">VAR(AI37:AI52)</f>
        <v>#DIV/0!</v>
      </c>
      <c r="AJ61" t="e">
        <f t="shared" si="138"/>
        <v>#DIV/0!</v>
      </c>
      <c r="AK61">
        <f t="shared" si="138"/>
        <v>190.63729979267245</v>
      </c>
    </row>
    <row r="63" spans="1:37" x14ac:dyDescent="0.25">
      <c r="A63" t="s">
        <v>22</v>
      </c>
      <c r="U63" t="s">
        <v>22</v>
      </c>
    </row>
    <row r="64" spans="1:37" x14ac:dyDescent="0.25">
      <c r="A64" t="s">
        <v>1</v>
      </c>
      <c r="B64" t="e">
        <f>TTEST(B45:B52,H45:H52,2,3)</f>
        <v>#DIV/0!</v>
      </c>
      <c r="U64" t="s">
        <v>1</v>
      </c>
      <c r="V64" t="e">
        <f>TTEST(V45:V52,AB45:AB52,2,3)</f>
        <v>#DIV/0!</v>
      </c>
    </row>
    <row r="65" spans="1:22" x14ac:dyDescent="0.25">
      <c r="A65" t="s">
        <v>2</v>
      </c>
      <c r="B65" t="e">
        <f>TTEST(C45:C52,I45:I52,2,3)</f>
        <v>#DIV/0!</v>
      </c>
      <c r="U65" t="s">
        <v>2</v>
      </c>
      <c r="V65" t="e">
        <f>TTEST(W45:W52,AC45:AC52,2,3)</f>
        <v>#DIV/0!</v>
      </c>
    </row>
    <row r="66" spans="1:22" x14ac:dyDescent="0.25">
      <c r="A66" t="s">
        <v>3</v>
      </c>
      <c r="B66" t="e">
        <f>TTEST(D45:D52,J45:J52,2,3)</f>
        <v>#DIV/0!</v>
      </c>
      <c r="U66" t="s">
        <v>3</v>
      </c>
      <c r="V66" t="e">
        <f>TTEST(X45:X52,AD45:AD52,2,3)</f>
        <v>#DIV/0!</v>
      </c>
    </row>
    <row r="67" spans="1:22" x14ac:dyDescent="0.25">
      <c r="A67" t="s">
        <v>4</v>
      </c>
      <c r="B67" t="e">
        <f>TTEST(E45:E52,K45:K52,2,3)</f>
        <v>#DIV/0!</v>
      </c>
      <c r="U67" t="s">
        <v>4</v>
      </c>
      <c r="V67" t="e">
        <f>TTEST(Y45:Y52,AE45:AE52,2,3)</f>
        <v>#DIV/0!</v>
      </c>
    </row>
  </sheetData>
  <conditionalFormatting sqref="B30:B33">
    <cfRule type="cellIs" dxfId="27" priority="28" operator="lessThan">
      <formula>0.05</formula>
    </cfRule>
  </conditionalFormatting>
  <conditionalFormatting sqref="B64:B67">
    <cfRule type="cellIs" dxfId="26" priority="20" operator="lessThan">
      <formula>0.05</formula>
    </cfRule>
  </conditionalFormatting>
  <conditionalFormatting sqref="B7:E7 B8:D10 E9:E10 B11:E18">
    <cfRule type="cellIs" dxfId="25" priority="26" operator="lessThan">
      <formula>B$26</formula>
    </cfRule>
    <cfRule type="cellIs" dxfId="24" priority="27" operator="greaterThan">
      <formula>B$25</formula>
    </cfRule>
  </conditionalFormatting>
  <conditionalFormatting sqref="B37:E52">
    <cfRule type="cellIs" dxfId="23" priority="17" operator="lessThan">
      <formula>B$60</formula>
    </cfRule>
  </conditionalFormatting>
  <conditionalFormatting sqref="B45:E52">
    <cfRule type="cellIs" dxfId="22" priority="19" operator="greaterThan">
      <formula>B$59</formula>
    </cfRule>
  </conditionalFormatting>
  <conditionalFormatting sqref="H7:K18">
    <cfRule type="cellIs" dxfId="21" priority="24" operator="lessThan">
      <formula>H$26</formula>
    </cfRule>
    <cfRule type="cellIs" dxfId="20" priority="25" operator="greaterThan">
      <formula>H$25</formula>
    </cfRule>
  </conditionalFormatting>
  <conditionalFormatting sqref="H37:K52">
    <cfRule type="cellIs" dxfId="19" priority="18" operator="greaterThan">
      <formula>H$59</formula>
    </cfRule>
  </conditionalFormatting>
  <conditionalFormatting sqref="H45:K52">
    <cfRule type="cellIs" dxfId="18" priority="21" operator="lessThan">
      <formula>H$60</formula>
    </cfRule>
  </conditionalFormatting>
  <conditionalFormatting sqref="N7:Q18">
    <cfRule type="cellIs" dxfId="17" priority="22" operator="lessThan">
      <formula>N$26</formula>
    </cfRule>
    <cfRule type="cellIs" dxfId="16" priority="23" operator="greaterThan">
      <formula>N$25</formula>
    </cfRule>
  </conditionalFormatting>
  <conditionalFormatting sqref="N37:Q52">
    <cfRule type="cellIs" dxfId="15" priority="15" operator="lessThan">
      <formula>N$60</formula>
    </cfRule>
    <cfRule type="cellIs" dxfId="14" priority="16" operator="greaterThan">
      <formula>N$59</formula>
    </cfRule>
  </conditionalFormatting>
  <conditionalFormatting sqref="V30:V33">
    <cfRule type="cellIs" dxfId="13" priority="14" operator="lessThan">
      <formula>0.05</formula>
    </cfRule>
  </conditionalFormatting>
  <conditionalFormatting sqref="V64:V67">
    <cfRule type="cellIs" dxfId="12" priority="6" operator="lessThan">
      <formula>0.05</formula>
    </cfRule>
  </conditionalFormatting>
  <conditionalFormatting sqref="V7:Y7 V8:X10 Y9:Y10 V11:Y18">
    <cfRule type="cellIs" dxfId="11" priority="12" operator="lessThan">
      <formula>V$26</formula>
    </cfRule>
    <cfRule type="cellIs" dxfId="10" priority="13" operator="greaterThan">
      <formula>V$25</formula>
    </cfRule>
  </conditionalFormatting>
  <conditionalFormatting sqref="V37:Y52">
    <cfRule type="cellIs" dxfId="9" priority="3" operator="lessThan">
      <formula>V$60</formula>
    </cfRule>
  </conditionalFormatting>
  <conditionalFormatting sqref="V45:Y52">
    <cfRule type="cellIs" dxfId="8" priority="5" operator="greaterThan">
      <formula>V$59</formula>
    </cfRule>
  </conditionalFormatting>
  <conditionalFormatting sqref="AB7:AE18">
    <cfRule type="cellIs" dxfId="7" priority="10" operator="lessThan">
      <formula>AB$26</formula>
    </cfRule>
    <cfRule type="cellIs" dxfId="6" priority="11" operator="greaterThan">
      <formula>AB$25</formula>
    </cfRule>
  </conditionalFormatting>
  <conditionalFormatting sqref="AB37:AE52">
    <cfRule type="cellIs" dxfId="5" priority="4" operator="greaterThan">
      <formula>AB$59</formula>
    </cfRule>
  </conditionalFormatting>
  <conditionalFormatting sqref="AB45:AE52">
    <cfRule type="cellIs" dxfId="4" priority="7" operator="lessThan">
      <formula>AB$60</formula>
    </cfRule>
  </conditionalFormatting>
  <conditionalFormatting sqref="AH7:AK18">
    <cfRule type="cellIs" dxfId="3" priority="8" operator="lessThan">
      <formula>AH$26</formula>
    </cfRule>
    <cfRule type="cellIs" dxfId="2" priority="9" operator="greaterThan">
      <formula>AH$25</formula>
    </cfRule>
  </conditionalFormatting>
  <conditionalFormatting sqref="AH37:AK52">
    <cfRule type="cellIs" dxfId="1" priority="1" operator="lessThan">
      <formula>AH$60</formula>
    </cfRule>
    <cfRule type="cellIs" dxfId="0" priority="2" operator="greaterThan">
      <formula>AH$59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Hole Width</vt:lpstr>
      <vt:lpstr>Hole Length</vt:lpstr>
      <vt:lpstr>Hole Depth</vt:lpstr>
      <vt:lpstr>Stain Area</vt:lpstr>
      <vt:lpstr>Hole Volume</vt:lpstr>
      <vt:lpstr>ROI SAVG sig in</vt:lpstr>
      <vt:lpstr>ROI NSAVG sig in</vt:lpstr>
      <vt:lpstr>Cells</vt:lpstr>
      <vt:lpstr>Nuclear Area</vt:lpstr>
      <vt:lpstr>SHG</vt:lpstr>
      <vt:lpstr>CHP v SHG Volume</vt:lpstr>
      <vt:lpstr>CHP %Clearance v %Closure</vt:lpstr>
      <vt:lpstr>%Live Explant</vt:lpstr>
      <vt:lpstr>Total Cells Explant</vt:lpstr>
      <vt:lpstr>MMP</vt:lpstr>
      <vt:lpstr>Everything plot</vt:lpstr>
      <vt:lpstr>Cells v Clearance rate</vt:lpstr>
      <vt:lpstr>SHG intesity</vt:lpstr>
    </vt:vector>
  </TitlesOfParts>
  <Company>Boston University, College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Aggouras, Anthony</dc:creator>
  <cp:lastModifiedBy>Aggouras, Anthony</cp:lastModifiedBy>
  <dcterms:created xsi:type="dcterms:W3CDTF">2025-03-28T15:49:44Z</dcterms:created>
  <dcterms:modified xsi:type="dcterms:W3CDTF">2025-08-07T19:59:45Z</dcterms:modified>
</cp:coreProperties>
</file>